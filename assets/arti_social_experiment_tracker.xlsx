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55c44172f442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334bbae032f4f7b"/>
    <x:sheet xmlns:r="http://schemas.openxmlformats.org/officeDocument/2006/relationships" name="Creative Brief" sheetId="2" r:id="R9151be98111a41da"/>
    <x:sheet xmlns:r="http://schemas.openxmlformats.org/officeDocument/2006/relationships" name="Experiment Log" sheetId="3" r:id="R04d55e6d91b743ad"/>
    <x:sheet xmlns:r="http://schemas.openxmlformats.org/officeDocument/2006/relationships" name="Metric Map" sheetId="4" r:id="Rbdea7eabf8364258"/>
    <x:sheet xmlns:r="http://schemas.openxmlformats.org/officeDocument/2006/relationships" name="Template Library" sheetId="5" r:id="R5abed59159a54152"/>
    <x:sheet xmlns:r="http://schemas.openxmlformats.org/officeDocument/2006/relationships" name="Experiment Plan" sheetId="6" r:id="Rf3e4ebd026f646f3"/>
    <x:sheet xmlns:r="http://schemas.openxmlformats.org/officeDocument/2006/relationships" name="Dashboard" sheetId="7" r:id="R44e528ad23e647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"/>
    <x:numFmt numFmtId="202" formatCode="0"/>
    <x:numFmt numFmtId="203" formatCode="#,##0"/>
    <x:numFmt numFmtId="204" formatCode="0.00%"/>
  </x:numFmts>
  <x:fonts count="6">
    <x:font>
      <x:sz val="11"/>
      <x:name val="Carlito"/>
    </x:font>
    <x:font>
      <x:b/>
      <x:sz val="20"/>
      <x:color rgb="FFFFFDF0"/>
      <x:name val="Carlito"/>
    </x:font>
    <x:font>
      <x:sz val="10"/>
      <x:color rgb="FFC8C7C2"/>
      <x:name val="Carlito"/>
    </x:font>
    <x:font>
      <x:b/>
      <x:sz val="10"/>
      <x:color rgb="FFFFFDF0"/>
      <x:name val="Carlito"/>
    </x:font>
    <x:font>
      <x:b/>
      <x:sz val="11"/>
      <x:color rgb="FF141414"/>
      <x:name val="Carlito"/>
    </x:font>
    <x:font>
      <x:sz val="11"/>
      <x:color rgb="FF141414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41414"/>
      </x:patternFill>
    </x:fill>
    <x:fill>
      <x:patternFill patternType="solid">
        <x:fgColor rgb="FF1E1E1E"/>
      </x:patternFill>
    </x:fill>
    <x:fill>
      <x:patternFill patternType="solid">
        <x:fgColor rgb="FFFFECB5"/>
      </x:patternFill>
    </x:fill>
    <x:fill>
      <x:patternFill patternType="solid">
        <x:fgColor rgb="FFFFF4CF"/>
      </x:patternFill>
    </x:fill>
    <x:fill>
      <x:patternFill patternType="solid">
        <x:fgColor rgb="FFF6F4F1"/>
      </x:patternFill>
    </x:fill>
  </x:fills>
  <x:borders count="10">
    <x:border/>
    <x:border>
      <x:right style="thin">
        <x:color rgb="FF4A4844"/>
      </x:right>
    </x:border>
    <x:border>
      <x:left style="thin">
        <x:color rgb="FF4A4844"/>
      </x:left>
    </x:border>
    <x:border>
      <x:left style="thin">
        <x:color rgb="FF946B1A"/>
      </x:left>
      <x:top style="thin">
        <x:color rgb="FF946B1A"/>
      </x:top>
      <x:bottom style="thin">
        <x:color rgb="FF946B1A"/>
      </x:bottom>
    </x:border>
    <x:border>
      <x:top style="thin">
        <x:color rgb="FF946B1A"/>
      </x:top>
      <x:bottom style="thin">
        <x:color rgb="FF946B1A"/>
      </x:bottom>
    </x:border>
    <x:border>
      <x:right style="thin">
        <x:color rgb="FF946B1A"/>
      </x:right>
      <x:top style="thin">
        <x:color rgb="FF946B1A"/>
      </x:top>
      <x:bottom style="thin">
        <x:color rgb="FF946B1A"/>
      </x:bottom>
    </x:border>
    <x:border>
      <x:left style="thin">
        <x:color rgb="FF4A4844"/>
      </x:left>
      <x:right style="thin">
        <x:color rgb="FF4A4844"/>
      </x:right>
    </x:border>
    <x:border>
      <x:left style="thin">
        <x:color rgb="FFD8D2C7"/>
      </x:left>
      <x:right style="thin">
        <x:color rgb="FFD8D2C7"/>
      </x:right>
      <x:top style="thin">
        <x:color rgb="FFD8D2C7"/>
      </x:top>
    </x:border>
    <x:border>
      <x:left style="thin">
        <x:color rgb="FFD8D2C7"/>
      </x:left>
      <x:right style="thin">
        <x:color rgb="FFD8D2C7"/>
      </x:right>
    </x:border>
    <x:border>
      <x:left style="thin">
        <x:color rgb="FFD8D2C7"/>
      </x:left>
      <x:right style="thin">
        <x:color rgb="FFD8D2C7"/>
      </x:right>
      <x:bottom style="thin">
        <x:color rgb="FFD8D2C7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3" fillId="3" borderId="6" xfId="0" applyNumberFormat="1" applyFont="1" applyFill="1" applyBorder="1"/>
    <x:xf numFmtId="0" fontId="3" fillId="3" borderId="6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200" fontId="0" fillId="5" borderId="0" xfId="0" applyNumberFormat="1" applyFont="1" applyFill="1" applyBorder="1"/>
    <x:xf numFmtId="202" fontId="0" fillId="5" borderId="0" xfId="0" applyNumberFormat="1" applyFont="1" applyFill="1" applyBorder="1"/>
    <x:xf numFmtId="203" fontId="0" fillId="5" borderId="0" xfId="0" applyNumberFormat="1" applyFont="1" applyFill="1" applyBorder="1"/>
    <x:xf numFmtId="204" fontId="0" fillId="6" borderId="0" xfId="0" applyNumberFormat="1" applyFont="1" applyFill="1" applyBorder="1"/>
    <x:xf numFmtId="0" fontId="3" fillId="3" borderId="1" xfId="0" applyNumberFormat="1" applyFont="1" applyFill="1" applyBorder="1" applyAlignment="1">
      <x:alignment vertical="center" wrapText="0"/>
    </x:xf>
    <x:xf numFmtId="0" fontId="3" fillId="3" borderId="6" xfId="0" applyNumberFormat="1" applyFont="1" applyFill="1" applyBorder="1" applyAlignment="1">
      <x:alignment vertical="center" wrapText="0"/>
    </x:xf>
    <x:xf numFmtId="0" fontId="3" fillId="3" borderId="2" xfId="0" applyNumberFormat="1" applyFont="1" applyFill="1" applyBorder="1" applyAlignment="1">
      <x:alignment vertical="center" wrapText="0"/>
    </x:xf>
    <x:xf numFmtId="202" fontId="0" fillId="5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A38"/>
      </x:font>
      <x:fill>
        <x:patternFill patternType="solid">
          <x:bgColor rgb="FFDDF4E8"/>
        </x:patternFill>
      </x:fill>
    </x:dxf>
    <x:dxf>
      <x:font>
        <x:b/>
        <x:color rgb="FF8D251B"/>
      </x:font>
      <x:fill>
        <x:patternFill patternType="solid">
          <x:bgColor rgb="FFFBE2DE"/>
        </x:patternFill>
      </x:fill>
    </x:dxf>
    <x:dxf>
      <x:font>
        <x:b/>
        <x:color rgb="FF8D251B"/>
      </x:font>
      <x:fill>
        <x:patternFill patternType="solid">
          <x:bgColor rgb="FFFBE2D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27ee006eb74d3e" /><Relationship Type="http://schemas.openxmlformats.org/officeDocument/2006/relationships/theme" Target="/xl/theme/theme1.xml" Id="R7df3e3714fa54ce5" /><Relationship Type="http://schemas.openxmlformats.org/officeDocument/2006/relationships/sharedStrings" Target="/xl/sharedStrings.xml" Id="Rbe4b2828640e4913" /><Relationship Type="http://schemas.openxmlformats.org/officeDocument/2006/relationships/worksheet" Target="/xl/worksheets/sheet1.xml" Id="R4334bbae032f4f7b" /><Relationship Type="http://schemas.openxmlformats.org/officeDocument/2006/relationships/worksheet" Target="/xl/worksheets/sheet2.xml" Id="R9151be98111a41da" /><Relationship Type="http://schemas.openxmlformats.org/officeDocument/2006/relationships/worksheet" Target="/xl/worksheets/sheet3.xml" Id="R04d55e6d91b743ad" /><Relationship Type="http://schemas.openxmlformats.org/officeDocument/2006/relationships/worksheet" Target="/xl/worksheets/sheet4.xml" Id="Rbdea7eabf8364258" /><Relationship Type="http://schemas.openxmlformats.org/officeDocument/2006/relationships/worksheet" Target="/xl/worksheets/sheet5.xml" Id="R5abed59159a54152" /><Relationship Type="http://schemas.openxmlformats.org/officeDocument/2006/relationships/worksheet" Target="/xl/worksheets/sheet6.xml" Id="Rf3e4ebd026f646f3" /><Relationship Type="http://schemas.openxmlformats.org/officeDocument/2006/relationships/worksheet" Target="/xl/worksheets/sheet7.xml" Id="R44e528ad23e647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8" customHeight="1">
      <x:c r="A1" s="3" t="str">
        <x:v>ARTi Social Experiment Tracker</x:v>
      </x:c>
    </x:row>
    <x:row r="2" ht="36" customHeight="1">
      <x:c r="A2" s="7" t="str">
        <x:v>内容核心跨平台复用；实验结论按平台 × 账号 × 目标 × 内容线隔离。</x:v>
      </x:c>
      <x:c r="B2" s="7" t="str">
        <x:v>内容核心跨平台复用；实验结论按平台 × 账号 × 目标 × 内容线隔离。</x:v>
      </x:c>
      <x:c r="C2" s="7" t="str">
        <x:v>内容核心跨平台复用；实验结论按平台 × 账号 × 目标 × 内容线隔离。</x:v>
      </x:c>
      <x:c r="D2" s="7" t="str">
        <x:v>内容核心跨平台复用；实验结论按平台 × 账号 × 目标 × 内容线隔离。</x:v>
      </x:c>
      <x:c r="E2" s="7" t="str">
        <x:v>内容核心跨平台复用；实验结论按平台 × 账号 × 目标 × 内容线隔离。</x:v>
      </x:c>
      <x:c r="F2" s="7" t="str">
        <x:v>内容核心跨平台复用；实验结论按平台 × 账号 × 目标 × 内容线隔离。</x:v>
      </x:c>
      <x:c r="G2" s="7" t="str">
        <x:v>内容核心跨平台复用；实验结论按平台 × 账号 × 目标 × 内容线隔离。</x:v>
      </x:c>
      <x:c r="H2" s="7" t="str">
        <x:v>内容核心跨平台复用；实验结论按平台 × 账号 × 目标 × 内容线隔离。</x:v>
      </x:c>
    </x:row>
    <x:row r="4" ht="34" customHeight="1">
      <x:c r="A4" s="13" t="str">
        <x:v>使用顺序</x:v>
      </x:c>
      <x:c r="B4" s="14" t="str">
        <x:v>操作</x:v>
      </x:c>
      <x:c r="C4" s="21"/>
      <x:c r="D4" s="22" t="str">
        <x:v>来源与口径</x:v>
      </x:c>
      <x:c r="E4" s="23" t="str"/>
      <x:c r="F4" s="23" t="str"/>
      <x:c r="G4" s="23" t="str"/>
      <x:c r="H4" s="24" t="str"/>
    </x:row>
    <x:row r="5">
      <x:c r="A5" s="21" t="str">
        <x:v>1</x:v>
      </x:c>
      <x:c r="B5" s="21" t="str">
        <x:v>先在 Creative Brief 选平台、受众、目标、证明方式与唯一变量。</x:v>
      </x:c>
      <x:c r="C5" s="21"/>
      <x:c r="D5" s="21" t="str">
        <x:v>ARTi 官网</x:v>
      </x:c>
      <x:c r="E5" s="21" t="str">
        <x:v>https://www.artifin.ai/landing</x:v>
      </x:c>
      <x:c r="F5" s="21" t="str"/>
      <x:c r="G5" s="21" t="str"/>
      <x:c r="H5" s="21" t="str"/>
    </x:row>
    <x:row r="6">
      <x:c r="A6" s="21" t="str">
        <x:v>2</x:v>
      </x:c>
      <x:c r="B6" s="21" t="str">
        <x:v>生成 content_core，再分别适配小红书与 X。</x:v>
      </x:c>
      <x:c r="C6" s="21"/>
      <x:c r="D6" s="21" t="str">
        <x:v>X 发帖帮助</x:v>
      </x:c>
      <x:c r="E6" s="21" t="str">
        <x:v>https://help.x.com/en/using-x/how-to-post</x:v>
      </x:c>
      <x:c r="F6" s="21" t="str"/>
      <x:c r="G6" s="21" t="str"/>
      <x:c r="H6" s="21" t="str"/>
    </x:row>
    <x:row r="7">
      <x:c r="A7" s="21" t="str">
        <x:v>3</x:v>
      </x:c>
      <x:c r="B7" s="21" t="str">
        <x:v>发布后只在 Experiment Log 填真实原始数值；黄色列为输入。</x:v>
      </x:c>
      <x:c r="C7" s="21"/>
      <x:c r="D7" s="21" t="str">
        <x:v>X 图片帮助</x:v>
      </x:c>
      <x:c r="E7" s="21" t="str">
        <x:v>https://help.x.com/en/using-x/posting-gifs-and-pictures</x:v>
      </x:c>
      <x:c r="F7" s="21" t="str"/>
      <x:c r="G7" s="21" t="str"/>
      <x:c r="H7" s="21" t="str"/>
    </x:row>
    <x:row r="8">
      <x:c r="A8" s="21" t="str">
        <x:v>4</x:v>
      </x:c>
      <x:c r="B8" s="21" t="str">
        <x:v>24h/72h 后检查主指标和护栏指标；不要提前判胜。</x:v>
      </x:c>
      <x:c r="C8" s="21"/>
      <x:c r="D8" s="21" t="str">
        <x:v>X alt text</x:v>
      </x:c>
      <x:c r="E8" s="21" t="str">
        <x:v>https://help.x.com/en/using-x/write-image-descriptions</x:v>
      </x:c>
      <x:c r="F8" s="21" t="str"/>
      <x:c r="G8" s="21" t="str"/>
      <x:c r="H8" s="21" t="str"/>
    </x:row>
    <x:row r="9">
      <x:c r="A9" s="21" t="str">
        <x:v>5</x:v>
      </x:c>
      <x:c r="B9" s="21" t="str">
        <x:v>同平台受控测试 3–5 条只算初步方向；6+ 且跨两个时间块才可作当前基线。</x:v>
      </x:c>
      <x:c r="C9" s="21"/>
      <x:c r="D9" s="21" t="str">
        <x:v>公开 skill 调研</x:v>
      </x:c>
      <x:c r="E9" s="21" t="str">
        <x:v>见 references/research-notes.md</x:v>
      </x:c>
      <x:c r="F9" s="21" t="str"/>
      <x:c r="G9" s="21" t="str"/>
      <x:c r="H9" s="21" t="str"/>
    </x:row>
    <x:row r="10">
      <x:c r="A10" s="21" t="str">
        <x:v>6</x:v>
      </x:c>
      <x:c r="B10" s="21" t="str">
        <x:v>广义模式少于 15 条只列线索；30+ 才分析支柱 × 格式 × 钩子。</x:v>
      </x:c>
      <x:c r="C10" s="21"/>
      <x:c r="D10" s="21" t="str">
        <x:v>最后更新</x:v>
      </x:c>
      <x:c r="E10" s="25" t="n">
        <x:v>46219</x:v>
      </x:c>
      <x:c r="F10" s="21" t="str"/>
      <x:c r="G10" s="21" t="str"/>
      <x:c r="H10" s="21" t="str"/>
    </x:row>
    <x:row r="11">
      <x:c r="A11" s="21"/>
      <x:c r="B11" s="21"/>
      <x:c r="C11" s="21"/>
      <x:c r="D11" s="21"/>
      <x:c r="E11" s="21"/>
      <x:c r="F11" s="21"/>
      <x:c r="G11" s="21"/>
      <x:c r="H11" s="21"/>
    </x:row>
    <x:row r="12" ht="34" customHeight="1">
      <x:c r="A12" s="13" t="str">
        <x:v>颜色</x:v>
      </x:c>
      <x:c r="B12" s="14" t="str">
        <x:v>含义</x:v>
      </x:c>
      <x:c r="C12" s="21"/>
      <x:c r="D12" s="21"/>
      <x:c r="E12" s="21"/>
      <x:c r="F12" s="21"/>
      <x:c r="G12" s="21"/>
      <x:c r="H12" s="21"/>
    </x:row>
    <x:row r="13">
      <x:c r="A13" s="21" t="str">
        <x:v>黄色</x:v>
      </x:c>
      <x:c r="B13" s="21" t="str">
        <x:v>需要手工填写或确认</x:v>
      </x:c>
      <x:c r="C13" s="21"/>
      <x:c r="D13" s="21"/>
      <x:c r="E13" s="21"/>
      <x:c r="F13" s="21"/>
      <x:c r="G13" s="21"/>
      <x:c r="H13" s="21"/>
    </x:row>
    <x:row r="14">
      <x:c r="A14" s="21" t="str">
        <x:v>深色</x:v>
      </x:c>
      <x:c r="B14" s="21" t="str">
        <x:v>标题、结构或不可编辑说明</x:v>
      </x:c>
      <x:c r="C14" s="21"/>
      <x:c r="D14" s="21"/>
      <x:c r="E14" s="21"/>
      <x:c r="F14" s="21"/>
      <x:c r="G14" s="21"/>
      <x:c r="H14" s="21"/>
    </x:row>
    <x:row r="15">
      <x:c r="A15" s="21" t="str">
        <x:v>绿色</x:v>
      </x:c>
      <x:c r="B15" s="21" t="str">
        <x:v>完整/可比较状态</x:v>
      </x:c>
      <x:c r="C15" s="21"/>
      <x:c r="D15" s="21"/>
      <x:c r="E15" s="21"/>
      <x:c r="F15" s="21"/>
      <x:c r="G15" s="21"/>
      <x:c r="H15" s="21"/>
    </x:row>
    <x:row r="16">
      <x:c r="A16" s="21" t="str">
        <x:v>红色</x:v>
      </x:c>
      <x:c r="B16" s="21" t="str">
        <x:v>异常、不可归因或护栏风险</x:v>
      </x:c>
      <x:c r="C16" s="21"/>
      <x:c r="D16" s="21"/>
      <x:c r="E16" s="21"/>
      <x:c r="F16" s="21"/>
      <x:c r="G16" s="21"/>
      <x:c r="H16" s="21"/>
    </x:row>
    <x:row r="17">
      <x:c r="A17" s="21" t="str">
        <x:v>空白</x:v>
      </x:c>
      <x:c r="B17" s="21" t="str">
        <x:v>平台未提供或尚未到记录时间，不要填 0</x:v>
      </x:c>
      <x:c r="C17" s="21"/>
      <x:c r="D17" s="21"/>
      <x:c r="E17" s="21"/>
      <x:c r="F17" s="21"/>
      <x:c r="G17" s="21"/>
      <x:c r="H17" s="21"/>
    </x:row>
  </x:sheetData>
  <x:mergeCells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4" hidden="0" customWidth="1"/>
    <x:col min="3" max="3" width="44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2" hidden="0" customWidth="1"/>
    <x:col min="10" max="10" width="28" hidden="0" customWidth="1"/>
  </x:cols>
  <x:sheetData>
    <x:row r="1" ht="38" customHeight="1">
      <x:c r="A1" s="3" t="str">
        <x:v>Creative Brief</x:v>
      </x:c>
    </x:row>
    <x:row r="2" ht="36" customHeight="1">
      <x:c r="A2" s="7" t="str">
        <x:v>先填黄色单元格。一个内容核心可以派生多个平台版本，但每个平台建立独立 post ID。</x:v>
      </x:c>
      <x:c r="B2" s="7" t="str">
        <x:v>先填黄色单元格。一个内容核心可以派生多个平台版本，但每个平台建立独立 post ID。</x:v>
      </x:c>
      <x:c r="C2" s="7" t="str">
        <x:v>先填黄色单元格。一个内容核心可以派生多个平台版本，但每个平台建立独立 post ID。</x:v>
      </x:c>
      <x:c r="D2" s="7" t="str">
        <x:v>先填黄色单元格。一个内容核心可以派生多个平台版本，但每个平台建立独立 post ID。</x:v>
      </x:c>
      <x:c r="E2" s="7" t="str">
        <x:v>先填黄色单元格。一个内容核心可以派生多个平台版本，但每个平台建立独立 post ID。</x:v>
      </x:c>
      <x:c r="F2" s="7" t="str">
        <x:v>先填黄色单元格。一个内容核心可以派生多个平台版本，但每个平台建立独立 post ID。</x:v>
      </x:c>
      <x:c r="G2" s="7" t="str">
        <x:v>先填黄色单元格。一个内容核心可以派生多个平台版本，但每个平台建立独立 post ID。</x:v>
      </x:c>
      <x:c r="H2" s="7" t="str">
        <x:v>先填黄色单元格。一个内容核心可以派生多个平台版本，但每个平台建立独立 post ID。</x:v>
      </x:c>
      <x:c r="I2" s="7" t="str">
        <x:v>先填黄色单元格。一个内容核心可以派生多个平台版本，但每个平台建立独立 post ID。</x:v>
      </x:c>
      <x:c r="J2" s="7" t="str">
        <x:v>先填黄色单元格。一个内容核心可以派生多个平台版本，但每个平台建立独立 post ID。</x:v>
      </x:c>
    </x:row>
    <x:row r="4" ht="34" customHeight="1">
      <x:c r="A4" s="13" t="str">
        <x:v>字段</x:v>
      </x:c>
      <x:c r="B4" s="28" t="str">
        <x:v>填写内容</x:v>
      </x:c>
      <x:c r="C4" s="14" t="str">
        <x:v>说明</x:v>
      </x:c>
      <x:c r="D4" s="21"/>
      <x:c r="E4" s="21"/>
      <x:c r="F4" s="21"/>
      <x:c r="G4" s="21"/>
      <x:c r="H4" s="21"/>
      <x:c r="I4" s="21"/>
      <x:c r="J4" s="21"/>
    </x:row>
    <x:row r="5" ht="48" customHeight="1">
      <x:c r="A5" s="21" t="str">
        <x:v>平台</x:v>
      </x:c>
      <x:c r="B5" s="34" t="str"/>
      <x:c r="C5" s="21" t="str">
        <x:v>小红书 / X</x:v>
      </x:c>
      <x:c r="D5" s="21"/>
      <x:c r="E5" s="21"/>
      <x:c r="F5" s="21"/>
      <x:c r="G5" s="21"/>
      <x:c r="H5" s="21"/>
      <x:c r="I5" s="21"/>
      <x:c r="J5" s="21"/>
    </x:row>
    <x:row r="6" ht="48" customHeight="1">
      <x:c r="A6" s="21" t="str">
        <x:v>账号</x:v>
      </x:c>
      <x:c r="B6" s="35" t="str"/>
      <x:c r="C6" s="21" t="str">
        <x:v>同平台多账号必须区分</x:v>
      </x:c>
      <x:c r="D6" s="21"/>
      <x:c r="E6" s="21"/>
      <x:c r="F6" s="21"/>
      <x:c r="G6" s="21"/>
      <x:c r="H6" s="21"/>
      <x:c r="I6" s="21"/>
      <x:c r="J6" s="21"/>
    </x:row>
    <x:row r="7" ht="48" customHeight="1">
      <x:c r="A7" s="21" t="str">
        <x:v>内容支柱</x:v>
      </x:c>
      <x:c r="B7" s="35" t="str"/>
      <x:c r="C7" s="21" t="str">
        <x:v>工具横评 / 效率方法 / 研究教育 / ARTi 实测 / 共创</x:v>
      </x:c>
      <x:c r="D7" s="21"/>
      <x:c r="E7" s="21"/>
      <x:c r="F7" s="21"/>
      <x:c r="G7" s="21"/>
      <x:c r="H7" s="21"/>
      <x:c r="I7" s="21"/>
      <x:c r="J7" s="21"/>
    </x:row>
    <x:row r="8" ht="48" customHeight="1">
      <x:c r="A8" s="21" t="str">
        <x:v>认知阶段</x:v>
      </x:c>
      <x:c r="B8" s="35" t="str"/>
      <x:c r="C8" s="21" t="str">
        <x:v>问题未知 / 问题已知 / 方案已知 / 产品已知</x:v>
      </x:c>
      <x:c r="D8" s="21"/>
      <x:c r="E8" s="21"/>
      <x:c r="F8" s="21"/>
      <x:c r="G8" s="21"/>
      <x:c r="H8" s="21"/>
      <x:c r="I8" s="21"/>
      <x:c r="J8" s="21"/>
    </x:row>
    <x:row r="9" ht="48" customHeight="1">
      <x:c r="A9" s="21" t="str">
        <x:v>目标受众</x:v>
      </x:c>
      <x:c r="B9" s="35" t="str"/>
      <x:c r="C9" s="21" t="str">
        <x:v>一句话写清具体人群与场景</x:v>
      </x:c>
      <x:c r="D9" s="21"/>
      <x:c r="E9" s="21"/>
      <x:c r="F9" s="21"/>
      <x:c r="G9" s="21"/>
      <x:c r="H9" s="21"/>
      <x:c r="I9" s="21"/>
      <x:c r="J9" s="21"/>
    </x:row>
    <x:row r="10" ht="48" customHeight="1">
      <x:c r="A10" s="21" t="str">
        <x:v>用户问题</x:v>
      </x:c>
      <x:c r="B10" s="35" t="str"/>
      <x:c r="C10" s="21" t="str">
        <x:v>用户现在为什么卡住</x:v>
      </x:c>
      <x:c r="D10" s="21"/>
      <x:c r="E10" s="21"/>
      <x:c r="F10" s="21"/>
      <x:c r="G10" s="21"/>
      <x:c r="H10" s="21"/>
      <x:c r="I10" s="21"/>
      <x:c r="J10" s="21"/>
    </x:row>
    <x:row r="11" ht="48" customHeight="1">
      <x:c r="A11" s="21" t="str">
        <x:v>核心承诺</x:v>
      </x:c>
      <x:c r="B11" s="35" t="str"/>
      <x:c r="C11" s="21" t="str">
        <x:v>只写一个可由正文兑现的收益或判断</x:v>
      </x:c>
      <x:c r="D11" s="21"/>
      <x:c r="E11" s="21"/>
      <x:c r="F11" s="21"/>
      <x:c r="G11" s="21"/>
      <x:c r="H11" s="21"/>
      <x:c r="I11" s="21"/>
      <x:c r="J11" s="21"/>
    </x:row>
    <x:row r="12" ht="48" customHeight="1">
      <x:c r="A12" s="21" t="str">
        <x:v>希望动作</x:v>
      </x:c>
      <x:c r="B12" s="35" t="str"/>
      <x:c r="C12" s="21" t="str">
        <x:v>保存 / 回复 / 转发 / 点击 / 产品问题 / 试用</x:v>
      </x:c>
      <x:c r="D12" s="21"/>
      <x:c r="E12" s="21"/>
      <x:c r="F12" s="21"/>
      <x:c r="G12" s="21"/>
      <x:c r="H12" s="21"/>
      <x:c r="I12" s="21"/>
      <x:c r="J12" s="21"/>
    </x:row>
    <x:row r="13" ht="48" customHeight="1">
      <x:c r="A13" s="21" t="str">
        <x:v>真实输入</x:v>
      </x:c>
      <x:c r="B13" s="35" t="str"/>
      <x:c r="C13" s="21" t="str">
        <x:v>截图、提示词、回答、数据、用户问题或使用判断</x:v>
      </x:c>
      <x:c r="D13" s="21"/>
      <x:c r="E13" s="21"/>
      <x:c r="F13" s="21"/>
      <x:c r="G13" s="21"/>
      <x:c r="H13" s="21"/>
      <x:c r="I13" s="21"/>
      <x:c r="J13" s="21"/>
    </x:row>
    <x:row r="14" ht="48" customHeight="1">
      <x:c r="A14" s="21" t="str">
        <x:v>证明方式</x:v>
      </x:c>
      <x:c r="B14" s="35" t="str"/>
      <x:c r="C14" s="21" t="str">
        <x:v>截图 / 数据 / 真实输入 / 用户问题 / 使用判断</x:v>
      </x:c>
      <x:c r="D14" s="21"/>
      <x:c r="E14" s="21"/>
      <x:c r="F14" s="21"/>
      <x:c r="G14" s="21"/>
      <x:c r="H14" s="21"/>
      <x:c r="I14" s="21"/>
      <x:c r="J14" s="21"/>
    </x:row>
    <x:row r="15" ht="48" customHeight="1">
      <x:c r="A15" s="21" t="str">
        <x:v>内容目标</x:v>
      </x:c>
      <x:c r="B15" s="35" t="str"/>
      <x:c r="C15" s="21" t="str">
        <x:v>认知 / 收藏留存 / 精准互动 / 站外访问 / 产品意向</x:v>
      </x:c>
      <x:c r="D15" s="21"/>
      <x:c r="E15" s="21"/>
      <x:c r="F15" s="21"/>
      <x:c r="G15" s="21"/>
      <x:c r="H15" s="21"/>
      <x:c r="I15" s="21"/>
      <x:c r="J15" s="21"/>
    </x:row>
    <x:row r="16" ht="48" customHeight="1">
      <x:c r="A16" s="21" t="str">
        <x:v>主指标</x:v>
      </x:c>
      <x:c r="B16" s="35" t="str"/>
      <x:c r="C16" s="21" t="str">
        <x:v>用来判定本次实验</x:v>
      </x:c>
      <x:c r="D16" s="21"/>
      <x:c r="E16" s="21"/>
      <x:c r="F16" s="21"/>
      <x:c r="G16" s="21"/>
      <x:c r="H16" s="21"/>
      <x:c r="I16" s="21"/>
      <x:c r="J16" s="21"/>
    </x:row>
    <x:row r="17" ht="48" customHeight="1">
      <x:c r="A17" s="21" t="str">
        <x:v>护栏指标</x:v>
      </x:c>
      <x:c r="B17" s="35" t="str"/>
      <x:c r="C17" s="21" t="str">
        <x:v>不能明显下降的指标</x:v>
      </x:c>
      <x:c r="D17" s="21"/>
      <x:c r="E17" s="21"/>
      <x:c r="F17" s="21"/>
      <x:c r="G17" s="21"/>
      <x:c r="H17" s="21"/>
      <x:c r="I17" s="21"/>
      <x:c r="J17" s="21"/>
    </x:row>
    <x:row r="18" ht="48" customHeight="1">
      <x:c r="A18" s="21" t="str">
        <x:v>唯一变量</x:v>
      </x:c>
      <x:c r="B18" s="35" t="str"/>
      <x:c r="C18" s="21" t="str">
        <x:v>钩子 / 结构 / 视觉 / CTA / 发布时间中的一个</x:v>
      </x:c>
      <x:c r="D18" s="21"/>
      <x:c r="E18" s="21"/>
      <x:c r="F18" s="21"/>
      <x:c r="G18" s="21"/>
      <x:c r="H18" s="21"/>
      <x:c r="I18" s="21"/>
      <x:c r="J18" s="21"/>
    </x:row>
    <x:row r="19" ht="48" customHeight="1">
      <x:c r="A19" s="21" t="str">
        <x:v>停止条件</x:v>
      </x:c>
      <x:c r="B19" s="36" t="str"/>
      <x:c r="C19" s="21" t="str">
        <x:v>追踪异常、护栏恶化或预设样本完成</x:v>
      </x:c>
      <x:c r="D19" s="21"/>
      <x:c r="E19" s="21"/>
      <x:c r="F19" s="21"/>
      <x:c r="G19" s="21"/>
      <x:c r="H19" s="21"/>
      <x:c r="I19" s="21"/>
      <x:c r="J19" s="21"/>
    </x:row>
    <x:row r="20">
      <x:c r="A20" s="21"/>
      <x:c r="B20" s="21"/>
      <x:c r="C20" s="21"/>
      <x:c r="D20" s="21"/>
      <x:c r="E20" s="21"/>
      <x:c r="F20" s="21"/>
      <x:c r="G20" s="21"/>
      <x:c r="H20" s="21"/>
      <x:c r="I20" s="21"/>
      <x:c r="J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</x:row>
    <x:row r="22" ht="34" customHeight="1">
      <x:c r="A22" s="13" t="str">
        <x:v>Idea ID</x:v>
      </x:c>
      <x:c r="B22" s="28" t="str">
        <x:v>选题</x:v>
      </x:c>
      <x:c r="C22" s="28" t="str">
        <x:v>受众匹配</x:v>
      </x:c>
      <x:c r="D22" s="28" t="str">
        <x:v>ARTi 相关性</x:v>
      </x:c>
      <x:c r="E22" s="28" t="str">
        <x:v>证据强度</x:v>
      </x:c>
      <x:c r="F22" s="28" t="str">
        <x:v>新鲜度</x:v>
      </x:c>
      <x:c r="G22" s="28" t="str">
        <x:v>可测试性</x:v>
      </x:c>
      <x:c r="H22" s="28" t="str">
        <x:v>制作容易度</x:v>
      </x:c>
      <x:c r="I22" s="28" t="str">
        <x:v>平均分</x:v>
      </x:c>
      <x:c r="J22" s="14" t="str">
        <x:v>决定/备注</x:v>
      </x:c>
    </x:row>
    <x:row r="23">
      <x:c r="A23" s="38"/>
      <x:c r="B23" s="38"/>
      <x:c r="C23" s="38"/>
      <x:c r="D23" s="38"/>
      <x:c r="E23" s="38"/>
      <x:c r="F23" s="38"/>
      <x:c r="G23" s="38"/>
      <x:c r="H23" s="38"/>
      <x:c r="I23" s="39" t="str">
        <x:f>IF(COUNTA(C23:H23)=0,"",AVERAGE(C23:H23))</x:f>
      </x:c>
      <x:c r="J23" s="38"/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9" t="str">
        <x:f>IF(COUNTA(C24:H24)=0,"",AVERAGE(C24:H24))</x:f>
      </x:c>
      <x:c r="J24" s="38"/>
    </x:row>
    <x:row r="25">
      <x:c r="A25" s="38"/>
      <x:c r="B25" s="38"/>
      <x:c r="C25" s="38"/>
      <x:c r="D25" s="38"/>
      <x:c r="E25" s="38"/>
      <x:c r="F25" s="38"/>
      <x:c r="G25" s="38"/>
      <x:c r="H25" s="38"/>
      <x:c r="I25" s="39" t="str">
        <x:f>IF(COUNTA(C25:H25)=0,"",AVERAGE(C25:H25))</x:f>
      </x:c>
      <x:c r="J25" s="38"/>
    </x:row>
    <x:row r="26">
      <x:c r="A26" s="38"/>
      <x:c r="B26" s="38"/>
      <x:c r="C26" s="38"/>
      <x:c r="D26" s="38"/>
      <x:c r="E26" s="38"/>
      <x:c r="F26" s="38"/>
      <x:c r="G26" s="38"/>
      <x:c r="H26" s="38"/>
      <x:c r="I26" s="39" t="str">
        <x:f>IF(COUNTA(C26:H26)=0,"",AVERAGE(C26:H26))</x:f>
      </x:c>
      <x:c r="J26" s="38"/>
    </x:row>
    <x:row r="27">
      <x:c r="A27" s="38"/>
      <x:c r="B27" s="38"/>
      <x:c r="C27" s="38"/>
      <x:c r="D27" s="38"/>
      <x:c r="E27" s="38"/>
      <x:c r="F27" s="38"/>
      <x:c r="G27" s="38"/>
      <x:c r="H27" s="38"/>
      <x:c r="I27" s="39" t="str">
        <x:f>IF(COUNTA(C27:H27)=0,"",AVERAGE(C27:H27))</x:f>
      </x:c>
      <x:c r="J27" s="38"/>
    </x:row>
    <x:row r="28">
      <x:c r="A28" s="38"/>
      <x:c r="B28" s="38"/>
      <x:c r="C28" s="38"/>
      <x:c r="D28" s="38"/>
      <x:c r="E28" s="38"/>
      <x:c r="F28" s="38"/>
      <x:c r="G28" s="38"/>
      <x:c r="H28" s="38"/>
      <x:c r="I28" s="39" t="str">
        <x:f>IF(COUNTA(C28:H28)=0,"",AVERAGE(C28:H28))</x:f>
      </x:c>
      <x:c r="J28" s="38"/>
    </x:row>
    <x:row r="29">
      <x:c r="A29" s="38"/>
      <x:c r="B29" s="38"/>
      <x:c r="C29" s="38"/>
      <x:c r="D29" s="38"/>
      <x:c r="E29" s="38"/>
      <x:c r="F29" s="38"/>
      <x:c r="G29" s="38"/>
      <x:c r="H29" s="38"/>
      <x:c r="I29" s="39" t="str">
        <x:f>IF(COUNTA(C29:H29)=0,"",AVERAGE(C29:H29))</x:f>
      </x:c>
      <x:c r="J29" s="38"/>
    </x:row>
    <x:row r="30">
      <x:c r="A30" s="38"/>
      <x:c r="B30" s="38"/>
      <x:c r="C30" s="38"/>
      <x:c r="D30" s="38"/>
      <x:c r="E30" s="38"/>
      <x:c r="F30" s="38"/>
      <x:c r="G30" s="38"/>
      <x:c r="H30" s="38"/>
      <x:c r="I30" s="39" t="str">
        <x:f>IF(COUNTA(C30:H30)=0,"",AVERAGE(C30:H30))</x:f>
      </x:c>
      <x:c r="J30" s="38"/>
    </x:row>
  </x:sheetData>
  <x:mergeCells>
    <x:mergeCell ref="A1:J1"/>
    <x:mergeCell ref="A2:J2"/>
  </x:mergeCells>
  <x:dataValidations count="2">
    <x:dataValidation type="whole" operator="between" sqref="C23:H30">
      <x:formula1>1</x:formula1>
      <x:formula2>5</x:formula2>
    </x:dataValidation>
    <x:dataValidation type="list" sqref="B5">
      <x:formula1>"小红书,X"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3" max="3" width="14" hidden="0" customWidth="1"/>
    <x:col min="5" max="5" width="14" hidden="0" customWidth="1"/>
    <x:col min="6" max="6" width="14" hidden="0" customWidth="1"/>
    <x:col min="8" max="8" width="14" hidden="0" customWidth="1"/>
    <x:col min="9" max="9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4" max="24" width="14" hidden="0" customWidth="1"/>
    <x:col min="25" max="25" width="14" hidden="0" customWidth="1"/>
    <x:col min="27" max="27" width="14" hidden="0" customWidth="1"/>
    <x:col min="4" max="4" width="24" hidden="0" customWidth="1"/>
    <x:col min="7" max="7" width="24" hidden="0" customWidth="1"/>
    <x:col min="10" max="10" width="24" hidden="0" customWidth="1"/>
    <x:col min="11" max="11" width="24" hidden="0" customWidth="1"/>
    <x:col min="23" max="23" width="24" hidden="0" customWidth="1"/>
    <x:col min="28" max="28" width="24" hidden="0" customWidth="1"/>
    <x:col min="49" max="49" width="24" hidden="0" customWidth="1"/>
    <x:col min="12" max="12" width="34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</x:cols>
  <x:sheetData>
    <x:row r="1" ht="48" customHeight="1">
      <x:c r="A1" s="13" t="str">
        <x:v>post_id</x:v>
      </x:c>
      <x:c r="B1" s="28" t="str">
        <x:v>publish_date</x:v>
      </x:c>
      <x:c r="C1" s="28" t="str">
        <x:v>platform</x:v>
      </x:c>
      <x:c r="D1" s="28" t="str">
        <x:v>account</x:v>
      </x:c>
      <x:c r="E1" s="28" t="str">
        <x:v>format</x:v>
      </x:c>
      <x:c r="F1" s="28" t="str">
        <x:v>content_line</x:v>
      </x:c>
      <x:c r="G1" s="28" t="str">
        <x:v>content_pillar</x:v>
      </x:c>
      <x:c r="H1" s="28" t="str">
        <x:v>awareness_stage</x:v>
      </x:c>
      <x:c r="I1" s="28" t="str">
        <x:v>objective</x:v>
      </x:c>
      <x:c r="J1" s="28" t="str">
        <x:v>desired_action</x:v>
      </x:c>
      <x:c r="K1" s="28" t="str">
        <x:v>topic</x:v>
      </x:c>
      <x:c r="L1" s="28" t="str">
        <x:v>source_reference</x:v>
      </x:c>
      <x:c r="M1" s="28" t="str">
        <x:v>proof_type</x:v>
      </x:c>
      <x:c r="N1" s="28" t="str">
        <x:v>content_template</x:v>
      </x:c>
      <x:c r="O1" s="28" t="str">
        <x:v>visual_template</x:v>
      </x:c>
      <x:c r="P1" s="28" t="str">
        <x:v>hook_template</x:v>
      </x:c>
      <x:c r="Q1" s="28" t="str">
        <x:v>cta_template</x:v>
      </x:c>
      <x:c r="R1" s="28" t="str">
        <x:v>visual_theme</x:v>
      </x:c>
      <x:c r="S1" s="28" t="str">
        <x:v>test_block</x:v>
      </x:c>
      <x:c r="T1" s="28" t="str">
        <x:v>tested_variable</x:v>
      </x:c>
      <x:c r="U1" s="28" t="str">
        <x:v>baseline</x:v>
      </x:c>
      <x:c r="V1" s="28" t="str">
        <x:v>variant</x:v>
      </x:c>
      <x:c r="W1" s="28" t="str">
        <x:v>hypothesis</x:v>
      </x:c>
      <x:c r="X1" s="28" t="str">
        <x:v>primary_metric</x:v>
      </x:c>
      <x:c r="Y1" s="28" t="str">
        <x:v>guardrail_metric</x:v>
      </x:c>
      <x:c r="Z1" s="28" t="str">
        <x:v>target_sample</x:v>
      </x:c>
      <x:c r="AA1" s="28" t="str">
        <x:v>status</x:v>
      </x:c>
      <x:c r="AB1" s="28" t="str">
        <x:v>attribution_note</x:v>
      </x:c>
      <x:c r="AC1" s="28" t="str">
        <x:v>impressions_24h</x:v>
      </x:c>
      <x:c r="AD1" s="28" t="str">
        <x:v>views_24h</x:v>
      </x:c>
      <x:c r="AE1" s="28" t="str">
        <x:v>likes_24h</x:v>
      </x:c>
      <x:c r="AF1" s="28" t="str">
        <x:v>comments_24h</x:v>
      </x:c>
      <x:c r="AG1" s="28" t="str">
        <x:v>reposts_24h</x:v>
      </x:c>
      <x:c r="AH1" s="28" t="str">
        <x:v>saves_24h</x:v>
      </x:c>
      <x:c r="AI1" s="28" t="str">
        <x:v>clicks_24h</x:v>
      </x:c>
      <x:c r="AJ1" s="28" t="str">
        <x:v>profile_visits_24h</x:v>
      </x:c>
      <x:c r="AK1" s="28" t="str">
        <x:v>new_follows_72h</x:v>
      </x:c>
      <x:c r="AL1" s="28" t="str">
        <x:v>qualified_comments_72h</x:v>
      </x:c>
      <x:c r="AM1" s="28" t="str">
        <x:v>product_questions_72h</x:v>
      </x:c>
      <x:c r="AN1" s="28" t="str">
        <x:v>trial_intents_72h</x:v>
      </x:c>
      <x:c r="AO1" s="28" t="str">
        <x:v>view_rate_24h</x:v>
      </x:c>
      <x:c r="AP1" s="28" t="str">
        <x:v>engagement_rate_24h</x:v>
      </x:c>
      <x:c r="AQ1" s="28" t="str">
        <x:v>save_rate_24h</x:v>
      </x:c>
      <x:c r="AR1" s="28" t="str">
        <x:v>precise_interaction_rate_24h</x:v>
      </x:c>
      <x:c r="AS1" s="28" t="str">
        <x:v>click_rate_24h</x:v>
      </x:c>
      <x:c r="AT1" s="28" t="str">
        <x:v>profile_visit_rate_24h</x:v>
      </x:c>
      <x:c r="AU1" s="28" t="str">
        <x:v>follow_rate_72h</x:v>
      </x:c>
      <x:c r="AV1" s="28" t="str">
        <x:v>product_intent_rate_72h</x:v>
      </x:c>
      <x:c r="AW1" s="14" t="str">
        <x:v>notes</x:v>
      </x:c>
    </x:row>
    <x:row r="2">
      <x:c r="A2" s="29"/>
      <x:c r="B2" s="41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42"/>
      <x:c r="AA2" s="29"/>
      <x:c r="AB2" s="29"/>
      <x:c r="AC2" s="43"/>
      <x:c r="AD2" s="43"/>
      <x:c r="AE2" s="43"/>
      <x:c r="AF2" s="43"/>
      <x:c r="AG2" s="43"/>
      <x:c r="AH2" s="43"/>
      <x:c r="AI2" s="43"/>
      <x:c r="AJ2" s="43"/>
      <x:c r="AK2" s="43"/>
      <x:c r="AL2" s="43"/>
      <x:c r="AM2" s="43"/>
      <x:c r="AN2" s="43"/>
      <x:c r="AO2" s="44" t="str">
        <x:f>IF(COUNTA(AC2:AN2)=0,"",IFERROR(AD2/AC2,""))</x:f>
      </x:c>
      <x:c r="AP2" s="44" t="str">
        <x:f>IF(COUNTA(AC2:AN2)=0,"",IFERROR((AF2+AG2+AH2+AI2)/AC2,""))</x:f>
      </x:c>
      <x:c r="AQ2" s="44" t="str">
        <x:f>IF(COUNTA(AC2:AN2)=0,"",IFERROR(AJ2/IF(C2="X",AC2,AD2),""))</x:f>
      </x:c>
      <x:c r="AR2" s="44" t="str">
        <x:f>IF(COUNTA(AC2:AN2)=0,"",IFERROR((AG2+AH2)/AC2,""))</x:f>
      </x:c>
      <x:c r="AS2" s="44" t="str">
        <x:f>IF(COUNTA(AC2:AN2)=0,"",IFERROR(AI2/AC2,""))</x:f>
      </x:c>
      <x:c r="AT2" s="44" t="str">
        <x:f>IF(COUNTA(AC2:AN2)=0,"",IFERROR(AJ2/AC2,""))</x:f>
      </x:c>
      <x:c r="AU2" s="44" t="str">
        <x:f>IF(COUNTA(AC2:AN2)=0,"",IFERROR(AK2/AJ2,""))</x:f>
      </x:c>
      <x:c r="AV2" s="44" t="str">
        <x:f>IF(COUNTA(AC2:AN2)=0,"",IFERROR((AM2+AN2)/IF(AJ2&gt;0,AJ2,IF(AD2&gt;0,AD2,AC2)),""))</x:f>
      </x:c>
      <x:c r="AW2" s="29"/>
    </x:row>
    <x:row r="3">
      <x:c r="A3" s="29"/>
      <x:c r="B3" s="41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42"/>
      <x:c r="AA3" s="29"/>
      <x:c r="AB3" s="29"/>
      <x:c r="AC3" s="43"/>
      <x:c r="AD3" s="43"/>
      <x:c r="AE3" s="43"/>
      <x:c r="AF3" s="43"/>
      <x:c r="AG3" s="43"/>
      <x:c r="AH3" s="43"/>
      <x:c r="AI3" s="43"/>
      <x:c r="AJ3" s="43"/>
      <x:c r="AK3" s="43"/>
      <x:c r="AL3" s="43"/>
      <x:c r="AM3" s="43"/>
      <x:c r="AN3" s="43"/>
      <x:c r="AO3" s="44" t="str">
        <x:f>IF(COUNTA(AC3:AN3)=0,"",IFERROR(AD3/AC3,""))</x:f>
      </x:c>
      <x:c r="AP3" s="44" t="str">
        <x:f>IF(COUNTA(AC3:AN3)=0,"",IFERROR((AF3+AG3+AH3+AI3)/AC3,""))</x:f>
      </x:c>
      <x:c r="AQ3" s="44" t="str">
        <x:f>IF(COUNTA(AC3:AN3)=0,"",IFERROR(AJ3/IF(C3="X",AC3,AD3),""))</x:f>
      </x:c>
      <x:c r="AR3" s="44" t="str">
        <x:f>IF(COUNTA(AC3:AN3)=0,"",IFERROR((AG3+AH3)/AC3,""))</x:f>
      </x:c>
      <x:c r="AS3" s="44" t="str">
        <x:f>IF(COUNTA(AC3:AN3)=0,"",IFERROR(AI3/AC3,""))</x:f>
      </x:c>
      <x:c r="AT3" s="44" t="str">
        <x:f>IF(COUNTA(AC3:AN3)=0,"",IFERROR(AJ3/AC3,""))</x:f>
      </x:c>
      <x:c r="AU3" s="44" t="str">
        <x:f>IF(COUNTA(AC3:AN3)=0,"",IFERROR(AK3/AJ3,""))</x:f>
      </x:c>
      <x:c r="AV3" s="44" t="str">
        <x:f>IF(COUNTA(AC3:AN3)=0,"",IFERROR((AM3+AN3)/IF(AJ3&gt;0,AJ3,IF(AD3&gt;0,AD3,AC3)),""))</x:f>
      </x:c>
      <x:c r="AW3" s="29"/>
    </x:row>
    <x:row r="4">
      <x:c r="A4" s="29"/>
      <x:c r="B4" s="41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42"/>
      <x:c r="AA4" s="29"/>
      <x:c r="AB4" s="29"/>
      <x:c r="AC4" s="43"/>
      <x:c r="AD4" s="43"/>
      <x:c r="AE4" s="43"/>
      <x:c r="AF4" s="43"/>
      <x:c r="AG4" s="43"/>
      <x:c r="AH4" s="43"/>
      <x:c r="AI4" s="43"/>
      <x:c r="AJ4" s="43"/>
      <x:c r="AK4" s="43"/>
      <x:c r="AL4" s="43"/>
      <x:c r="AM4" s="43"/>
      <x:c r="AN4" s="43"/>
      <x:c r="AO4" s="44" t="str">
        <x:f>IF(COUNTA(AC4:AN4)=0,"",IFERROR(AD4/AC4,""))</x:f>
      </x:c>
      <x:c r="AP4" s="44" t="str">
        <x:f>IF(COUNTA(AC4:AN4)=0,"",IFERROR((AF4+AG4+AH4+AI4)/AC4,""))</x:f>
      </x:c>
      <x:c r="AQ4" s="44" t="str">
        <x:f>IF(COUNTA(AC4:AN4)=0,"",IFERROR(AJ4/IF(C4="X",AC4,AD4),""))</x:f>
      </x:c>
      <x:c r="AR4" s="44" t="str">
        <x:f>IF(COUNTA(AC4:AN4)=0,"",IFERROR((AG4+AH4)/AC4,""))</x:f>
      </x:c>
      <x:c r="AS4" s="44" t="str">
        <x:f>IF(COUNTA(AC4:AN4)=0,"",IFERROR(AI4/AC4,""))</x:f>
      </x:c>
      <x:c r="AT4" s="44" t="str">
        <x:f>IF(COUNTA(AC4:AN4)=0,"",IFERROR(AJ4/AC4,""))</x:f>
      </x:c>
      <x:c r="AU4" s="44" t="str">
        <x:f>IF(COUNTA(AC4:AN4)=0,"",IFERROR(AK4/AJ4,""))</x:f>
      </x:c>
      <x:c r="AV4" s="44" t="str">
        <x:f>IF(COUNTA(AC4:AN4)=0,"",IFERROR((AM4+AN4)/IF(AJ4&gt;0,AJ4,IF(AD4&gt;0,AD4,AC4)),""))</x:f>
      </x:c>
      <x:c r="AW4" s="29"/>
    </x:row>
    <x:row r="5">
      <x:c r="A5" s="29"/>
      <x:c r="B5" s="41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42"/>
      <x:c r="AA5" s="29"/>
      <x:c r="AB5" s="29"/>
      <x:c r="AC5" s="43"/>
      <x:c r="AD5" s="43"/>
      <x:c r="AE5" s="43"/>
      <x:c r="AF5" s="43"/>
      <x:c r="AG5" s="43"/>
      <x:c r="AH5" s="43"/>
      <x:c r="AI5" s="43"/>
      <x:c r="AJ5" s="43"/>
      <x:c r="AK5" s="43"/>
      <x:c r="AL5" s="43"/>
      <x:c r="AM5" s="43"/>
      <x:c r="AN5" s="43"/>
      <x:c r="AO5" s="44" t="str">
        <x:f>IF(COUNTA(AC5:AN5)=0,"",IFERROR(AD5/AC5,""))</x:f>
      </x:c>
      <x:c r="AP5" s="44" t="str">
        <x:f>IF(COUNTA(AC5:AN5)=0,"",IFERROR((AF5+AG5+AH5+AI5)/AC5,""))</x:f>
      </x:c>
      <x:c r="AQ5" s="44" t="str">
        <x:f>IF(COUNTA(AC5:AN5)=0,"",IFERROR(AJ5/IF(C5="X",AC5,AD5),""))</x:f>
      </x:c>
      <x:c r="AR5" s="44" t="str">
        <x:f>IF(COUNTA(AC5:AN5)=0,"",IFERROR((AG5+AH5)/AC5,""))</x:f>
      </x:c>
      <x:c r="AS5" s="44" t="str">
        <x:f>IF(COUNTA(AC5:AN5)=0,"",IFERROR(AI5/AC5,""))</x:f>
      </x:c>
      <x:c r="AT5" s="44" t="str">
        <x:f>IF(COUNTA(AC5:AN5)=0,"",IFERROR(AJ5/AC5,""))</x:f>
      </x:c>
      <x:c r="AU5" s="44" t="str">
        <x:f>IF(COUNTA(AC5:AN5)=0,"",IFERROR(AK5/AJ5,""))</x:f>
      </x:c>
      <x:c r="AV5" s="44" t="str">
        <x:f>IF(COUNTA(AC5:AN5)=0,"",IFERROR((AM5+AN5)/IF(AJ5&gt;0,AJ5,IF(AD5&gt;0,AD5,AC5)),""))</x:f>
      </x:c>
      <x:c r="AW5" s="29"/>
    </x:row>
    <x:row r="6">
      <x:c r="A6" s="29"/>
      <x:c r="B6" s="41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42"/>
      <x:c r="AA6" s="29"/>
      <x:c r="AB6" s="29"/>
      <x:c r="AC6" s="43"/>
      <x:c r="AD6" s="43"/>
      <x:c r="AE6" s="43"/>
      <x:c r="AF6" s="43"/>
      <x:c r="AG6" s="43"/>
      <x:c r="AH6" s="43"/>
      <x:c r="AI6" s="43"/>
      <x:c r="AJ6" s="43"/>
      <x:c r="AK6" s="43"/>
      <x:c r="AL6" s="43"/>
      <x:c r="AM6" s="43"/>
      <x:c r="AN6" s="43"/>
      <x:c r="AO6" s="44" t="str">
        <x:f>IF(COUNTA(AC6:AN6)=0,"",IFERROR(AD6/AC6,""))</x:f>
      </x:c>
      <x:c r="AP6" s="44" t="str">
        <x:f>IF(COUNTA(AC6:AN6)=0,"",IFERROR((AF6+AG6+AH6+AI6)/AC6,""))</x:f>
      </x:c>
      <x:c r="AQ6" s="44" t="str">
        <x:f>IF(COUNTA(AC6:AN6)=0,"",IFERROR(AJ6/IF(C6="X",AC6,AD6),""))</x:f>
      </x:c>
      <x:c r="AR6" s="44" t="str">
        <x:f>IF(COUNTA(AC6:AN6)=0,"",IFERROR((AG6+AH6)/AC6,""))</x:f>
      </x:c>
      <x:c r="AS6" s="44" t="str">
        <x:f>IF(COUNTA(AC6:AN6)=0,"",IFERROR(AI6/AC6,""))</x:f>
      </x:c>
      <x:c r="AT6" s="44" t="str">
        <x:f>IF(COUNTA(AC6:AN6)=0,"",IFERROR(AJ6/AC6,""))</x:f>
      </x:c>
      <x:c r="AU6" s="44" t="str">
        <x:f>IF(COUNTA(AC6:AN6)=0,"",IFERROR(AK6/AJ6,""))</x:f>
      </x:c>
      <x:c r="AV6" s="44" t="str">
        <x:f>IF(COUNTA(AC6:AN6)=0,"",IFERROR((AM6+AN6)/IF(AJ6&gt;0,AJ6,IF(AD6&gt;0,AD6,AC6)),""))</x:f>
      </x:c>
      <x:c r="AW6" s="29"/>
    </x:row>
    <x:row r="7">
      <x:c r="A7" s="29"/>
      <x:c r="B7" s="41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42"/>
      <x:c r="AA7" s="29"/>
      <x:c r="AB7" s="29"/>
      <x:c r="AC7" s="43"/>
      <x:c r="AD7" s="43"/>
      <x:c r="AE7" s="43"/>
      <x:c r="AF7" s="43"/>
      <x:c r="AG7" s="43"/>
      <x:c r="AH7" s="43"/>
      <x:c r="AI7" s="43"/>
      <x:c r="AJ7" s="43"/>
      <x:c r="AK7" s="43"/>
      <x:c r="AL7" s="43"/>
      <x:c r="AM7" s="43"/>
      <x:c r="AN7" s="43"/>
      <x:c r="AO7" s="44" t="str">
        <x:f>IF(COUNTA(AC7:AN7)=0,"",IFERROR(AD7/AC7,""))</x:f>
      </x:c>
      <x:c r="AP7" s="44" t="str">
        <x:f>IF(COUNTA(AC7:AN7)=0,"",IFERROR((AF7+AG7+AH7+AI7)/AC7,""))</x:f>
      </x:c>
      <x:c r="AQ7" s="44" t="str">
        <x:f>IF(COUNTA(AC7:AN7)=0,"",IFERROR(AJ7/IF(C7="X",AC7,AD7),""))</x:f>
      </x:c>
      <x:c r="AR7" s="44" t="str">
        <x:f>IF(COUNTA(AC7:AN7)=0,"",IFERROR((AG7+AH7)/AC7,""))</x:f>
      </x:c>
      <x:c r="AS7" s="44" t="str">
        <x:f>IF(COUNTA(AC7:AN7)=0,"",IFERROR(AI7/AC7,""))</x:f>
      </x:c>
      <x:c r="AT7" s="44" t="str">
        <x:f>IF(COUNTA(AC7:AN7)=0,"",IFERROR(AJ7/AC7,""))</x:f>
      </x:c>
      <x:c r="AU7" s="44" t="str">
        <x:f>IF(COUNTA(AC7:AN7)=0,"",IFERROR(AK7/AJ7,""))</x:f>
      </x:c>
      <x:c r="AV7" s="44" t="str">
        <x:f>IF(COUNTA(AC7:AN7)=0,"",IFERROR((AM7+AN7)/IF(AJ7&gt;0,AJ7,IF(AD7&gt;0,AD7,AC7)),""))</x:f>
      </x:c>
      <x:c r="AW7" s="29"/>
    </x:row>
    <x:row r="8">
      <x:c r="A8" s="29"/>
      <x:c r="B8" s="41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42"/>
      <x:c r="AA8" s="29"/>
      <x:c r="AB8" s="29"/>
      <x:c r="AC8" s="43"/>
      <x:c r="AD8" s="43"/>
      <x:c r="AE8" s="43"/>
      <x:c r="AF8" s="43"/>
      <x:c r="AG8" s="43"/>
      <x:c r="AH8" s="43"/>
      <x:c r="AI8" s="43"/>
      <x:c r="AJ8" s="43"/>
      <x:c r="AK8" s="43"/>
      <x:c r="AL8" s="43"/>
      <x:c r="AM8" s="43"/>
      <x:c r="AN8" s="43"/>
      <x:c r="AO8" s="44" t="str">
        <x:f>IF(COUNTA(AC8:AN8)=0,"",IFERROR(AD8/AC8,""))</x:f>
      </x:c>
      <x:c r="AP8" s="44" t="str">
        <x:f>IF(COUNTA(AC8:AN8)=0,"",IFERROR((AF8+AG8+AH8+AI8)/AC8,""))</x:f>
      </x:c>
      <x:c r="AQ8" s="44" t="str">
        <x:f>IF(COUNTA(AC8:AN8)=0,"",IFERROR(AJ8/IF(C8="X",AC8,AD8),""))</x:f>
      </x:c>
      <x:c r="AR8" s="44" t="str">
        <x:f>IF(COUNTA(AC8:AN8)=0,"",IFERROR((AG8+AH8)/AC8,""))</x:f>
      </x:c>
      <x:c r="AS8" s="44" t="str">
        <x:f>IF(COUNTA(AC8:AN8)=0,"",IFERROR(AI8/AC8,""))</x:f>
      </x:c>
      <x:c r="AT8" s="44" t="str">
        <x:f>IF(COUNTA(AC8:AN8)=0,"",IFERROR(AJ8/AC8,""))</x:f>
      </x:c>
      <x:c r="AU8" s="44" t="str">
        <x:f>IF(COUNTA(AC8:AN8)=0,"",IFERROR(AK8/AJ8,""))</x:f>
      </x:c>
      <x:c r="AV8" s="44" t="str">
        <x:f>IF(COUNTA(AC8:AN8)=0,"",IFERROR((AM8+AN8)/IF(AJ8&gt;0,AJ8,IF(AD8&gt;0,AD8,AC8)),""))</x:f>
      </x:c>
      <x:c r="AW8" s="29"/>
    </x:row>
    <x:row r="9">
      <x:c r="A9" s="29"/>
      <x:c r="B9" s="41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42"/>
      <x:c r="AA9" s="29"/>
      <x:c r="AB9" s="29"/>
      <x:c r="AC9" s="43"/>
      <x:c r="AD9" s="43"/>
      <x:c r="AE9" s="43"/>
      <x:c r="AF9" s="43"/>
      <x:c r="AG9" s="43"/>
      <x:c r="AH9" s="43"/>
      <x:c r="AI9" s="43"/>
      <x:c r="AJ9" s="43"/>
      <x:c r="AK9" s="43"/>
      <x:c r="AL9" s="43"/>
      <x:c r="AM9" s="43"/>
      <x:c r="AN9" s="43"/>
      <x:c r="AO9" s="44" t="str">
        <x:f>IF(COUNTA(AC9:AN9)=0,"",IFERROR(AD9/AC9,""))</x:f>
      </x:c>
      <x:c r="AP9" s="44" t="str">
        <x:f>IF(COUNTA(AC9:AN9)=0,"",IFERROR((AF9+AG9+AH9+AI9)/AC9,""))</x:f>
      </x:c>
      <x:c r="AQ9" s="44" t="str">
        <x:f>IF(COUNTA(AC9:AN9)=0,"",IFERROR(AJ9/IF(C9="X",AC9,AD9),""))</x:f>
      </x:c>
      <x:c r="AR9" s="44" t="str">
        <x:f>IF(COUNTA(AC9:AN9)=0,"",IFERROR((AG9+AH9)/AC9,""))</x:f>
      </x:c>
      <x:c r="AS9" s="44" t="str">
        <x:f>IF(COUNTA(AC9:AN9)=0,"",IFERROR(AI9/AC9,""))</x:f>
      </x:c>
      <x:c r="AT9" s="44" t="str">
        <x:f>IF(COUNTA(AC9:AN9)=0,"",IFERROR(AJ9/AC9,""))</x:f>
      </x:c>
      <x:c r="AU9" s="44" t="str">
        <x:f>IF(COUNTA(AC9:AN9)=0,"",IFERROR(AK9/AJ9,""))</x:f>
      </x:c>
      <x:c r="AV9" s="44" t="str">
        <x:f>IF(COUNTA(AC9:AN9)=0,"",IFERROR((AM9+AN9)/IF(AJ9&gt;0,AJ9,IF(AD9&gt;0,AD9,AC9)),""))</x:f>
      </x:c>
      <x:c r="AW9" s="29"/>
    </x:row>
    <x:row r="10">
      <x:c r="A10" s="29"/>
      <x:c r="B10" s="41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42"/>
      <x:c r="AA10" s="29"/>
      <x:c r="AB10" s="29"/>
      <x:c r="AC10" s="43"/>
      <x:c r="AD10" s="43"/>
      <x:c r="AE10" s="43"/>
      <x:c r="AF10" s="43"/>
      <x:c r="AG10" s="43"/>
      <x:c r="AH10" s="43"/>
      <x:c r="AI10" s="43"/>
      <x:c r="AJ10" s="43"/>
      <x:c r="AK10" s="43"/>
      <x:c r="AL10" s="43"/>
      <x:c r="AM10" s="43"/>
      <x:c r="AN10" s="43"/>
      <x:c r="AO10" s="44" t="str">
        <x:f>IF(COUNTA(AC10:AN10)=0,"",IFERROR(AD10/AC10,""))</x:f>
      </x:c>
      <x:c r="AP10" s="44" t="str">
        <x:f>IF(COUNTA(AC10:AN10)=0,"",IFERROR((AF10+AG10+AH10+AI10)/AC10,""))</x:f>
      </x:c>
      <x:c r="AQ10" s="44" t="str">
        <x:f>IF(COUNTA(AC10:AN10)=0,"",IFERROR(AJ10/IF(C10="X",AC10,AD10),""))</x:f>
      </x:c>
      <x:c r="AR10" s="44" t="str">
        <x:f>IF(COUNTA(AC10:AN10)=0,"",IFERROR((AG10+AH10)/AC10,""))</x:f>
      </x:c>
      <x:c r="AS10" s="44" t="str">
        <x:f>IF(COUNTA(AC10:AN10)=0,"",IFERROR(AI10/AC10,""))</x:f>
      </x:c>
      <x:c r="AT10" s="44" t="str">
        <x:f>IF(COUNTA(AC10:AN10)=0,"",IFERROR(AJ10/AC10,""))</x:f>
      </x:c>
      <x:c r="AU10" s="44" t="str">
        <x:f>IF(COUNTA(AC10:AN10)=0,"",IFERROR(AK10/AJ10,""))</x:f>
      </x:c>
      <x:c r="AV10" s="44" t="str">
        <x:f>IF(COUNTA(AC10:AN10)=0,"",IFERROR((AM10+AN10)/IF(AJ10&gt;0,AJ10,IF(AD10&gt;0,AD10,AC10)),""))</x:f>
      </x:c>
      <x:c r="AW10" s="29"/>
    </x:row>
    <x:row r="11">
      <x:c r="A11" s="29"/>
      <x:c r="B11" s="41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42"/>
      <x:c r="AA11" s="29"/>
      <x:c r="AB11" s="29"/>
      <x:c r="AC11" s="43"/>
      <x:c r="AD11" s="43"/>
      <x:c r="AE11" s="43"/>
      <x:c r="AF11" s="43"/>
      <x:c r="AG11" s="43"/>
      <x:c r="AH11" s="43"/>
      <x:c r="AI11" s="43"/>
      <x:c r="AJ11" s="43"/>
      <x:c r="AK11" s="43"/>
      <x:c r="AL11" s="43"/>
      <x:c r="AM11" s="43"/>
      <x:c r="AN11" s="43"/>
      <x:c r="AO11" s="44" t="str">
        <x:f>IF(COUNTA(AC11:AN11)=0,"",IFERROR(AD11/AC11,""))</x:f>
      </x:c>
      <x:c r="AP11" s="44" t="str">
        <x:f>IF(COUNTA(AC11:AN11)=0,"",IFERROR((AF11+AG11+AH11+AI11)/AC11,""))</x:f>
      </x:c>
      <x:c r="AQ11" s="44" t="str">
        <x:f>IF(COUNTA(AC11:AN11)=0,"",IFERROR(AJ11/IF(C11="X",AC11,AD11),""))</x:f>
      </x:c>
      <x:c r="AR11" s="44" t="str">
        <x:f>IF(COUNTA(AC11:AN11)=0,"",IFERROR((AG11+AH11)/AC11,""))</x:f>
      </x:c>
      <x:c r="AS11" s="44" t="str">
        <x:f>IF(COUNTA(AC11:AN11)=0,"",IFERROR(AI11/AC11,""))</x:f>
      </x:c>
      <x:c r="AT11" s="44" t="str">
        <x:f>IF(COUNTA(AC11:AN11)=0,"",IFERROR(AJ11/AC11,""))</x:f>
      </x:c>
      <x:c r="AU11" s="44" t="str">
        <x:f>IF(COUNTA(AC11:AN11)=0,"",IFERROR(AK11/AJ11,""))</x:f>
      </x:c>
      <x:c r="AV11" s="44" t="str">
        <x:f>IF(COUNTA(AC11:AN11)=0,"",IFERROR((AM11+AN11)/IF(AJ11&gt;0,AJ11,IF(AD11&gt;0,AD11,AC11)),""))</x:f>
      </x:c>
      <x:c r="AW11" s="29"/>
    </x:row>
    <x:row r="12">
      <x:c r="A12" s="29"/>
      <x:c r="B12" s="41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42"/>
      <x:c r="AA12" s="29"/>
      <x:c r="AB12" s="29"/>
      <x:c r="AC12" s="43"/>
      <x:c r="AD12" s="43"/>
      <x:c r="AE12" s="43"/>
      <x:c r="AF12" s="43"/>
      <x:c r="AG12" s="43"/>
      <x:c r="AH12" s="43"/>
      <x:c r="AI12" s="43"/>
      <x:c r="AJ12" s="43"/>
      <x:c r="AK12" s="43"/>
      <x:c r="AL12" s="43"/>
      <x:c r="AM12" s="43"/>
      <x:c r="AN12" s="43"/>
      <x:c r="AO12" s="44" t="str">
        <x:f>IF(COUNTA(AC12:AN12)=0,"",IFERROR(AD12/AC12,""))</x:f>
      </x:c>
      <x:c r="AP12" s="44" t="str">
        <x:f>IF(COUNTA(AC12:AN12)=0,"",IFERROR((AF12+AG12+AH12+AI12)/AC12,""))</x:f>
      </x:c>
      <x:c r="AQ12" s="44" t="str">
        <x:f>IF(COUNTA(AC12:AN12)=0,"",IFERROR(AJ12/IF(C12="X",AC12,AD12),""))</x:f>
      </x:c>
      <x:c r="AR12" s="44" t="str">
        <x:f>IF(COUNTA(AC12:AN12)=0,"",IFERROR((AG12+AH12)/AC12,""))</x:f>
      </x:c>
      <x:c r="AS12" s="44" t="str">
        <x:f>IF(COUNTA(AC12:AN12)=0,"",IFERROR(AI12/AC12,""))</x:f>
      </x:c>
      <x:c r="AT12" s="44" t="str">
        <x:f>IF(COUNTA(AC12:AN12)=0,"",IFERROR(AJ12/AC12,""))</x:f>
      </x:c>
      <x:c r="AU12" s="44" t="str">
        <x:f>IF(COUNTA(AC12:AN12)=0,"",IFERROR(AK12/AJ12,""))</x:f>
      </x:c>
      <x:c r="AV12" s="44" t="str">
        <x:f>IF(COUNTA(AC12:AN12)=0,"",IFERROR((AM12+AN12)/IF(AJ12&gt;0,AJ12,IF(AD12&gt;0,AD12,AC12)),""))</x:f>
      </x:c>
      <x:c r="AW12" s="29"/>
    </x:row>
    <x:row r="13">
      <x:c r="A13" s="29"/>
      <x:c r="B13" s="41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42"/>
      <x:c r="AA13" s="29"/>
      <x:c r="AB13" s="29"/>
      <x:c r="AC13" s="43"/>
      <x:c r="AD13" s="43"/>
      <x:c r="AE13" s="43"/>
      <x:c r="AF13" s="43"/>
      <x:c r="AG13" s="43"/>
      <x:c r="AH13" s="43"/>
      <x:c r="AI13" s="43"/>
      <x:c r="AJ13" s="43"/>
      <x:c r="AK13" s="43"/>
      <x:c r="AL13" s="43"/>
      <x:c r="AM13" s="43"/>
      <x:c r="AN13" s="43"/>
      <x:c r="AO13" s="44" t="str">
        <x:f>IF(COUNTA(AC13:AN13)=0,"",IFERROR(AD13/AC13,""))</x:f>
      </x:c>
      <x:c r="AP13" s="44" t="str">
        <x:f>IF(COUNTA(AC13:AN13)=0,"",IFERROR((AF13+AG13+AH13+AI13)/AC13,""))</x:f>
      </x:c>
      <x:c r="AQ13" s="44" t="str">
        <x:f>IF(COUNTA(AC13:AN13)=0,"",IFERROR(AJ13/IF(C13="X",AC13,AD13),""))</x:f>
      </x:c>
      <x:c r="AR13" s="44" t="str">
        <x:f>IF(COUNTA(AC13:AN13)=0,"",IFERROR((AG13+AH13)/AC13,""))</x:f>
      </x:c>
      <x:c r="AS13" s="44" t="str">
        <x:f>IF(COUNTA(AC13:AN13)=0,"",IFERROR(AI13/AC13,""))</x:f>
      </x:c>
      <x:c r="AT13" s="44" t="str">
        <x:f>IF(COUNTA(AC13:AN13)=0,"",IFERROR(AJ13/AC13,""))</x:f>
      </x:c>
      <x:c r="AU13" s="44" t="str">
        <x:f>IF(COUNTA(AC13:AN13)=0,"",IFERROR(AK13/AJ13,""))</x:f>
      </x:c>
      <x:c r="AV13" s="44" t="str">
        <x:f>IF(COUNTA(AC13:AN13)=0,"",IFERROR((AM13+AN13)/IF(AJ13&gt;0,AJ13,IF(AD13&gt;0,AD13,AC13)),""))</x:f>
      </x:c>
      <x:c r="AW13" s="29"/>
    </x:row>
    <x:row r="14">
      <x:c r="A14" s="29"/>
      <x:c r="B14" s="41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42"/>
      <x:c r="AA14" s="29"/>
      <x:c r="AB14" s="29"/>
      <x:c r="AC14" s="43"/>
      <x:c r="AD14" s="43"/>
      <x:c r="AE14" s="43"/>
      <x:c r="AF14" s="43"/>
      <x:c r="AG14" s="43"/>
      <x:c r="AH14" s="43"/>
      <x:c r="AI14" s="43"/>
      <x:c r="AJ14" s="43"/>
      <x:c r="AK14" s="43"/>
      <x:c r="AL14" s="43"/>
      <x:c r="AM14" s="43"/>
      <x:c r="AN14" s="43"/>
      <x:c r="AO14" s="44" t="str">
        <x:f>IF(COUNTA(AC14:AN14)=0,"",IFERROR(AD14/AC14,""))</x:f>
      </x:c>
      <x:c r="AP14" s="44" t="str">
        <x:f>IF(COUNTA(AC14:AN14)=0,"",IFERROR((AF14+AG14+AH14+AI14)/AC14,""))</x:f>
      </x:c>
      <x:c r="AQ14" s="44" t="str">
        <x:f>IF(COUNTA(AC14:AN14)=0,"",IFERROR(AJ14/IF(C14="X",AC14,AD14),""))</x:f>
      </x:c>
      <x:c r="AR14" s="44" t="str">
        <x:f>IF(COUNTA(AC14:AN14)=0,"",IFERROR((AG14+AH14)/AC14,""))</x:f>
      </x:c>
      <x:c r="AS14" s="44" t="str">
        <x:f>IF(COUNTA(AC14:AN14)=0,"",IFERROR(AI14/AC14,""))</x:f>
      </x:c>
      <x:c r="AT14" s="44" t="str">
        <x:f>IF(COUNTA(AC14:AN14)=0,"",IFERROR(AJ14/AC14,""))</x:f>
      </x:c>
      <x:c r="AU14" s="44" t="str">
        <x:f>IF(COUNTA(AC14:AN14)=0,"",IFERROR(AK14/AJ14,""))</x:f>
      </x:c>
      <x:c r="AV14" s="44" t="str">
        <x:f>IF(COUNTA(AC14:AN14)=0,"",IFERROR((AM14+AN14)/IF(AJ14&gt;0,AJ14,IF(AD14&gt;0,AD14,AC14)),""))</x:f>
      </x:c>
      <x:c r="AW14" s="29"/>
    </x:row>
    <x:row r="15">
      <x:c r="A15" s="29"/>
      <x:c r="B15" s="41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42"/>
      <x:c r="AA15" s="29"/>
      <x:c r="AB15" s="29"/>
      <x:c r="AC15" s="43"/>
      <x:c r="AD15" s="43"/>
      <x:c r="AE15" s="43"/>
      <x:c r="AF15" s="43"/>
      <x:c r="AG15" s="43"/>
      <x:c r="AH15" s="43"/>
      <x:c r="AI15" s="43"/>
      <x:c r="AJ15" s="43"/>
      <x:c r="AK15" s="43"/>
      <x:c r="AL15" s="43"/>
      <x:c r="AM15" s="43"/>
      <x:c r="AN15" s="43"/>
      <x:c r="AO15" s="44" t="str">
        <x:f>IF(COUNTA(AC15:AN15)=0,"",IFERROR(AD15/AC15,""))</x:f>
      </x:c>
      <x:c r="AP15" s="44" t="str">
        <x:f>IF(COUNTA(AC15:AN15)=0,"",IFERROR((AF15+AG15+AH15+AI15)/AC15,""))</x:f>
      </x:c>
      <x:c r="AQ15" s="44" t="str">
        <x:f>IF(COUNTA(AC15:AN15)=0,"",IFERROR(AJ15/IF(C15="X",AC15,AD15),""))</x:f>
      </x:c>
      <x:c r="AR15" s="44" t="str">
        <x:f>IF(COUNTA(AC15:AN15)=0,"",IFERROR((AG15+AH15)/AC15,""))</x:f>
      </x:c>
      <x:c r="AS15" s="44" t="str">
        <x:f>IF(COUNTA(AC15:AN15)=0,"",IFERROR(AI15/AC15,""))</x:f>
      </x:c>
      <x:c r="AT15" s="44" t="str">
        <x:f>IF(COUNTA(AC15:AN15)=0,"",IFERROR(AJ15/AC15,""))</x:f>
      </x:c>
      <x:c r="AU15" s="44" t="str">
        <x:f>IF(COUNTA(AC15:AN15)=0,"",IFERROR(AK15/AJ15,""))</x:f>
      </x:c>
      <x:c r="AV15" s="44" t="str">
        <x:f>IF(COUNTA(AC15:AN15)=0,"",IFERROR((AM15+AN15)/IF(AJ15&gt;0,AJ15,IF(AD15&gt;0,AD15,AC15)),""))</x:f>
      </x:c>
      <x:c r="AW15" s="29"/>
    </x:row>
    <x:row r="16">
      <x:c r="A16" s="29"/>
      <x:c r="B16" s="41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42"/>
      <x:c r="AA16" s="29"/>
      <x:c r="AB16" s="29"/>
      <x:c r="AC16" s="43"/>
      <x:c r="AD16" s="43"/>
      <x:c r="AE16" s="43"/>
      <x:c r="AF16" s="43"/>
      <x:c r="AG16" s="43"/>
      <x:c r="AH16" s="43"/>
      <x:c r="AI16" s="43"/>
      <x:c r="AJ16" s="43"/>
      <x:c r="AK16" s="43"/>
      <x:c r="AL16" s="43"/>
      <x:c r="AM16" s="43"/>
      <x:c r="AN16" s="43"/>
      <x:c r="AO16" s="44" t="str">
        <x:f>IF(COUNTA(AC16:AN16)=0,"",IFERROR(AD16/AC16,""))</x:f>
      </x:c>
      <x:c r="AP16" s="44" t="str">
        <x:f>IF(COUNTA(AC16:AN16)=0,"",IFERROR((AF16+AG16+AH16+AI16)/AC16,""))</x:f>
      </x:c>
      <x:c r="AQ16" s="44" t="str">
        <x:f>IF(COUNTA(AC16:AN16)=0,"",IFERROR(AJ16/IF(C16="X",AC16,AD16),""))</x:f>
      </x:c>
      <x:c r="AR16" s="44" t="str">
        <x:f>IF(COUNTA(AC16:AN16)=0,"",IFERROR((AG16+AH16)/AC16,""))</x:f>
      </x:c>
      <x:c r="AS16" s="44" t="str">
        <x:f>IF(COUNTA(AC16:AN16)=0,"",IFERROR(AI16/AC16,""))</x:f>
      </x:c>
      <x:c r="AT16" s="44" t="str">
        <x:f>IF(COUNTA(AC16:AN16)=0,"",IFERROR(AJ16/AC16,""))</x:f>
      </x:c>
      <x:c r="AU16" s="44" t="str">
        <x:f>IF(COUNTA(AC16:AN16)=0,"",IFERROR(AK16/AJ16,""))</x:f>
      </x:c>
      <x:c r="AV16" s="44" t="str">
        <x:f>IF(COUNTA(AC16:AN16)=0,"",IFERROR((AM16+AN16)/IF(AJ16&gt;0,AJ16,IF(AD16&gt;0,AD16,AC16)),""))</x:f>
      </x:c>
      <x:c r="AW16" s="29"/>
    </x:row>
    <x:row r="17">
      <x:c r="A17" s="29"/>
      <x:c r="B17" s="41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42"/>
      <x:c r="AA17" s="29"/>
      <x:c r="AB17" s="29"/>
      <x:c r="AC17" s="43"/>
      <x:c r="AD17" s="43"/>
      <x:c r="AE17" s="43"/>
      <x:c r="AF17" s="43"/>
      <x:c r="AG17" s="43"/>
      <x:c r="AH17" s="43"/>
      <x:c r="AI17" s="43"/>
      <x:c r="AJ17" s="43"/>
      <x:c r="AK17" s="43"/>
      <x:c r="AL17" s="43"/>
      <x:c r="AM17" s="43"/>
      <x:c r="AN17" s="43"/>
      <x:c r="AO17" s="44" t="str">
        <x:f>IF(COUNTA(AC17:AN17)=0,"",IFERROR(AD17/AC17,""))</x:f>
      </x:c>
      <x:c r="AP17" s="44" t="str">
        <x:f>IF(COUNTA(AC17:AN17)=0,"",IFERROR((AF17+AG17+AH17+AI17)/AC17,""))</x:f>
      </x:c>
      <x:c r="AQ17" s="44" t="str">
        <x:f>IF(COUNTA(AC17:AN17)=0,"",IFERROR(AJ17/IF(C17="X",AC17,AD17),""))</x:f>
      </x:c>
      <x:c r="AR17" s="44" t="str">
        <x:f>IF(COUNTA(AC17:AN17)=0,"",IFERROR((AG17+AH17)/AC17,""))</x:f>
      </x:c>
      <x:c r="AS17" s="44" t="str">
        <x:f>IF(COUNTA(AC17:AN17)=0,"",IFERROR(AI17/AC17,""))</x:f>
      </x:c>
      <x:c r="AT17" s="44" t="str">
        <x:f>IF(COUNTA(AC17:AN17)=0,"",IFERROR(AJ17/AC17,""))</x:f>
      </x:c>
      <x:c r="AU17" s="44" t="str">
        <x:f>IF(COUNTA(AC17:AN17)=0,"",IFERROR(AK17/AJ17,""))</x:f>
      </x:c>
      <x:c r="AV17" s="44" t="str">
        <x:f>IF(COUNTA(AC17:AN17)=0,"",IFERROR((AM17+AN17)/IF(AJ17&gt;0,AJ17,IF(AD17&gt;0,AD17,AC17)),""))</x:f>
      </x:c>
      <x:c r="AW17" s="29"/>
    </x:row>
    <x:row r="18">
      <x:c r="A18" s="29"/>
      <x:c r="B18" s="41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42"/>
      <x:c r="AA18" s="29"/>
      <x:c r="AB18" s="29"/>
      <x:c r="AC18" s="43"/>
      <x:c r="AD18" s="43"/>
      <x:c r="AE18" s="43"/>
      <x:c r="AF18" s="43"/>
      <x:c r="AG18" s="43"/>
      <x:c r="AH18" s="43"/>
      <x:c r="AI18" s="43"/>
      <x:c r="AJ18" s="43"/>
      <x:c r="AK18" s="43"/>
      <x:c r="AL18" s="43"/>
      <x:c r="AM18" s="43"/>
      <x:c r="AN18" s="43"/>
      <x:c r="AO18" s="44" t="str">
        <x:f>IF(COUNTA(AC18:AN18)=0,"",IFERROR(AD18/AC18,""))</x:f>
      </x:c>
      <x:c r="AP18" s="44" t="str">
        <x:f>IF(COUNTA(AC18:AN18)=0,"",IFERROR((AF18+AG18+AH18+AI18)/AC18,""))</x:f>
      </x:c>
      <x:c r="AQ18" s="44" t="str">
        <x:f>IF(COUNTA(AC18:AN18)=0,"",IFERROR(AJ18/IF(C18="X",AC18,AD18),""))</x:f>
      </x:c>
      <x:c r="AR18" s="44" t="str">
        <x:f>IF(COUNTA(AC18:AN18)=0,"",IFERROR((AG18+AH18)/AC18,""))</x:f>
      </x:c>
      <x:c r="AS18" s="44" t="str">
        <x:f>IF(COUNTA(AC18:AN18)=0,"",IFERROR(AI18/AC18,""))</x:f>
      </x:c>
      <x:c r="AT18" s="44" t="str">
        <x:f>IF(COUNTA(AC18:AN18)=0,"",IFERROR(AJ18/AC18,""))</x:f>
      </x:c>
      <x:c r="AU18" s="44" t="str">
        <x:f>IF(COUNTA(AC18:AN18)=0,"",IFERROR(AK18/AJ18,""))</x:f>
      </x:c>
      <x:c r="AV18" s="44" t="str">
        <x:f>IF(COUNTA(AC18:AN18)=0,"",IFERROR((AM18+AN18)/IF(AJ18&gt;0,AJ18,IF(AD18&gt;0,AD18,AC18)),""))</x:f>
      </x:c>
      <x:c r="AW18" s="29"/>
    </x:row>
    <x:row r="19">
      <x:c r="A19" s="29"/>
      <x:c r="B19" s="41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42"/>
      <x:c r="AA19" s="29"/>
      <x:c r="AB19" s="29"/>
      <x:c r="AC19" s="43"/>
      <x:c r="AD19" s="43"/>
      <x:c r="AE19" s="43"/>
      <x:c r="AF19" s="43"/>
      <x:c r="AG19" s="43"/>
      <x:c r="AH19" s="43"/>
      <x:c r="AI19" s="43"/>
      <x:c r="AJ19" s="43"/>
      <x:c r="AK19" s="43"/>
      <x:c r="AL19" s="43"/>
      <x:c r="AM19" s="43"/>
      <x:c r="AN19" s="43"/>
      <x:c r="AO19" s="44" t="str">
        <x:f>IF(COUNTA(AC19:AN19)=0,"",IFERROR(AD19/AC19,""))</x:f>
      </x:c>
      <x:c r="AP19" s="44" t="str">
        <x:f>IF(COUNTA(AC19:AN19)=0,"",IFERROR((AF19+AG19+AH19+AI19)/AC19,""))</x:f>
      </x:c>
      <x:c r="AQ19" s="44" t="str">
        <x:f>IF(COUNTA(AC19:AN19)=0,"",IFERROR(AJ19/IF(C19="X",AC19,AD19),""))</x:f>
      </x:c>
      <x:c r="AR19" s="44" t="str">
        <x:f>IF(COUNTA(AC19:AN19)=0,"",IFERROR((AG19+AH19)/AC19,""))</x:f>
      </x:c>
      <x:c r="AS19" s="44" t="str">
        <x:f>IF(COUNTA(AC19:AN19)=0,"",IFERROR(AI19/AC19,""))</x:f>
      </x:c>
      <x:c r="AT19" s="44" t="str">
        <x:f>IF(COUNTA(AC19:AN19)=0,"",IFERROR(AJ19/AC19,""))</x:f>
      </x:c>
      <x:c r="AU19" s="44" t="str">
        <x:f>IF(COUNTA(AC19:AN19)=0,"",IFERROR(AK19/AJ19,""))</x:f>
      </x:c>
      <x:c r="AV19" s="44" t="str">
        <x:f>IF(COUNTA(AC19:AN19)=0,"",IFERROR((AM19+AN19)/IF(AJ19&gt;0,AJ19,IF(AD19&gt;0,AD19,AC19)),""))</x:f>
      </x:c>
      <x:c r="AW19" s="29"/>
    </x:row>
    <x:row r="20">
      <x:c r="A20" s="29"/>
      <x:c r="B20" s="41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42"/>
      <x:c r="AA20" s="29"/>
      <x:c r="AB20" s="29"/>
      <x:c r="AC20" s="43"/>
      <x:c r="AD20" s="43"/>
      <x:c r="AE20" s="43"/>
      <x:c r="AF20" s="43"/>
      <x:c r="AG20" s="43"/>
      <x:c r="AH20" s="43"/>
      <x:c r="AI20" s="43"/>
      <x:c r="AJ20" s="43"/>
      <x:c r="AK20" s="43"/>
      <x:c r="AL20" s="43"/>
      <x:c r="AM20" s="43"/>
      <x:c r="AN20" s="43"/>
      <x:c r="AO20" s="44" t="str">
        <x:f>IF(COUNTA(AC20:AN20)=0,"",IFERROR(AD20/AC20,""))</x:f>
      </x:c>
      <x:c r="AP20" s="44" t="str">
        <x:f>IF(COUNTA(AC20:AN20)=0,"",IFERROR((AF20+AG20+AH20+AI20)/AC20,""))</x:f>
      </x:c>
      <x:c r="AQ20" s="44" t="str">
        <x:f>IF(COUNTA(AC20:AN20)=0,"",IFERROR(AJ20/IF(C20="X",AC20,AD20),""))</x:f>
      </x:c>
      <x:c r="AR20" s="44" t="str">
        <x:f>IF(COUNTA(AC20:AN20)=0,"",IFERROR((AG20+AH20)/AC20,""))</x:f>
      </x:c>
      <x:c r="AS20" s="44" t="str">
        <x:f>IF(COUNTA(AC20:AN20)=0,"",IFERROR(AI20/AC20,""))</x:f>
      </x:c>
      <x:c r="AT20" s="44" t="str">
        <x:f>IF(COUNTA(AC20:AN20)=0,"",IFERROR(AJ20/AC20,""))</x:f>
      </x:c>
      <x:c r="AU20" s="44" t="str">
        <x:f>IF(COUNTA(AC20:AN20)=0,"",IFERROR(AK20/AJ20,""))</x:f>
      </x:c>
      <x:c r="AV20" s="44" t="str">
        <x:f>IF(COUNTA(AC20:AN20)=0,"",IFERROR((AM20+AN20)/IF(AJ20&gt;0,AJ20,IF(AD20&gt;0,AD20,AC20)),""))</x:f>
      </x:c>
      <x:c r="AW20" s="29"/>
    </x:row>
    <x:row r="21">
      <x:c r="A21" s="29"/>
      <x:c r="B21" s="41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42"/>
      <x:c r="AA21" s="29"/>
      <x:c r="AB21" s="29"/>
      <x:c r="AC21" s="43"/>
      <x:c r="AD21" s="43"/>
      <x:c r="AE21" s="43"/>
      <x:c r="AF21" s="43"/>
      <x:c r="AG21" s="43"/>
      <x:c r="AH21" s="43"/>
      <x:c r="AI21" s="43"/>
      <x:c r="AJ21" s="43"/>
      <x:c r="AK21" s="43"/>
      <x:c r="AL21" s="43"/>
      <x:c r="AM21" s="43"/>
      <x:c r="AN21" s="43"/>
      <x:c r="AO21" s="44" t="str">
        <x:f>IF(COUNTA(AC21:AN21)=0,"",IFERROR(AD21/AC21,""))</x:f>
      </x:c>
      <x:c r="AP21" s="44" t="str">
        <x:f>IF(COUNTA(AC21:AN21)=0,"",IFERROR((AF21+AG21+AH21+AI21)/AC21,""))</x:f>
      </x:c>
      <x:c r="AQ21" s="44" t="str">
        <x:f>IF(COUNTA(AC21:AN21)=0,"",IFERROR(AJ21/IF(C21="X",AC21,AD21),""))</x:f>
      </x:c>
      <x:c r="AR21" s="44" t="str">
        <x:f>IF(COUNTA(AC21:AN21)=0,"",IFERROR((AG21+AH21)/AC21,""))</x:f>
      </x:c>
      <x:c r="AS21" s="44" t="str">
        <x:f>IF(COUNTA(AC21:AN21)=0,"",IFERROR(AI21/AC21,""))</x:f>
      </x:c>
      <x:c r="AT21" s="44" t="str">
        <x:f>IF(COUNTA(AC21:AN21)=0,"",IFERROR(AJ21/AC21,""))</x:f>
      </x:c>
      <x:c r="AU21" s="44" t="str">
        <x:f>IF(COUNTA(AC21:AN21)=0,"",IFERROR(AK21/AJ21,""))</x:f>
      </x:c>
      <x:c r="AV21" s="44" t="str">
        <x:f>IF(COUNTA(AC21:AN21)=0,"",IFERROR((AM21+AN21)/IF(AJ21&gt;0,AJ21,IF(AD21&gt;0,AD21,AC21)),""))</x:f>
      </x:c>
      <x:c r="AW21" s="29"/>
    </x:row>
    <x:row r="22">
      <x:c r="A22" s="29"/>
      <x:c r="B22" s="41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42"/>
      <x:c r="AA22" s="29"/>
      <x:c r="AB22" s="29"/>
      <x:c r="AC22" s="43"/>
      <x:c r="AD22" s="43"/>
      <x:c r="AE22" s="43"/>
      <x:c r="AF22" s="43"/>
      <x:c r="AG22" s="43"/>
      <x:c r="AH22" s="43"/>
      <x:c r="AI22" s="43"/>
      <x:c r="AJ22" s="43"/>
      <x:c r="AK22" s="43"/>
      <x:c r="AL22" s="43"/>
      <x:c r="AM22" s="43"/>
      <x:c r="AN22" s="43"/>
      <x:c r="AO22" s="44" t="str">
        <x:f>IF(COUNTA(AC22:AN22)=0,"",IFERROR(AD22/AC22,""))</x:f>
      </x:c>
      <x:c r="AP22" s="44" t="str">
        <x:f>IF(COUNTA(AC22:AN22)=0,"",IFERROR((AF22+AG22+AH22+AI22)/AC22,""))</x:f>
      </x:c>
      <x:c r="AQ22" s="44" t="str">
        <x:f>IF(COUNTA(AC22:AN22)=0,"",IFERROR(AJ22/IF(C22="X",AC22,AD22),""))</x:f>
      </x:c>
      <x:c r="AR22" s="44" t="str">
        <x:f>IF(COUNTA(AC22:AN22)=0,"",IFERROR((AG22+AH22)/AC22,""))</x:f>
      </x:c>
      <x:c r="AS22" s="44" t="str">
        <x:f>IF(COUNTA(AC22:AN22)=0,"",IFERROR(AI22/AC22,""))</x:f>
      </x:c>
      <x:c r="AT22" s="44" t="str">
        <x:f>IF(COUNTA(AC22:AN22)=0,"",IFERROR(AJ22/AC22,""))</x:f>
      </x:c>
      <x:c r="AU22" s="44" t="str">
        <x:f>IF(COUNTA(AC22:AN22)=0,"",IFERROR(AK22/AJ22,""))</x:f>
      </x:c>
      <x:c r="AV22" s="44" t="str">
        <x:f>IF(COUNTA(AC22:AN22)=0,"",IFERROR((AM22+AN22)/IF(AJ22&gt;0,AJ22,IF(AD22&gt;0,AD22,AC22)),""))</x:f>
      </x:c>
      <x:c r="AW22" s="29"/>
    </x:row>
    <x:row r="23">
      <x:c r="A23" s="29"/>
      <x:c r="B23" s="41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42"/>
      <x:c r="AA23" s="29"/>
      <x:c r="AB23" s="29"/>
      <x:c r="AC23" s="43"/>
      <x:c r="AD23" s="43"/>
      <x:c r="AE23" s="43"/>
      <x:c r="AF23" s="43"/>
      <x:c r="AG23" s="43"/>
      <x:c r="AH23" s="43"/>
      <x:c r="AI23" s="43"/>
      <x:c r="AJ23" s="43"/>
      <x:c r="AK23" s="43"/>
      <x:c r="AL23" s="43"/>
      <x:c r="AM23" s="43"/>
      <x:c r="AN23" s="43"/>
      <x:c r="AO23" s="44" t="str">
        <x:f>IF(COUNTA(AC23:AN23)=0,"",IFERROR(AD23/AC23,""))</x:f>
      </x:c>
      <x:c r="AP23" s="44" t="str">
        <x:f>IF(COUNTA(AC23:AN23)=0,"",IFERROR((AF23+AG23+AH23+AI23)/AC23,""))</x:f>
      </x:c>
      <x:c r="AQ23" s="44" t="str">
        <x:f>IF(COUNTA(AC23:AN23)=0,"",IFERROR(AJ23/IF(C23="X",AC23,AD23),""))</x:f>
      </x:c>
      <x:c r="AR23" s="44" t="str">
        <x:f>IF(COUNTA(AC23:AN23)=0,"",IFERROR((AG23+AH23)/AC23,""))</x:f>
      </x:c>
      <x:c r="AS23" s="44" t="str">
        <x:f>IF(COUNTA(AC23:AN23)=0,"",IFERROR(AI23/AC23,""))</x:f>
      </x:c>
      <x:c r="AT23" s="44" t="str">
        <x:f>IF(COUNTA(AC23:AN23)=0,"",IFERROR(AJ23/AC23,""))</x:f>
      </x:c>
      <x:c r="AU23" s="44" t="str">
        <x:f>IF(COUNTA(AC23:AN23)=0,"",IFERROR(AK23/AJ23,""))</x:f>
      </x:c>
      <x:c r="AV23" s="44" t="str">
        <x:f>IF(COUNTA(AC23:AN23)=0,"",IFERROR((AM23+AN23)/IF(AJ23&gt;0,AJ23,IF(AD23&gt;0,AD23,AC23)),""))</x:f>
      </x:c>
      <x:c r="AW23" s="29"/>
    </x:row>
    <x:row r="24">
      <x:c r="A24" s="29"/>
      <x:c r="B24" s="41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42"/>
      <x:c r="AA24" s="29"/>
      <x:c r="AB24" s="29"/>
      <x:c r="AC24" s="43"/>
      <x:c r="AD24" s="43"/>
      <x:c r="AE24" s="43"/>
      <x:c r="AF24" s="43"/>
      <x:c r="AG24" s="43"/>
      <x:c r="AH24" s="43"/>
      <x:c r="AI24" s="43"/>
      <x:c r="AJ24" s="43"/>
      <x:c r="AK24" s="43"/>
      <x:c r="AL24" s="43"/>
      <x:c r="AM24" s="43"/>
      <x:c r="AN24" s="43"/>
      <x:c r="AO24" s="44" t="str">
        <x:f>IF(COUNTA(AC24:AN24)=0,"",IFERROR(AD24/AC24,""))</x:f>
      </x:c>
      <x:c r="AP24" s="44" t="str">
        <x:f>IF(COUNTA(AC24:AN24)=0,"",IFERROR((AF24+AG24+AH24+AI24)/AC24,""))</x:f>
      </x:c>
      <x:c r="AQ24" s="44" t="str">
        <x:f>IF(COUNTA(AC24:AN24)=0,"",IFERROR(AJ24/IF(C24="X",AC24,AD24),""))</x:f>
      </x:c>
      <x:c r="AR24" s="44" t="str">
        <x:f>IF(COUNTA(AC24:AN24)=0,"",IFERROR((AG24+AH24)/AC24,""))</x:f>
      </x:c>
      <x:c r="AS24" s="44" t="str">
        <x:f>IF(COUNTA(AC24:AN24)=0,"",IFERROR(AI24/AC24,""))</x:f>
      </x:c>
      <x:c r="AT24" s="44" t="str">
        <x:f>IF(COUNTA(AC24:AN24)=0,"",IFERROR(AJ24/AC24,""))</x:f>
      </x:c>
      <x:c r="AU24" s="44" t="str">
        <x:f>IF(COUNTA(AC24:AN24)=0,"",IFERROR(AK24/AJ24,""))</x:f>
      </x:c>
      <x:c r="AV24" s="44" t="str">
        <x:f>IF(COUNTA(AC24:AN24)=0,"",IFERROR((AM24+AN24)/IF(AJ24&gt;0,AJ24,IF(AD24&gt;0,AD24,AC24)),""))</x:f>
      </x:c>
      <x:c r="AW24" s="29"/>
    </x:row>
    <x:row r="25">
      <x:c r="A25" s="29"/>
      <x:c r="B25" s="41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42"/>
      <x:c r="AA25" s="29"/>
      <x:c r="AB25" s="29"/>
      <x:c r="AC25" s="43"/>
      <x:c r="AD25" s="43"/>
      <x:c r="AE25" s="43"/>
      <x:c r="AF25" s="43"/>
      <x:c r="AG25" s="43"/>
      <x:c r="AH25" s="43"/>
      <x:c r="AI25" s="43"/>
      <x:c r="AJ25" s="43"/>
      <x:c r="AK25" s="43"/>
      <x:c r="AL25" s="43"/>
      <x:c r="AM25" s="43"/>
      <x:c r="AN25" s="43"/>
      <x:c r="AO25" s="44" t="str">
        <x:f>IF(COUNTA(AC25:AN25)=0,"",IFERROR(AD25/AC25,""))</x:f>
      </x:c>
      <x:c r="AP25" s="44" t="str">
        <x:f>IF(COUNTA(AC25:AN25)=0,"",IFERROR((AF25+AG25+AH25+AI25)/AC25,""))</x:f>
      </x:c>
      <x:c r="AQ25" s="44" t="str">
        <x:f>IF(COUNTA(AC25:AN25)=0,"",IFERROR(AJ25/IF(C25="X",AC25,AD25),""))</x:f>
      </x:c>
      <x:c r="AR25" s="44" t="str">
        <x:f>IF(COUNTA(AC25:AN25)=0,"",IFERROR((AG25+AH25)/AC25,""))</x:f>
      </x:c>
      <x:c r="AS25" s="44" t="str">
        <x:f>IF(COUNTA(AC25:AN25)=0,"",IFERROR(AI25/AC25,""))</x:f>
      </x:c>
      <x:c r="AT25" s="44" t="str">
        <x:f>IF(COUNTA(AC25:AN25)=0,"",IFERROR(AJ25/AC25,""))</x:f>
      </x:c>
      <x:c r="AU25" s="44" t="str">
        <x:f>IF(COUNTA(AC25:AN25)=0,"",IFERROR(AK25/AJ25,""))</x:f>
      </x:c>
      <x:c r="AV25" s="44" t="str">
        <x:f>IF(COUNTA(AC25:AN25)=0,"",IFERROR((AM25+AN25)/IF(AJ25&gt;0,AJ25,IF(AD25&gt;0,AD25,AC25)),""))</x:f>
      </x:c>
      <x:c r="AW25" s="29"/>
    </x:row>
    <x:row r="26">
      <x:c r="A26" s="29"/>
      <x:c r="B26" s="41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42"/>
      <x:c r="AA26" s="29"/>
      <x:c r="AB26" s="29"/>
      <x:c r="AC26" s="43"/>
      <x:c r="AD26" s="43"/>
      <x:c r="AE26" s="43"/>
      <x:c r="AF26" s="43"/>
      <x:c r="AG26" s="43"/>
      <x:c r="AH26" s="43"/>
      <x:c r="AI26" s="43"/>
      <x:c r="AJ26" s="43"/>
      <x:c r="AK26" s="43"/>
      <x:c r="AL26" s="43"/>
      <x:c r="AM26" s="43"/>
      <x:c r="AN26" s="43"/>
      <x:c r="AO26" s="44" t="str">
        <x:f>IF(COUNTA(AC26:AN26)=0,"",IFERROR(AD26/AC26,""))</x:f>
      </x:c>
      <x:c r="AP26" s="44" t="str">
        <x:f>IF(COUNTA(AC26:AN26)=0,"",IFERROR((AF26+AG26+AH26+AI26)/AC26,""))</x:f>
      </x:c>
      <x:c r="AQ26" s="44" t="str">
        <x:f>IF(COUNTA(AC26:AN26)=0,"",IFERROR(AJ26/IF(C26="X",AC26,AD26),""))</x:f>
      </x:c>
      <x:c r="AR26" s="44" t="str">
        <x:f>IF(COUNTA(AC26:AN26)=0,"",IFERROR((AG26+AH26)/AC26,""))</x:f>
      </x:c>
      <x:c r="AS26" s="44" t="str">
        <x:f>IF(COUNTA(AC26:AN26)=0,"",IFERROR(AI26/AC26,""))</x:f>
      </x:c>
      <x:c r="AT26" s="44" t="str">
        <x:f>IF(COUNTA(AC26:AN26)=0,"",IFERROR(AJ26/AC26,""))</x:f>
      </x:c>
      <x:c r="AU26" s="44" t="str">
        <x:f>IF(COUNTA(AC26:AN26)=0,"",IFERROR(AK26/AJ26,""))</x:f>
      </x:c>
      <x:c r="AV26" s="44" t="str">
        <x:f>IF(COUNTA(AC26:AN26)=0,"",IFERROR((AM26+AN26)/IF(AJ26&gt;0,AJ26,IF(AD26&gt;0,AD26,AC26)),""))</x:f>
      </x:c>
      <x:c r="AW26" s="29"/>
    </x:row>
    <x:row r="27">
      <x:c r="A27" s="29"/>
      <x:c r="B27" s="41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42"/>
      <x:c r="AA27" s="29"/>
      <x:c r="AB27" s="29"/>
      <x:c r="AC27" s="43"/>
      <x:c r="AD27" s="43"/>
      <x:c r="AE27" s="43"/>
      <x:c r="AF27" s="43"/>
      <x:c r="AG27" s="43"/>
      <x:c r="AH27" s="43"/>
      <x:c r="AI27" s="43"/>
      <x:c r="AJ27" s="43"/>
      <x:c r="AK27" s="43"/>
      <x:c r="AL27" s="43"/>
      <x:c r="AM27" s="43"/>
      <x:c r="AN27" s="43"/>
      <x:c r="AO27" s="44" t="str">
        <x:f>IF(COUNTA(AC27:AN27)=0,"",IFERROR(AD27/AC27,""))</x:f>
      </x:c>
      <x:c r="AP27" s="44" t="str">
        <x:f>IF(COUNTA(AC27:AN27)=0,"",IFERROR((AF27+AG27+AH27+AI27)/AC27,""))</x:f>
      </x:c>
      <x:c r="AQ27" s="44" t="str">
        <x:f>IF(COUNTA(AC27:AN27)=0,"",IFERROR(AJ27/IF(C27="X",AC27,AD27),""))</x:f>
      </x:c>
      <x:c r="AR27" s="44" t="str">
        <x:f>IF(COUNTA(AC27:AN27)=0,"",IFERROR((AG27+AH27)/AC27,""))</x:f>
      </x:c>
      <x:c r="AS27" s="44" t="str">
        <x:f>IF(COUNTA(AC27:AN27)=0,"",IFERROR(AI27/AC27,""))</x:f>
      </x:c>
      <x:c r="AT27" s="44" t="str">
        <x:f>IF(COUNTA(AC27:AN27)=0,"",IFERROR(AJ27/AC27,""))</x:f>
      </x:c>
      <x:c r="AU27" s="44" t="str">
        <x:f>IF(COUNTA(AC27:AN27)=0,"",IFERROR(AK27/AJ27,""))</x:f>
      </x:c>
      <x:c r="AV27" s="44" t="str">
        <x:f>IF(COUNTA(AC27:AN27)=0,"",IFERROR((AM27+AN27)/IF(AJ27&gt;0,AJ27,IF(AD27&gt;0,AD27,AC27)),""))</x:f>
      </x:c>
      <x:c r="AW27" s="29"/>
    </x:row>
    <x:row r="28">
      <x:c r="A28" s="29"/>
      <x:c r="B28" s="41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42"/>
      <x:c r="AA28" s="29"/>
      <x:c r="AB28" s="29"/>
      <x:c r="AC28" s="43"/>
      <x:c r="AD28" s="43"/>
      <x:c r="AE28" s="43"/>
      <x:c r="AF28" s="43"/>
      <x:c r="AG28" s="43"/>
      <x:c r="AH28" s="43"/>
      <x:c r="AI28" s="43"/>
      <x:c r="AJ28" s="43"/>
      <x:c r="AK28" s="43"/>
      <x:c r="AL28" s="43"/>
      <x:c r="AM28" s="43"/>
      <x:c r="AN28" s="43"/>
      <x:c r="AO28" s="44" t="str">
        <x:f>IF(COUNTA(AC28:AN28)=0,"",IFERROR(AD28/AC28,""))</x:f>
      </x:c>
      <x:c r="AP28" s="44" t="str">
        <x:f>IF(COUNTA(AC28:AN28)=0,"",IFERROR((AF28+AG28+AH28+AI28)/AC28,""))</x:f>
      </x:c>
      <x:c r="AQ28" s="44" t="str">
        <x:f>IF(COUNTA(AC28:AN28)=0,"",IFERROR(AJ28/IF(C28="X",AC28,AD28),""))</x:f>
      </x:c>
      <x:c r="AR28" s="44" t="str">
        <x:f>IF(COUNTA(AC28:AN28)=0,"",IFERROR((AG28+AH28)/AC28,""))</x:f>
      </x:c>
      <x:c r="AS28" s="44" t="str">
        <x:f>IF(COUNTA(AC28:AN28)=0,"",IFERROR(AI28/AC28,""))</x:f>
      </x:c>
      <x:c r="AT28" s="44" t="str">
        <x:f>IF(COUNTA(AC28:AN28)=0,"",IFERROR(AJ28/AC28,""))</x:f>
      </x:c>
      <x:c r="AU28" s="44" t="str">
        <x:f>IF(COUNTA(AC28:AN28)=0,"",IFERROR(AK28/AJ28,""))</x:f>
      </x:c>
      <x:c r="AV28" s="44" t="str">
        <x:f>IF(COUNTA(AC28:AN28)=0,"",IFERROR((AM28+AN28)/IF(AJ28&gt;0,AJ28,IF(AD28&gt;0,AD28,AC28)),""))</x:f>
      </x:c>
      <x:c r="AW28" s="29"/>
    </x:row>
    <x:row r="29">
      <x:c r="A29" s="29"/>
      <x:c r="B29" s="41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42"/>
      <x:c r="AA29" s="29"/>
      <x:c r="AB29" s="29"/>
      <x:c r="AC29" s="43"/>
      <x:c r="AD29" s="43"/>
      <x:c r="AE29" s="43"/>
      <x:c r="AF29" s="43"/>
      <x:c r="AG29" s="43"/>
      <x:c r="AH29" s="43"/>
      <x:c r="AI29" s="43"/>
      <x:c r="AJ29" s="43"/>
      <x:c r="AK29" s="43"/>
      <x:c r="AL29" s="43"/>
      <x:c r="AM29" s="43"/>
      <x:c r="AN29" s="43"/>
      <x:c r="AO29" s="44" t="str">
        <x:f>IF(COUNTA(AC29:AN29)=0,"",IFERROR(AD29/AC29,""))</x:f>
      </x:c>
      <x:c r="AP29" s="44" t="str">
        <x:f>IF(COUNTA(AC29:AN29)=0,"",IFERROR((AF29+AG29+AH29+AI29)/AC29,""))</x:f>
      </x:c>
      <x:c r="AQ29" s="44" t="str">
        <x:f>IF(COUNTA(AC29:AN29)=0,"",IFERROR(AJ29/IF(C29="X",AC29,AD29),""))</x:f>
      </x:c>
      <x:c r="AR29" s="44" t="str">
        <x:f>IF(COUNTA(AC29:AN29)=0,"",IFERROR((AG29+AH29)/AC29,""))</x:f>
      </x:c>
      <x:c r="AS29" s="44" t="str">
        <x:f>IF(COUNTA(AC29:AN29)=0,"",IFERROR(AI29/AC29,""))</x:f>
      </x:c>
      <x:c r="AT29" s="44" t="str">
        <x:f>IF(COUNTA(AC29:AN29)=0,"",IFERROR(AJ29/AC29,""))</x:f>
      </x:c>
      <x:c r="AU29" s="44" t="str">
        <x:f>IF(COUNTA(AC29:AN29)=0,"",IFERROR(AK29/AJ29,""))</x:f>
      </x:c>
      <x:c r="AV29" s="44" t="str">
        <x:f>IF(COUNTA(AC29:AN29)=0,"",IFERROR((AM29+AN29)/IF(AJ29&gt;0,AJ29,IF(AD29&gt;0,AD29,AC29)),""))</x:f>
      </x:c>
      <x:c r="AW29" s="29"/>
    </x:row>
    <x:row r="30">
      <x:c r="A30" s="29"/>
      <x:c r="B30" s="41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42"/>
      <x:c r="AA30" s="29"/>
      <x:c r="AB30" s="29"/>
      <x:c r="AC30" s="43"/>
      <x:c r="AD30" s="43"/>
      <x:c r="AE30" s="43"/>
      <x:c r="AF30" s="43"/>
      <x:c r="AG30" s="43"/>
      <x:c r="AH30" s="43"/>
      <x:c r="AI30" s="43"/>
      <x:c r="AJ30" s="43"/>
      <x:c r="AK30" s="43"/>
      <x:c r="AL30" s="43"/>
      <x:c r="AM30" s="43"/>
      <x:c r="AN30" s="43"/>
      <x:c r="AO30" s="44" t="str">
        <x:f>IF(COUNTA(AC30:AN30)=0,"",IFERROR(AD30/AC30,""))</x:f>
      </x:c>
      <x:c r="AP30" s="44" t="str">
        <x:f>IF(COUNTA(AC30:AN30)=0,"",IFERROR((AF30+AG30+AH30+AI30)/AC30,""))</x:f>
      </x:c>
      <x:c r="AQ30" s="44" t="str">
        <x:f>IF(COUNTA(AC30:AN30)=0,"",IFERROR(AJ30/IF(C30="X",AC30,AD30),""))</x:f>
      </x:c>
      <x:c r="AR30" s="44" t="str">
        <x:f>IF(COUNTA(AC30:AN30)=0,"",IFERROR((AG30+AH30)/AC30,""))</x:f>
      </x:c>
      <x:c r="AS30" s="44" t="str">
        <x:f>IF(COUNTA(AC30:AN30)=0,"",IFERROR(AI30/AC30,""))</x:f>
      </x:c>
      <x:c r="AT30" s="44" t="str">
        <x:f>IF(COUNTA(AC30:AN30)=0,"",IFERROR(AJ30/AC30,""))</x:f>
      </x:c>
      <x:c r="AU30" s="44" t="str">
        <x:f>IF(COUNTA(AC30:AN30)=0,"",IFERROR(AK30/AJ30,""))</x:f>
      </x:c>
      <x:c r="AV30" s="44" t="str">
        <x:f>IF(COUNTA(AC30:AN30)=0,"",IFERROR((AM30+AN30)/IF(AJ30&gt;0,AJ30,IF(AD30&gt;0,AD30,AC30)),""))</x:f>
      </x:c>
      <x:c r="AW30" s="29"/>
    </x:row>
    <x:row r="31">
      <x:c r="A31" s="29"/>
      <x:c r="B31" s="41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42"/>
      <x:c r="AA31" s="29"/>
      <x:c r="AB31" s="29"/>
      <x:c r="AC31" s="43"/>
      <x:c r="AD31" s="43"/>
      <x:c r="AE31" s="43"/>
      <x:c r="AF31" s="43"/>
      <x:c r="AG31" s="43"/>
      <x:c r="AH31" s="43"/>
      <x:c r="AI31" s="43"/>
      <x:c r="AJ31" s="43"/>
      <x:c r="AK31" s="43"/>
      <x:c r="AL31" s="43"/>
      <x:c r="AM31" s="43"/>
      <x:c r="AN31" s="43"/>
      <x:c r="AO31" s="44" t="str">
        <x:f>IF(COUNTA(AC31:AN31)=0,"",IFERROR(AD31/AC31,""))</x:f>
      </x:c>
      <x:c r="AP31" s="44" t="str">
        <x:f>IF(COUNTA(AC31:AN31)=0,"",IFERROR((AF31+AG31+AH31+AI31)/AC31,""))</x:f>
      </x:c>
      <x:c r="AQ31" s="44" t="str">
        <x:f>IF(COUNTA(AC31:AN31)=0,"",IFERROR(AJ31/IF(C31="X",AC31,AD31),""))</x:f>
      </x:c>
      <x:c r="AR31" s="44" t="str">
        <x:f>IF(COUNTA(AC31:AN31)=0,"",IFERROR((AG31+AH31)/AC31,""))</x:f>
      </x:c>
      <x:c r="AS31" s="44" t="str">
        <x:f>IF(COUNTA(AC31:AN31)=0,"",IFERROR(AI31/AC31,""))</x:f>
      </x:c>
      <x:c r="AT31" s="44" t="str">
        <x:f>IF(COUNTA(AC31:AN31)=0,"",IFERROR(AJ31/AC31,""))</x:f>
      </x:c>
      <x:c r="AU31" s="44" t="str">
        <x:f>IF(COUNTA(AC31:AN31)=0,"",IFERROR(AK31/AJ31,""))</x:f>
      </x:c>
      <x:c r="AV31" s="44" t="str">
        <x:f>IF(COUNTA(AC31:AN31)=0,"",IFERROR((AM31+AN31)/IF(AJ31&gt;0,AJ31,IF(AD31&gt;0,AD31,AC31)),""))</x:f>
      </x:c>
      <x:c r="AW31" s="29"/>
    </x:row>
    <x:row r="32">
      <x:c r="A32" s="29"/>
      <x:c r="B32" s="41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42"/>
      <x:c r="AA32" s="29"/>
      <x:c r="AB32" s="29"/>
      <x:c r="AC32" s="43"/>
      <x:c r="AD32" s="43"/>
      <x:c r="AE32" s="43"/>
      <x:c r="AF32" s="43"/>
      <x:c r="AG32" s="43"/>
      <x:c r="AH32" s="43"/>
      <x:c r="AI32" s="43"/>
      <x:c r="AJ32" s="43"/>
      <x:c r="AK32" s="43"/>
      <x:c r="AL32" s="43"/>
      <x:c r="AM32" s="43"/>
      <x:c r="AN32" s="43"/>
      <x:c r="AO32" s="44" t="str">
        <x:f>IF(COUNTA(AC32:AN32)=0,"",IFERROR(AD32/AC32,""))</x:f>
      </x:c>
      <x:c r="AP32" s="44" t="str">
        <x:f>IF(COUNTA(AC32:AN32)=0,"",IFERROR((AF32+AG32+AH32+AI32)/AC32,""))</x:f>
      </x:c>
      <x:c r="AQ32" s="44" t="str">
        <x:f>IF(COUNTA(AC32:AN32)=0,"",IFERROR(AJ32/IF(C32="X",AC32,AD32),""))</x:f>
      </x:c>
      <x:c r="AR32" s="44" t="str">
        <x:f>IF(COUNTA(AC32:AN32)=0,"",IFERROR((AG32+AH32)/AC32,""))</x:f>
      </x:c>
      <x:c r="AS32" s="44" t="str">
        <x:f>IF(COUNTA(AC32:AN32)=0,"",IFERROR(AI32/AC32,""))</x:f>
      </x:c>
      <x:c r="AT32" s="44" t="str">
        <x:f>IF(COUNTA(AC32:AN32)=0,"",IFERROR(AJ32/AC32,""))</x:f>
      </x:c>
      <x:c r="AU32" s="44" t="str">
        <x:f>IF(COUNTA(AC32:AN32)=0,"",IFERROR(AK32/AJ32,""))</x:f>
      </x:c>
      <x:c r="AV32" s="44" t="str">
        <x:f>IF(COUNTA(AC32:AN32)=0,"",IFERROR((AM32+AN32)/IF(AJ32&gt;0,AJ32,IF(AD32&gt;0,AD32,AC32)),""))</x:f>
      </x:c>
      <x:c r="AW32" s="29"/>
    </x:row>
    <x:row r="33">
      <x:c r="A33" s="29"/>
      <x:c r="B33" s="41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42"/>
      <x:c r="AA33" s="29"/>
      <x:c r="AB33" s="29"/>
      <x:c r="AC33" s="43"/>
      <x:c r="AD33" s="43"/>
      <x:c r="AE33" s="43"/>
      <x:c r="AF33" s="43"/>
      <x:c r="AG33" s="43"/>
      <x:c r="AH33" s="43"/>
      <x:c r="AI33" s="43"/>
      <x:c r="AJ33" s="43"/>
      <x:c r="AK33" s="43"/>
      <x:c r="AL33" s="43"/>
      <x:c r="AM33" s="43"/>
      <x:c r="AN33" s="43"/>
      <x:c r="AO33" s="44" t="str">
        <x:f>IF(COUNTA(AC33:AN33)=0,"",IFERROR(AD33/AC33,""))</x:f>
      </x:c>
      <x:c r="AP33" s="44" t="str">
        <x:f>IF(COUNTA(AC33:AN33)=0,"",IFERROR((AF33+AG33+AH33+AI33)/AC33,""))</x:f>
      </x:c>
      <x:c r="AQ33" s="44" t="str">
        <x:f>IF(COUNTA(AC33:AN33)=0,"",IFERROR(AJ33/IF(C33="X",AC33,AD33),""))</x:f>
      </x:c>
      <x:c r="AR33" s="44" t="str">
        <x:f>IF(COUNTA(AC33:AN33)=0,"",IFERROR((AG33+AH33)/AC33,""))</x:f>
      </x:c>
      <x:c r="AS33" s="44" t="str">
        <x:f>IF(COUNTA(AC33:AN33)=0,"",IFERROR(AI33/AC33,""))</x:f>
      </x:c>
      <x:c r="AT33" s="44" t="str">
        <x:f>IF(COUNTA(AC33:AN33)=0,"",IFERROR(AJ33/AC33,""))</x:f>
      </x:c>
      <x:c r="AU33" s="44" t="str">
        <x:f>IF(COUNTA(AC33:AN33)=0,"",IFERROR(AK33/AJ33,""))</x:f>
      </x:c>
      <x:c r="AV33" s="44" t="str">
        <x:f>IF(COUNTA(AC33:AN33)=0,"",IFERROR((AM33+AN33)/IF(AJ33&gt;0,AJ33,IF(AD33&gt;0,AD33,AC33)),""))</x:f>
      </x:c>
      <x:c r="AW33" s="29"/>
    </x:row>
    <x:row r="34">
      <x:c r="A34" s="29"/>
      <x:c r="B34" s="41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42"/>
      <x:c r="AA34" s="29"/>
      <x:c r="AB34" s="29"/>
      <x:c r="AC34" s="43"/>
      <x:c r="AD34" s="43"/>
      <x:c r="AE34" s="43"/>
      <x:c r="AF34" s="43"/>
      <x:c r="AG34" s="43"/>
      <x:c r="AH34" s="43"/>
      <x:c r="AI34" s="43"/>
      <x:c r="AJ34" s="43"/>
      <x:c r="AK34" s="43"/>
      <x:c r="AL34" s="43"/>
      <x:c r="AM34" s="43"/>
      <x:c r="AN34" s="43"/>
      <x:c r="AO34" s="44" t="str">
        <x:f>IF(COUNTA(AC34:AN34)=0,"",IFERROR(AD34/AC34,""))</x:f>
      </x:c>
      <x:c r="AP34" s="44" t="str">
        <x:f>IF(COUNTA(AC34:AN34)=0,"",IFERROR((AF34+AG34+AH34+AI34)/AC34,""))</x:f>
      </x:c>
      <x:c r="AQ34" s="44" t="str">
        <x:f>IF(COUNTA(AC34:AN34)=0,"",IFERROR(AJ34/IF(C34="X",AC34,AD34),""))</x:f>
      </x:c>
      <x:c r="AR34" s="44" t="str">
        <x:f>IF(COUNTA(AC34:AN34)=0,"",IFERROR((AG34+AH34)/AC34,""))</x:f>
      </x:c>
      <x:c r="AS34" s="44" t="str">
        <x:f>IF(COUNTA(AC34:AN34)=0,"",IFERROR(AI34/AC34,""))</x:f>
      </x:c>
      <x:c r="AT34" s="44" t="str">
        <x:f>IF(COUNTA(AC34:AN34)=0,"",IFERROR(AJ34/AC34,""))</x:f>
      </x:c>
      <x:c r="AU34" s="44" t="str">
        <x:f>IF(COUNTA(AC34:AN34)=0,"",IFERROR(AK34/AJ34,""))</x:f>
      </x:c>
      <x:c r="AV34" s="44" t="str">
        <x:f>IF(COUNTA(AC34:AN34)=0,"",IFERROR((AM34+AN34)/IF(AJ34&gt;0,AJ34,IF(AD34&gt;0,AD34,AC34)),""))</x:f>
      </x:c>
      <x:c r="AW34" s="29"/>
    </x:row>
    <x:row r="35">
      <x:c r="A35" s="29"/>
      <x:c r="B35" s="41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42"/>
      <x:c r="AA35" s="29"/>
      <x:c r="AB35" s="29"/>
      <x:c r="AC35" s="43"/>
      <x:c r="AD35" s="43"/>
      <x:c r="AE35" s="43"/>
      <x:c r="AF35" s="43"/>
      <x:c r="AG35" s="43"/>
      <x:c r="AH35" s="43"/>
      <x:c r="AI35" s="43"/>
      <x:c r="AJ35" s="43"/>
      <x:c r="AK35" s="43"/>
      <x:c r="AL35" s="43"/>
      <x:c r="AM35" s="43"/>
      <x:c r="AN35" s="43"/>
      <x:c r="AO35" s="44" t="str">
        <x:f>IF(COUNTA(AC35:AN35)=0,"",IFERROR(AD35/AC35,""))</x:f>
      </x:c>
      <x:c r="AP35" s="44" t="str">
        <x:f>IF(COUNTA(AC35:AN35)=0,"",IFERROR((AF35+AG35+AH35+AI35)/AC35,""))</x:f>
      </x:c>
      <x:c r="AQ35" s="44" t="str">
        <x:f>IF(COUNTA(AC35:AN35)=0,"",IFERROR(AJ35/IF(C35="X",AC35,AD35),""))</x:f>
      </x:c>
      <x:c r="AR35" s="44" t="str">
        <x:f>IF(COUNTA(AC35:AN35)=0,"",IFERROR((AG35+AH35)/AC35,""))</x:f>
      </x:c>
      <x:c r="AS35" s="44" t="str">
        <x:f>IF(COUNTA(AC35:AN35)=0,"",IFERROR(AI35/AC35,""))</x:f>
      </x:c>
      <x:c r="AT35" s="44" t="str">
        <x:f>IF(COUNTA(AC35:AN35)=0,"",IFERROR(AJ35/AC35,""))</x:f>
      </x:c>
      <x:c r="AU35" s="44" t="str">
        <x:f>IF(COUNTA(AC35:AN35)=0,"",IFERROR(AK35/AJ35,""))</x:f>
      </x:c>
      <x:c r="AV35" s="44" t="str">
        <x:f>IF(COUNTA(AC35:AN35)=0,"",IFERROR((AM35+AN35)/IF(AJ35&gt;0,AJ35,IF(AD35&gt;0,AD35,AC35)),""))</x:f>
      </x:c>
      <x:c r="AW35" s="29"/>
    </x:row>
    <x:row r="36">
      <x:c r="A36" s="29"/>
      <x:c r="B36" s="41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42"/>
      <x:c r="AA36" s="29"/>
      <x:c r="AB36" s="29"/>
      <x:c r="AC36" s="43"/>
      <x:c r="AD36" s="43"/>
      <x:c r="AE36" s="43"/>
      <x:c r="AF36" s="43"/>
      <x:c r="AG36" s="43"/>
      <x:c r="AH36" s="43"/>
      <x:c r="AI36" s="43"/>
      <x:c r="AJ36" s="43"/>
      <x:c r="AK36" s="43"/>
      <x:c r="AL36" s="43"/>
      <x:c r="AM36" s="43"/>
      <x:c r="AN36" s="43"/>
      <x:c r="AO36" s="44" t="str">
        <x:f>IF(COUNTA(AC36:AN36)=0,"",IFERROR(AD36/AC36,""))</x:f>
      </x:c>
      <x:c r="AP36" s="44" t="str">
        <x:f>IF(COUNTA(AC36:AN36)=0,"",IFERROR((AF36+AG36+AH36+AI36)/AC36,""))</x:f>
      </x:c>
      <x:c r="AQ36" s="44" t="str">
        <x:f>IF(COUNTA(AC36:AN36)=0,"",IFERROR(AJ36/IF(C36="X",AC36,AD36),""))</x:f>
      </x:c>
      <x:c r="AR36" s="44" t="str">
        <x:f>IF(COUNTA(AC36:AN36)=0,"",IFERROR((AG36+AH36)/AC36,""))</x:f>
      </x:c>
      <x:c r="AS36" s="44" t="str">
        <x:f>IF(COUNTA(AC36:AN36)=0,"",IFERROR(AI36/AC36,""))</x:f>
      </x:c>
      <x:c r="AT36" s="44" t="str">
        <x:f>IF(COUNTA(AC36:AN36)=0,"",IFERROR(AJ36/AC36,""))</x:f>
      </x:c>
      <x:c r="AU36" s="44" t="str">
        <x:f>IF(COUNTA(AC36:AN36)=0,"",IFERROR(AK36/AJ36,""))</x:f>
      </x:c>
      <x:c r="AV36" s="44" t="str">
        <x:f>IF(COUNTA(AC36:AN36)=0,"",IFERROR((AM36+AN36)/IF(AJ36&gt;0,AJ36,IF(AD36&gt;0,AD36,AC36)),""))</x:f>
      </x:c>
      <x:c r="AW36" s="29"/>
    </x:row>
    <x:row r="37">
      <x:c r="A37" s="29"/>
      <x:c r="B37" s="41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42"/>
      <x:c r="AA37" s="29"/>
      <x:c r="AB37" s="29"/>
      <x:c r="AC37" s="43"/>
      <x:c r="AD37" s="43"/>
      <x:c r="AE37" s="43"/>
      <x:c r="AF37" s="43"/>
      <x:c r="AG37" s="43"/>
      <x:c r="AH37" s="43"/>
      <x:c r="AI37" s="43"/>
      <x:c r="AJ37" s="43"/>
      <x:c r="AK37" s="43"/>
      <x:c r="AL37" s="43"/>
      <x:c r="AM37" s="43"/>
      <x:c r="AN37" s="43"/>
      <x:c r="AO37" s="44" t="str">
        <x:f>IF(COUNTA(AC37:AN37)=0,"",IFERROR(AD37/AC37,""))</x:f>
      </x:c>
      <x:c r="AP37" s="44" t="str">
        <x:f>IF(COUNTA(AC37:AN37)=0,"",IFERROR((AF37+AG37+AH37+AI37)/AC37,""))</x:f>
      </x:c>
      <x:c r="AQ37" s="44" t="str">
        <x:f>IF(COUNTA(AC37:AN37)=0,"",IFERROR(AJ37/IF(C37="X",AC37,AD37),""))</x:f>
      </x:c>
      <x:c r="AR37" s="44" t="str">
        <x:f>IF(COUNTA(AC37:AN37)=0,"",IFERROR((AG37+AH37)/AC37,""))</x:f>
      </x:c>
      <x:c r="AS37" s="44" t="str">
        <x:f>IF(COUNTA(AC37:AN37)=0,"",IFERROR(AI37/AC37,""))</x:f>
      </x:c>
      <x:c r="AT37" s="44" t="str">
        <x:f>IF(COUNTA(AC37:AN37)=0,"",IFERROR(AJ37/AC37,""))</x:f>
      </x:c>
      <x:c r="AU37" s="44" t="str">
        <x:f>IF(COUNTA(AC37:AN37)=0,"",IFERROR(AK37/AJ37,""))</x:f>
      </x:c>
      <x:c r="AV37" s="44" t="str">
        <x:f>IF(COUNTA(AC37:AN37)=0,"",IFERROR((AM37+AN37)/IF(AJ37&gt;0,AJ37,IF(AD37&gt;0,AD37,AC37)),""))</x:f>
      </x:c>
      <x:c r="AW37" s="29"/>
    </x:row>
    <x:row r="38">
      <x:c r="A38" s="29"/>
      <x:c r="B38" s="41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42"/>
      <x:c r="AA38" s="29"/>
      <x:c r="AB38" s="29"/>
      <x:c r="AC38" s="43"/>
      <x:c r="AD38" s="43"/>
      <x:c r="AE38" s="43"/>
      <x:c r="AF38" s="43"/>
      <x:c r="AG38" s="43"/>
      <x:c r="AH38" s="43"/>
      <x:c r="AI38" s="43"/>
      <x:c r="AJ38" s="43"/>
      <x:c r="AK38" s="43"/>
      <x:c r="AL38" s="43"/>
      <x:c r="AM38" s="43"/>
      <x:c r="AN38" s="43"/>
      <x:c r="AO38" s="44" t="str">
        <x:f>IF(COUNTA(AC38:AN38)=0,"",IFERROR(AD38/AC38,""))</x:f>
      </x:c>
      <x:c r="AP38" s="44" t="str">
        <x:f>IF(COUNTA(AC38:AN38)=0,"",IFERROR((AF38+AG38+AH38+AI38)/AC38,""))</x:f>
      </x:c>
      <x:c r="AQ38" s="44" t="str">
        <x:f>IF(COUNTA(AC38:AN38)=0,"",IFERROR(AJ38/IF(C38="X",AC38,AD38),""))</x:f>
      </x:c>
      <x:c r="AR38" s="44" t="str">
        <x:f>IF(COUNTA(AC38:AN38)=0,"",IFERROR((AG38+AH38)/AC38,""))</x:f>
      </x:c>
      <x:c r="AS38" s="44" t="str">
        <x:f>IF(COUNTA(AC38:AN38)=0,"",IFERROR(AI38/AC38,""))</x:f>
      </x:c>
      <x:c r="AT38" s="44" t="str">
        <x:f>IF(COUNTA(AC38:AN38)=0,"",IFERROR(AJ38/AC38,""))</x:f>
      </x:c>
      <x:c r="AU38" s="44" t="str">
        <x:f>IF(COUNTA(AC38:AN38)=0,"",IFERROR(AK38/AJ38,""))</x:f>
      </x:c>
      <x:c r="AV38" s="44" t="str">
        <x:f>IF(COUNTA(AC38:AN38)=0,"",IFERROR((AM38+AN38)/IF(AJ38&gt;0,AJ38,IF(AD38&gt;0,AD38,AC38)),""))</x:f>
      </x:c>
      <x:c r="AW38" s="29"/>
    </x:row>
    <x:row r="39">
      <x:c r="A39" s="29"/>
      <x:c r="B39" s="41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42"/>
      <x:c r="AA39" s="29"/>
      <x:c r="AB39" s="29"/>
      <x:c r="AC39" s="43"/>
      <x:c r="AD39" s="43"/>
      <x:c r="AE39" s="43"/>
      <x:c r="AF39" s="43"/>
      <x:c r="AG39" s="43"/>
      <x:c r="AH39" s="43"/>
      <x:c r="AI39" s="43"/>
      <x:c r="AJ39" s="43"/>
      <x:c r="AK39" s="43"/>
      <x:c r="AL39" s="43"/>
      <x:c r="AM39" s="43"/>
      <x:c r="AN39" s="43"/>
      <x:c r="AO39" s="44" t="str">
        <x:f>IF(COUNTA(AC39:AN39)=0,"",IFERROR(AD39/AC39,""))</x:f>
      </x:c>
      <x:c r="AP39" s="44" t="str">
        <x:f>IF(COUNTA(AC39:AN39)=0,"",IFERROR((AF39+AG39+AH39+AI39)/AC39,""))</x:f>
      </x:c>
      <x:c r="AQ39" s="44" t="str">
        <x:f>IF(COUNTA(AC39:AN39)=0,"",IFERROR(AJ39/IF(C39="X",AC39,AD39),""))</x:f>
      </x:c>
      <x:c r="AR39" s="44" t="str">
        <x:f>IF(COUNTA(AC39:AN39)=0,"",IFERROR((AG39+AH39)/AC39,""))</x:f>
      </x:c>
      <x:c r="AS39" s="44" t="str">
        <x:f>IF(COUNTA(AC39:AN39)=0,"",IFERROR(AI39/AC39,""))</x:f>
      </x:c>
      <x:c r="AT39" s="44" t="str">
        <x:f>IF(COUNTA(AC39:AN39)=0,"",IFERROR(AJ39/AC39,""))</x:f>
      </x:c>
      <x:c r="AU39" s="44" t="str">
        <x:f>IF(COUNTA(AC39:AN39)=0,"",IFERROR(AK39/AJ39,""))</x:f>
      </x:c>
      <x:c r="AV39" s="44" t="str">
        <x:f>IF(COUNTA(AC39:AN39)=0,"",IFERROR((AM39+AN39)/IF(AJ39&gt;0,AJ39,IF(AD39&gt;0,AD39,AC39)),""))</x:f>
      </x:c>
      <x:c r="AW39" s="29"/>
    </x:row>
    <x:row r="40">
      <x:c r="A40" s="29"/>
      <x:c r="B40" s="41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42"/>
      <x:c r="AA40" s="29"/>
      <x:c r="AB40" s="29"/>
      <x:c r="AC40" s="43"/>
      <x:c r="AD40" s="43"/>
      <x:c r="AE40" s="43"/>
      <x:c r="AF40" s="43"/>
      <x:c r="AG40" s="43"/>
      <x:c r="AH40" s="43"/>
      <x:c r="AI40" s="43"/>
      <x:c r="AJ40" s="43"/>
      <x:c r="AK40" s="43"/>
      <x:c r="AL40" s="43"/>
      <x:c r="AM40" s="43"/>
      <x:c r="AN40" s="43"/>
      <x:c r="AO40" s="44" t="str">
        <x:f>IF(COUNTA(AC40:AN40)=0,"",IFERROR(AD40/AC40,""))</x:f>
      </x:c>
      <x:c r="AP40" s="44" t="str">
        <x:f>IF(COUNTA(AC40:AN40)=0,"",IFERROR((AF40+AG40+AH40+AI40)/AC40,""))</x:f>
      </x:c>
      <x:c r="AQ40" s="44" t="str">
        <x:f>IF(COUNTA(AC40:AN40)=0,"",IFERROR(AJ40/IF(C40="X",AC40,AD40),""))</x:f>
      </x:c>
      <x:c r="AR40" s="44" t="str">
        <x:f>IF(COUNTA(AC40:AN40)=0,"",IFERROR((AG40+AH40)/AC40,""))</x:f>
      </x:c>
      <x:c r="AS40" s="44" t="str">
        <x:f>IF(COUNTA(AC40:AN40)=0,"",IFERROR(AI40/AC40,""))</x:f>
      </x:c>
      <x:c r="AT40" s="44" t="str">
        <x:f>IF(COUNTA(AC40:AN40)=0,"",IFERROR(AJ40/AC40,""))</x:f>
      </x:c>
      <x:c r="AU40" s="44" t="str">
        <x:f>IF(COUNTA(AC40:AN40)=0,"",IFERROR(AK40/AJ40,""))</x:f>
      </x:c>
      <x:c r="AV40" s="44" t="str">
        <x:f>IF(COUNTA(AC40:AN40)=0,"",IFERROR((AM40+AN40)/IF(AJ40&gt;0,AJ40,IF(AD40&gt;0,AD40,AC40)),""))</x:f>
      </x:c>
      <x:c r="AW40" s="29"/>
    </x:row>
    <x:row r="41">
      <x:c r="A41" s="29"/>
      <x:c r="B41" s="41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42"/>
      <x:c r="AA41" s="29"/>
      <x:c r="AB41" s="29"/>
      <x:c r="AC41" s="43"/>
      <x:c r="AD41" s="43"/>
      <x:c r="AE41" s="43"/>
      <x:c r="AF41" s="43"/>
      <x:c r="AG41" s="43"/>
      <x:c r="AH41" s="43"/>
      <x:c r="AI41" s="43"/>
      <x:c r="AJ41" s="43"/>
      <x:c r="AK41" s="43"/>
      <x:c r="AL41" s="43"/>
      <x:c r="AM41" s="43"/>
      <x:c r="AN41" s="43"/>
      <x:c r="AO41" s="44" t="str">
        <x:f>IF(COUNTA(AC41:AN41)=0,"",IFERROR(AD41/AC41,""))</x:f>
      </x:c>
      <x:c r="AP41" s="44" t="str">
        <x:f>IF(COUNTA(AC41:AN41)=0,"",IFERROR((AF41+AG41+AH41+AI41)/AC41,""))</x:f>
      </x:c>
      <x:c r="AQ41" s="44" t="str">
        <x:f>IF(COUNTA(AC41:AN41)=0,"",IFERROR(AJ41/IF(C41="X",AC41,AD41),""))</x:f>
      </x:c>
      <x:c r="AR41" s="44" t="str">
        <x:f>IF(COUNTA(AC41:AN41)=0,"",IFERROR((AG41+AH41)/AC41,""))</x:f>
      </x:c>
      <x:c r="AS41" s="44" t="str">
        <x:f>IF(COUNTA(AC41:AN41)=0,"",IFERROR(AI41/AC41,""))</x:f>
      </x:c>
      <x:c r="AT41" s="44" t="str">
        <x:f>IF(COUNTA(AC41:AN41)=0,"",IFERROR(AJ41/AC41,""))</x:f>
      </x:c>
      <x:c r="AU41" s="44" t="str">
        <x:f>IF(COUNTA(AC41:AN41)=0,"",IFERROR(AK41/AJ41,""))</x:f>
      </x:c>
      <x:c r="AV41" s="44" t="str">
        <x:f>IF(COUNTA(AC41:AN41)=0,"",IFERROR((AM41+AN41)/IF(AJ41&gt;0,AJ41,IF(AD41&gt;0,AD41,AC41)),""))</x:f>
      </x:c>
      <x:c r="AW41" s="29"/>
    </x:row>
    <x:row r="42">
      <x:c r="A42" s="29"/>
      <x:c r="B42" s="41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42"/>
      <x:c r="AA42" s="29"/>
      <x:c r="AB42" s="29"/>
      <x:c r="AC42" s="43"/>
      <x:c r="AD42" s="43"/>
      <x:c r="AE42" s="43"/>
      <x:c r="AF42" s="43"/>
      <x:c r="AG42" s="43"/>
      <x:c r="AH42" s="43"/>
      <x:c r="AI42" s="43"/>
      <x:c r="AJ42" s="43"/>
      <x:c r="AK42" s="43"/>
      <x:c r="AL42" s="43"/>
      <x:c r="AM42" s="43"/>
      <x:c r="AN42" s="43"/>
      <x:c r="AO42" s="44" t="str">
        <x:f>IF(COUNTA(AC42:AN42)=0,"",IFERROR(AD42/AC42,""))</x:f>
      </x:c>
      <x:c r="AP42" s="44" t="str">
        <x:f>IF(COUNTA(AC42:AN42)=0,"",IFERROR((AF42+AG42+AH42+AI42)/AC42,""))</x:f>
      </x:c>
      <x:c r="AQ42" s="44" t="str">
        <x:f>IF(COUNTA(AC42:AN42)=0,"",IFERROR(AJ42/IF(C42="X",AC42,AD42),""))</x:f>
      </x:c>
      <x:c r="AR42" s="44" t="str">
        <x:f>IF(COUNTA(AC42:AN42)=0,"",IFERROR((AG42+AH42)/AC42,""))</x:f>
      </x:c>
      <x:c r="AS42" s="44" t="str">
        <x:f>IF(COUNTA(AC42:AN42)=0,"",IFERROR(AI42/AC42,""))</x:f>
      </x:c>
      <x:c r="AT42" s="44" t="str">
        <x:f>IF(COUNTA(AC42:AN42)=0,"",IFERROR(AJ42/AC42,""))</x:f>
      </x:c>
      <x:c r="AU42" s="44" t="str">
        <x:f>IF(COUNTA(AC42:AN42)=0,"",IFERROR(AK42/AJ42,""))</x:f>
      </x:c>
      <x:c r="AV42" s="44" t="str">
        <x:f>IF(COUNTA(AC42:AN42)=0,"",IFERROR((AM42+AN42)/IF(AJ42&gt;0,AJ42,IF(AD42&gt;0,AD42,AC42)),""))</x:f>
      </x:c>
      <x:c r="AW42" s="29"/>
    </x:row>
    <x:row r="43">
      <x:c r="A43" s="29"/>
      <x:c r="B43" s="41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42"/>
      <x:c r="AA43" s="29"/>
      <x:c r="AB43" s="29"/>
      <x:c r="AC43" s="43"/>
      <x:c r="AD43" s="43"/>
      <x:c r="AE43" s="43"/>
      <x:c r="AF43" s="43"/>
      <x:c r="AG43" s="43"/>
      <x:c r="AH43" s="43"/>
      <x:c r="AI43" s="43"/>
      <x:c r="AJ43" s="43"/>
      <x:c r="AK43" s="43"/>
      <x:c r="AL43" s="43"/>
      <x:c r="AM43" s="43"/>
      <x:c r="AN43" s="43"/>
      <x:c r="AO43" s="44" t="str">
        <x:f>IF(COUNTA(AC43:AN43)=0,"",IFERROR(AD43/AC43,""))</x:f>
      </x:c>
      <x:c r="AP43" s="44" t="str">
        <x:f>IF(COUNTA(AC43:AN43)=0,"",IFERROR((AF43+AG43+AH43+AI43)/AC43,""))</x:f>
      </x:c>
      <x:c r="AQ43" s="44" t="str">
        <x:f>IF(COUNTA(AC43:AN43)=0,"",IFERROR(AJ43/IF(C43="X",AC43,AD43),""))</x:f>
      </x:c>
      <x:c r="AR43" s="44" t="str">
        <x:f>IF(COUNTA(AC43:AN43)=0,"",IFERROR((AG43+AH43)/AC43,""))</x:f>
      </x:c>
      <x:c r="AS43" s="44" t="str">
        <x:f>IF(COUNTA(AC43:AN43)=0,"",IFERROR(AI43/AC43,""))</x:f>
      </x:c>
      <x:c r="AT43" s="44" t="str">
        <x:f>IF(COUNTA(AC43:AN43)=0,"",IFERROR(AJ43/AC43,""))</x:f>
      </x:c>
      <x:c r="AU43" s="44" t="str">
        <x:f>IF(COUNTA(AC43:AN43)=0,"",IFERROR(AK43/AJ43,""))</x:f>
      </x:c>
      <x:c r="AV43" s="44" t="str">
        <x:f>IF(COUNTA(AC43:AN43)=0,"",IFERROR((AM43+AN43)/IF(AJ43&gt;0,AJ43,IF(AD43&gt;0,AD43,AC43)),""))</x:f>
      </x:c>
      <x:c r="AW43" s="29"/>
    </x:row>
    <x:row r="44">
      <x:c r="A44" s="29"/>
      <x:c r="B44" s="41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42"/>
      <x:c r="AA44" s="29"/>
      <x:c r="AB44" s="29"/>
      <x:c r="AC44" s="43"/>
      <x:c r="AD44" s="43"/>
      <x:c r="AE44" s="43"/>
      <x:c r="AF44" s="43"/>
      <x:c r="AG44" s="43"/>
      <x:c r="AH44" s="43"/>
      <x:c r="AI44" s="43"/>
      <x:c r="AJ44" s="43"/>
      <x:c r="AK44" s="43"/>
      <x:c r="AL44" s="43"/>
      <x:c r="AM44" s="43"/>
      <x:c r="AN44" s="43"/>
      <x:c r="AO44" s="44" t="str">
        <x:f>IF(COUNTA(AC44:AN44)=0,"",IFERROR(AD44/AC44,""))</x:f>
      </x:c>
      <x:c r="AP44" s="44" t="str">
        <x:f>IF(COUNTA(AC44:AN44)=0,"",IFERROR((AF44+AG44+AH44+AI44)/AC44,""))</x:f>
      </x:c>
      <x:c r="AQ44" s="44" t="str">
        <x:f>IF(COUNTA(AC44:AN44)=0,"",IFERROR(AJ44/IF(C44="X",AC44,AD44),""))</x:f>
      </x:c>
      <x:c r="AR44" s="44" t="str">
        <x:f>IF(COUNTA(AC44:AN44)=0,"",IFERROR((AG44+AH44)/AC44,""))</x:f>
      </x:c>
      <x:c r="AS44" s="44" t="str">
        <x:f>IF(COUNTA(AC44:AN44)=0,"",IFERROR(AI44/AC44,""))</x:f>
      </x:c>
      <x:c r="AT44" s="44" t="str">
        <x:f>IF(COUNTA(AC44:AN44)=0,"",IFERROR(AJ44/AC44,""))</x:f>
      </x:c>
      <x:c r="AU44" s="44" t="str">
        <x:f>IF(COUNTA(AC44:AN44)=0,"",IFERROR(AK44/AJ44,""))</x:f>
      </x:c>
      <x:c r="AV44" s="44" t="str">
        <x:f>IF(COUNTA(AC44:AN44)=0,"",IFERROR((AM44+AN44)/IF(AJ44&gt;0,AJ44,IF(AD44&gt;0,AD44,AC44)),""))</x:f>
      </x:c>
      <x:c r="AW44" s="29"/>
    </x:row>
    <x:row r="45">
      <x:c r="A45" s="29"/>
      <x:c r="B45" s="41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42"/>
      <x:c r="AA45" s="29"/>
      <x:c r="AB45" s="29"/>
      <x:c r="AC45" s="43"/>
      <x:c r="AD45" s="43"/>
      <x:c r="AE45" s="43"/>
      <x:c r="AF45" s="43"/>
      <x:c r="AG45" s="43"/>
      <x:c r="AH45" s="43"/>
      <x:c r="AI45" s="43"/>
      <x:c r="AJ45" s="43"/>
      <x:c r="AK45" s="43"/>
      <x:c r="AL45" s="43"/>
      <x:c r="AM45" s="43"/>
      <x:c r="AN45" s="43"/>
      <x:c r="AO45" s="44" t="str">
        <x:f>IF(COUNTA(AC45:AN45)=0,"",IFERROR(AD45/AC45,""))</x:f>
      </x:c>
      <x:c r="AP45" s="44" t="str">
        <x:f>IF(COUNTA(AC45:AN45)=0,"",IFERROR((AF45+AG45+AH45+AI45)/AC45,""))</x:f>
      </x:c>
      <x:c r="AQ45" s="44" t="str">
        <x:f>IF(COUNTA(AC45:AN45)=0,"",IFERROR(AJ45/IF(C45="X",AC45,AD45),""))</x:f>
      </x:c>
      <x:c r="AR45" s="44" t="str">
        <x:f>IF(COUNTA(AC45:AN45)=0,"",IFERROR((AG45+AH45)/AC45,""))</x:f>
      </x:c>
      <x:c r="AS45" s="44" t="str">
        <x:f>IF(COUNTA(AC45:AN45)=0,"",IFERROR(AI45/AC45,""))</x:f>
      </x:c>
      <x:c r="AT45" s="44" t="str">
        <x:f>IF(COUNTA(AC45:AN45)=0,"",IFERROR(AJ45/AC45,""))</x:f>
      </x:c>
      <x:c r="AU45" s="44" t="str">
        <x:f>IF(COUNTA(AC45:AN45)=0,"",IFERROR(AK45/AJ45,""))</x:f>
      </x:c>
      <x:c r="AV45" s="44" t="str">
        <x:f>IF(COUNTA(AC45:AN45)=0,"",IFERROR((AM45+AN45)/IF(AJ45&gt;0,AJ45,IF(AD45&gt;0,AD45,AC45)),""))</x:f>
      </x:c>
      <x:c r="AW45" s="29"/>
    </x:row>
    <x:row r="46">
      <x:c r="A46" s="29"/>
      <x:c r="B46" s="41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42"/>
      <x:c r="AA46" s="29"/>
      <x:c r="AB46" s="29"/>
      <x:c r="AC46" s="43"/>
      <x:c r="AD46" s="43"/>
      <x:c r="AE46" s="43"/>
      <x:c r="AF46" s="43"/>
      <x:c r="AG46" s="43"/>
      <x:c r="AH46" s="43"/>
      <x:c r="AI46" s="43"/>
      <x:c r="AJ46" s="43"/>
      <x:c r="AK46" s="43"/>
      <x:c r="AL46" s="43"/>
      <x:c r="AM46" s="43"/>
      <x:c r="AN46" s="43"/>
      <x:c r="AO46" s="44" t="str">
        <x:f>IF(COUNTA(AC46:AN46)=0,"",IFERROR(AD46/AC46,""))</x:f>
      </x:c>
      <x:c r="AP46" s="44" t="str">
        <x:f>IF(COUNTA(AC46:AN46)=0,"",IFERROR((AF46+AG46+AH46+AI46)/AC46,""))</x:f>
      </x:c>
      <x:c r="AQ46" s="44" t="str">
        <x:f>IF(COUNTA(AC46:AN46)=0,"",IFERROR(AJ46/IF(C46="X",AC46,AD46),""))</x:f>
      </x:c>
      <x:c r="AR46" s="44" t="str">
        <x:f>IF(COUNTA(AC46:AN46)=0,"",IFERROR((AG46+AH46)/AC46,""))</x:f>
      </x:c>
      <x:c r="AS46" s="44" t="str">
        <x:f>IF(COUNTA(AC46:AN46)=0,"",IFERROR(AI46/AC46,""))</x:f>
      </x:c>
      <x:c r="AT46" s="44" t="str">
        <x:f>IF(COUNTA(AC46:AN46)=0,"",IFERROR(AJ46/AC46,""))</x:f>
      </x:c>
      <x:c r="AU46" s="44" t="str">
        <x:f>IF(COUNTA(AC46:AN46)=0,"",IFERROR(AK46/AJ46,""))</x:f>
      </x:c>
      <x:c r="AV46" s="44" t="str">
        <x:f>IF(COUNTA(AC46:AN46)=0,"",IFERROR((AM46+AN46)/IF(AJ46&gt;0,AJ46,IF(AD46&gt;0,AD46,AC46)),""))</x:f>
      </x:c>
      <x:c r="AW46" s="29"/>
    </x:row>
    <x:row r="47">
      <x:c r="A47" s="29"/>
      <x:c r="B47" s="41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42"/>
      <x:c r="AA47" s="29"/>
      <x:c r="AB47" s="29"/>
      <x:c r="AC47" s="43"/>
      <x:c r="AD47" s="43"/>
      <x:c r="AE47" s="43"/>
      <x:c r="AF47" s="43"/>
      <x:c r="AG47" s="43"/>
      <x:c r="AH47" s="43"/>
      <x:c r="AI47" s="43"/>
      <x:c r="AJ47" s="43"/>
      <x:c r="AK47" s="43"/>
      <x:c r="AL47" s="43"/>
      <x:c r="AM47" s="43"/>
      <x:c r="AN47" s="43"/>
      <x:c r="AO47" s="44" t="str">
        <x:f>IF(COUNTA(AC47:AN47)=0,"",IFERROR(AD47/AC47,""))</x:f>
      </x:c>
      <x:c r="AP47" s="44" t="str">
        <x:f>IF(COUNTA(AC47:AN47)=0,"",IFERROR((AF47+AG47+AH47+AI47)/AC47,""))</x:f>
      </x:c>
      <x:c r="AQ47" s="44" t="str">
        <x:f>IF(COUNTA(AC47:AN47)=0,"",IFERROR(AJ47/IF(C47="X",AC47,AD47),""))</x:f>
      </x:c>
      <x:c r="AR47" s="44" t="str">
        <x:f>IF(COUNTA(AC47:AN47)=0,"",IFERROR((AG47+AH47)/AC47,""))</x:f>
      </x:c>
      <x:c r="AS47" s="44" t="str">
        <x:f>IF(COUNTA(AC47:AN47)=0,"",IFERROR(AI47/AC47,""))</x:f>
      </x:c>
      <x:c r="AT47" s="44" t="str">
        <x:f>IF(COUNTA(AC47:AN47)=0,"",IFERROR(AJ47/AC47,""))</x:f>
      </x:c>
      <x:c r="AU47" s="44" t="str">
        <x:f>IF(COUNTA(AC47:AN47)=0,"",IFERROR(AK47/AJ47,""))</x:f>
      </x:c>
      <x:c r="AV47" s="44" t="str">
        <x:f>IF(COUNTA(AC47:AN47)=0,"",IFERROR((AM47+AN47)/IF(AJ47&gt;0,AJ47,IF(AD47&gt;0,AD47,AC47)),""))</x:f>
      </x:c>
      <x:c r="AW47" s="29"/>
    </x:row>
    <x:row r="48">
      <x:c r="A48" s="29"/>
      <x:c r="B48" s="41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42"/>
      <x:c r="AA48" s="29"/>
      <x:c r="AB48" s="29"/>
      <x:c r="AC48" s="43"/>
      <x:c r="AD48" s="43"/>
      <x:c r="AE48" s="43"/>
      <x:c r="AF48" s="43"/>
      <x:c r="AG48" s="43"/>
      <x:c r="AH48" s="43"/>
      <x:c r="AI48" s="43"/>
      <x:c r="AJ48" s="43"/>
      <x:c r="AK48" s="43"/>
      <x:c r="AL48" s="43"/>
      <x:c r="AM48" s="43"/>
      <x:c r="AN48" s="43"/>
      <x:c r="AO48" s="44" t="str">
        <x:f>IF(COUNTA(AC48:AN48)=0,"",IFERROR(AD48/AC48,""))</x:f>
      </x:c>
      <x:c r="AP48" s="44" t="str">
        <x:f>IF(COUNTA(AC48:AN48)=0,"",IFERROR((AF48+AG48+AH48+AI48)/AC48,""))</x:f>
      </x:c>
      <x:c r="AQ48" s="44" t="str">
        <x:f>IF(COUNTA(AC48:AN48)=0,"",IFERROR(AJ48/IF(C48="X",AC48,AD48),""))</x:f>
      </x:c>
      <x:c r="AR48" s="44" t="str">
        <x:f>IF(COUNTA(AC48:AN48)=0,"",IFERROR((AG48+AH48)/AC48,""))</x:f>
      </x:c>
      <x:c r="AS48" s="44" t="str">
        <x:f>IF(COUNTA(AC48:AN48)=0,"",IFERROR(AI48/AC48,""))</x:f>
      </x:c>
      <x:c r="AT48" s="44" t="str">
        <x:f>IF(COUNTA(AC48:AN48)=0,"",IFERROR(AJ48/AC48,""))</x:f>
      </x:c>
      <x:c r="AU48" s="44" t="str">
        <x:f>IF(COUNTA(AC48:AN48)=0,"",IFERROR(AK48/AJ48,""))</x:f>
      </x:c>
      <x:c r="AV48" s="44" t="str">
        <x:f>IF(COUNTA(AC48:AN48)=0,"",IFERROR((AM48+AN48)/IF(AJ48&gt;0,AJ48,IF(AD48&gt;0,AD48,AC48)),""))</x:f>
      </x:c>
      <x:c r="AW48" s="29"/>
    </x:row>
    <x:row r="49">
      <x:c r="A49" s="29"/>
      <x:c r="B49" s="41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42"/>
      <x:c r="AA49" s="29"/>
      <x:c r="AB49" s="29"/>
      <x:c r="AC49" s="43"/>
      <x:c r="AD49" s="43"/>
      <x:c r="AE49" s="43"/>
      <x:c r="AF49" s="43"/>
      <x:c r="AG49" s="43"/>
      <x:c r="AH49" s="43"/>
      <x:c r="AI49" s="43"/>
      <x:c r="AJ49" s="43"/>
      <x:c r="AK49" s="43"/>
      <x:c r="AL49" s="43"/>
      <x:c r="AM49" s="43"/>
      <x:c r="AN49" s="43"/>
      <x:c r="AO49" s="44" t="str">
        <x:f>IF(COUNTA(AC49:AN49)=0,"",IFERROR(AD49/AC49,""))</x:f>
      </x:c>
      <x:c r="AP49" s="44" t="str">
        <x:f>IF(COUNTA(AC49:AN49)=0,"",IFERROR((AF49+AG49+AH49+AI49)/AC49,""))</x:f>
      </x:c>
      <x:c r="AQ49" s="44" t="str">
        <x:f>IF(COUNTA(AC49:AN49)=0,"",IFERROR(AJ49/IF(C49="X",AC49,AD49),""))</x:f>
      </x:c>
      <x:c r="AR49" s="44" t="str">
        <x:f>IF(COUNTA(AC49:AN49)=0,"",IFERROR((AG49+AH49)/AC49,""))</x:f>
      </x:c>
      <x:c r="AS49" s="44" t="str">
        <x:f>IF(COUNTA(AC49:AN49)=0,"",IFERROR(AI49/AC49,""))</x:f>
      </x:c>
      <x:c r="AT49" s="44" t="str">
        <x:f>IF(COUNTA(AC49:AN49)=0,"",IFERROR(AJ49/AC49,""))</x:f>
      </x:c>
      <x:c r="AU49" s="44" t="str">
        <x:f>IF(COUNTA(AC49:AN49)=0,"",IFERROR(AK49/AJ49,""))</x:f>
      </x:c>
      <x:c r="AV49" s="44" t="str">
        <x:f>IF(COUNTA(AC49:AN49)=0,"",IFERROR((AM49+AN49)/IF(AJ49&gt;0,AJ49,IF(AD49&gt;0,AD49,AC49)),""))</x:f>
      </x:c>
      <x:c r="AW49" s="29"/>
    </x:row>
    <x:row r="50">
      <x:c r="A50" s="29"/>
      <x:c r="B50" s="41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42"/>
      <x:c r="AA50" s="29"/>
      <x:c r="AB50" s="29"/>
      <x:c r="AC50" s="43"/>
      <x:c r="AD50" s="43"/>
      <x:c r="AE50" s="43"/>
      <x:c r="AF50" s="43"/>
      <x:c r="AG50" s="43"/>
      <x:c r="AH50" s="43"/>
      <x:c r="AI50" s="43"/>
      <x:c r="AJ50" s="43"/>
      <x:c r="AK50" s="43"/>
      <x:c r="AL50" s="43"/>
      <x:c r="AM50" s="43"/>
      <x:c r="AN50" s="43"/>
      <x:c r="AO50" s="44" t="str">
        <x:f>IF(COUNTA(AC50:AN50)=0,"",IFERROR(AD50/AC50,""))</x:f>
      </x:c>
      <x:c r="AP50" s="44" t="str">
        <x:f>IF(COUNTA(AC50:AN50)=0,"",IFERROR((AF50+AG50+AH50+AI50)/AC50,""))</x:f>
      </x:c>
      <x:c r="AQ50" s="44" t="str">
        <x:f>IF(COUNTA(AC50:AN50)=0,"",IFERROR(AJ50/IF(C50="X",AC50,AD50),""))</x:f>
      </x:c>
      <x:c r="AR50" s="44" t="str">
        <x:f>IF(COUNTA(AC50:AN50)=0,"",IFERROR((AG50+AH50)/AC50,""))</x:f>
      </x:c>
      <x:c r="AS50" s="44" t="str">
        <x:f>IF(COUNTA(AC50:AN50)=0,"",IFERROR(AI50/AC50,""))</x:f>
      </x:c>
      <x:c r="AT50" s="44" t="str">
        <x:f>IF(COUNTA(AC50:AN50)=0,"",IFERROR(AJ50/AC50,""))</x:f>
      </x:c>
      <x:c r="AU50" s="44" t="str">
        <x:f>IF(COUNTA(AC50:AN50)=0,"",IFERROR(AK50/AJ50,""))</x:f>
      </x:c>
      <x:c r="AV50" s="44" t="str">
        <x:f>IF(COUNTA(AC50:AN50)=0,"",IFERROR((AM50+AN50)/IF(AJ50&gt;0,AJ50,IF(AD50&gt;0,AD50,AC50)),""))</x:f>
      </x:c>
      <x:c r="AW50" s="29"/>
    </x:row>
    <x:row r="51">
      <x:c r="A51" s="29"/>
      <x:c r="B51" s="41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42"/>
      <x:c r="AA51" s="29"/>
      <x:c r="AB51" s="29"/>
      <x:c r="AC51" s="43"/>
      <x:c r="AD51" s="43"/>
      <x:c r="AE51" s="43"/>
      <x:c r="AF51" s="43"/>
      <x:c r="AG51" s="43"/>
      <x:c r="AH51" s="43"/>
      <x:c r="AI51" s="43"/>
      <x:c r="AJ51" s="43"/>
      <x:c r="AK51" s="43"/>
      <x:c r="AL51" s="43"/>
      <x:c r="AM51" s="43"/>
      <x:c r="AN51" s="43"/>
      <x:c r="AO51" s="44" t="str">
        <x:f>IF(COUNTA(AC51:AN51)=0,"",IFERROR(AD51/AC51,""))</x:f>
      </x:c>
      <x:c r="AP51" s="44" t="str">
        <x:f>IF(COUNTA(AC51:AN51)=0,"",IFERROR((AF51+AG51+AH51+AI51)/AC51,""))</x:f>
      </x:c>
      <x:c r="AQ51" s="44" t="str">
        <x:f>IF(COUNTA(AC51:AN51)=0,"",IFERROR(AJ51/IF(C51="X",AC51,AD51),""))</x:f>
      </x:c>
      <x:c r="AR51" s="44" t="str">
        <x:f>IF(COUNTA(AC51:AN51)=0,"",IFERROR((AG51+AH51)/AC51,""))</x:f>
      </x:c>
      <x:c r="AS51" s="44" t="str">
        <x:f>IF(COUNTA(AC51:AN51)=0,"",IFERROR(AI51/AC51,""))</x:f>
      </x:c>
      <x:c r="AT51" s="44" t="str">
        <x:f>IF(COUNTA(AC51:AN51)=0,"",IFERROR(AJ51/AC51,""))</x:f>
      </x:c>
      <x:c r="AU51" s="44" t="str">
        <x:f>IF(COUNTA(AC51:AN51)=0,"",IFERROR(AK51/AJ51,""))</x:f>
      </x:c>
      <x:c r="AV51" s="44" t="str">
        <x:f>IF(COUNTA(AC51:AN51)=0,"",IFERROR((AM51+AN51)/IF(AJ51&gt;0,AJ51,IF(AD51&gt;0,AD51,AC51)),""))</x:f>
      </x:c>
      <x:c r="AW51" s="29"/>
    </x:row>
    <x:row r="52">
      <x:c r="A52" s="29"/>
      <x:c r="B52" s="41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42"/>
      <x:c r="AA52" s="29"/>
      <x:c r="AB52" s="29"/>
      <x:c r="AC52" s="43"/>
      <x:c r="AD52" s="43"/>
      <x:c r="AE52" s="43"/>
      <x:c r="AF52" s="43"/>
      <x:c r="AG52" s="43"/>
      <x:c r="AH52" s="43"/>
      <x:c r="AI52" s="43"/>
      <x:c r="AJ52" s="43"/>
      <x:c r="AK52" s="43"/>
      <x:c r="AL52" s="43"/>
      <x:c r="AM52" s="43"/>
      <x:c r="AN52" s="43"/>
      <x:c r="AO52" s="44" t="str">
        <x:f>IF(COUNTA(AC52:AN52)=0,"",IFERROR(AD52/AC52,""))</x:f>
      </x:c>
      <x:c r="AP52" s="44" t="str">
        <x:f>IF(COUNTA(AC52:AN52)=0,"",IFERROR((AF52+AG52+AH52+AI52)/AC52,""))</x:f>
      </x:c>
      <x:c r="AQ52" s="44" t="str">
        <x:f>IF(COUNTA(AC52:AN52)=0,"",IFERROR(AJ52/IF(C52="X",AC52,AD52),""))</x:f>
      </x:c>
      <x:c r="AR52" s="44" t="str">
        <x:f>IF(COUNTA(AC52:AN52)=0,"",IFERROR((AG52+AH52)/AC52,""))</x:f>
      </x:c>
      <x:c r="AS52" s="44" t="str">
        <x:f>IF(COUNTA(AC52:AN52)=0,"",IFERROR(AI52/AC52,""))</x:f>
      </x:c>
      <x:c r="AT52" s="44" t="str">
        <x:f>IF(COUNTA(AC52:AN52)=0,"",IFERROR(AJ52/AC52,""))</x:f>
      </x:c>
      <x:c r="AU52" s="44" t="str">
        <x:f>IF(COUNTA(AC52:AN52)=0,"",IFERROR(AK52/AJ52,""))</x:f>
      </x:c>
      <x:c r="AV52" s="44" t="str">
        <x:f>IF(COUNTA(AC52:AN52)=0,"",IFERROR((AM52+AN52)/IF(AJ52&gt;0,AJ52,IF(AD52&gt;0,AD52,AC52)),""))</x:f>
      </x:c>
      <x:c r="AW52" s="29"/>
    </x:row>
    <x:row r="53">
      <x:c r="A53" s="29"/>
      <x:c r="B53" s="41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42"/>
      <x:c r="AA53" s="29"/>
      <x:c r="AB53" s="29"/>
      <x:c r="AC53" s="43"/>
      <x:c r="AD53" s="43"/>
      <x:c r="AE53" s="43"/>
      <x:c r="AF53" s="43"/>
      <x:c r="AG53" s="43"/>
      <x:c r="AH53" s="43"/>
      <x:c r="AI53" s="43"/>
      <x:c r="AJ53" s="43"/>
      <x:c r="AK53" s="43"/>
      <x:c r="AL53" s="43"/>
      <x:c r="AM53" s="43"/>
      <x:c r="AN53" s="43"/>
      <x:c r="AO53" s="44" t="str">
        <x:f>IF(COUNTA(AC53:AN53)=0,"",IFERROR(AD53/AC53,""))</x:f>
      </x:c>
      <x:c r="AP53" s="44" t="str">
        <x:f>IF(COUNTA(AC53:AN53)=0,"",IFERROR((AF53+AG53+AH53+AI53)/AC53,""))</x:f>
      </x:c>
      <x:c r="AQ53" s="44" t="str">
        <x:f>IF(COUNTA(AC53:AN53)=0,"",IFERROR(AJ53/IF(C53="X",AC53,AD53),""))</x:f>
      </x:c>
      <x:c r="AR53" s="44" t="str">
        <x:f>IF(COUNTA(AC53:AN53)=0,"",IFERROR((AG53+AH53)/AC53,""))</x:f>
      </x:c>
      <x:c r="AS53" s="44" t="str">
        <x:f>IF(COUNTA(AC53:AN53)=0,"",IFERROR(AI53/AC53,""))</x:f>
      </x:c>
      <x:c r="AT53" s="44" t="str">
        <x:f>IF(COUNTA(AC53:AN53)=0,"",IFERROR(AJ53/AC53,""))</x:f>
      </x:c>
      <x:c r="AU53" s="44" t="str">
        <x:f>IF(COUNTA(AC53:AN53)=0,"",IFERROR(AK53/AJ53,""))</x:f>
      </x:c>
      <x:c r="AV53" s="44" t="str">
        <x:f>IF(COUNTA(AC53:AN53)=0,"",IFERROR((AM53+AN53)/IF(AJ53&gt;0,AJ53,IF(AD53&gt;0,AD53,AC53)),""))</x:f>
      </x:c>
      <x:c r="AW53" s="29"/>
    </x:row>
    <x:row r="54">
      <x:c r="A54" s="29"/>
      <x:c r="B54" s="41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42"/>
      <x:c r="AA54" s="29"/>
      <x:c r="AB54" s="29"/>
      <x:c r="AC54" s="43"/>
      <x:c r="AD54" s="43"/>
      <x:c r="AE54" s="43"/>
      <x:c r="AF54" s="43"/>
      <x:c r="AG54" s="43"/>
      <x:c r="AH54" s="43"/>
      <x:c r="AI54" s="43"/>
      <x:c r="AJ54" s="43"/>
      <x:c r="AK54" s="43"/>
      <x:c r="AL54" s="43"/>
      <x:c r="AM54" s="43"/>
      <x:c r="AN54" s="43"/>
      <x:c r="AO54" s="44" t="str">
        <x:f>IF(COUNTA(AC54:AN54)=0,"",IFERROR(AD54/AC54,""))</x:f>
      </x:c>
      <x:c r="AP54" s="44" t="str">
        <x:f>IF(COUNTA(AC54:AN54)=0,"",IFERROR((AF54+AG54+AH54+AI54)/AC54,""))</x:f>
      </x:c>
      <x:c r="AQ54" s="44" t="str">
        <x:f>IF(COUNTA(AC54:AN54)=0,"",IFERROR(AJ54/IF(C54="X",AC54,AD54),""))</x:f>
      </x:c>
      <x:c r="AR54" s="44" t="str">
        <x:f>IF(COUNTA(AC54:AN54)=0,"",IFERROR((AG54+AH54)/AC54,""))</x:f>
      </x:c>
      <x:c r="AS54" s="44" t="str">
        <x:f>IF(COUNTA(AC54:AN54)=0,"",IFERROR(AI54/AC54,""))</x:f>
      </x:c>
      <x:c r="AT54" s="44" t="str">
        <x:f>IF(COUNTA(AC54:AN54)=0,"",IFERROR(AJ54/AC54,""))</x:f>
      </x:c>
      <x:c r="AU54" s="44" t="str">
        <x:f>IF(COUNTA(AC54:AN54)=0,"",IFERROR(AK54/AJ54,""))</x:f>
      </x:c>
      <x:c r="AV54" s="44" t="str">
        <x:f>IF(COUNTA(AC54:AN54)=0,"",IFERROR((AM54+AN54)/IF(AJ54&gt;0,AJ54,IF(AD54&gt;0,AD54,AC54)),""))</x:f>
      </x:c>
      <x:c r="AW54" s="29"/>
    </x:row>
    <x:row r="55">
      <x:c r="A55" s="29"/>
      <x:c r="B55" s="41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42"/>
      <x:c r="AA55" s="29"/>
      <x:c r="AB55" s="29"/>
      <x:c r="AC55" s="43"/>
      <x:c r="AD55" s="43"/>
      <x:c r="AE55" s="43"/>
      <x:c r="AF55" s="43"/>
      <x:c r="AG55" s="43"/>
      <x:c r="AH55" s="43"/>
      <x:c r="AI55" s="43"/>
      <x:c r="AJ55" s="43"/>
      <x:c r="AK55" s="43"/>
      <x:c r="AL55" s="43"/>
      <x:c r="AM55" s="43"/>
      <x:c r="AN55" s="43"/>
      <x:c r="AO55" s="44" t="str">
        <x:f>IF(COUNTA(AC55:AN55)=0,"",IFERROR(AD55/AC55,""))</x:f>
      </x:c>
      <x:c r="AP55" s="44" t="str">
        <x:f>IF(COUNTA(AC55:AN55)=0,"",IFERROR((AF55+AG55+AH55+AI55)/AC55,""))</x:f>
      </x:c>
      <x:c r="AQ55" s="44" t="str">
        <x:f>IF(COUNTA(AC55:AN55)=0,"",IFERROR(AJ55/IF(C55="X",AC55,AD55),""))</x:f>
      </x:c>
      <x:c r="AR55" s="44" t="str">
        <x:f>IF(COUNTA(AC55:AN55)=0,"",IFERROR((AG55+AH55)/AC55,""))</x:f>
      </x:c>
      <x:c r="AS55" s="44" t="str">
        <x:f>IF(COUNTA(AC55:AN55)=0,"",IFERROR(AI55/AC55,""))</x:f>
      </x:c>
      <x:c r="AT55" s="44" t="str">
        <x:f>IF(COUNTA(AC55:AN55)=0,"",IFERROR(AJ55/AC55,""))</x:f>
      </x:c>
      <x:c r="AU55" s="44" t="str">
        <x:f>IF(COUNTA(AC55:AN55)=0,"",IFERROR(AK55/AJ55,""))</x:f>
      </x:c>
      <x:c r="AV55" s="44" t="str">
        <x:f>IF(COUNTA(AC55:AN55)=0,"",IFERROR((AM55+AN55)/IF(AJ55&gt;0,AJ55,IF(AD55&gt;0,AD55,AC55)),""))</x:f>
      </x:c>
      <x:c r="AW55" s="29"/>
    </x:row>
    <x:row r="56">
      <x:c r="A56" s="29"/>
      <x:c r="B56" s="41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42"/>
      <x:c r="AA56" s="29"/>
      <x:c r="AB56" s="29"/>
      <x:c r="AC56" s="43"/>
      <x:c r="AD56" s="43"/>
      <x:c r="AE56" s="43"/>
      <x:c r="AF56" s="43"/>
      <x:c r="AG56" s="43"/>
      <x:c r="AH56" s="43"/>
      <x:c r="AI56" s="43"/>
      <x:c r="AJ56" s="43"/>
      <x:c r="AK56" s="43"/>
      <x:c r="AL56" s="43"/>
      <x:c r="AM56" s="43"/>
      <x:c r="AN56" s="43"/>
      <x:c r="AO56" s="44" t="str">
        <x:f>IF(COUNTA(AC56:AN56)=0,"",IFERROR(AD56/AC56,""))</x:f>
      </x:c>
      <x:c r="AP56" s="44" t="str">
        <x:f>IF(COUNTA(AC56:AN56)=0,"",IFERROR((AF56+AG56+AH56+AI56)/AC56,""))</x:f>
      </x:c>
      <x:c r="AQ56" s="44" t="str">
        <x:f>IF(COUNTA(AC56:AN56)=0,"",IFERROR(AJ56/IF(C56="X",AC56,AD56),""))</x:f>
      </x:c>
      <x:c r="AR56" s="44" t="str">
        <x:f>IF(COUNTA(AC56:AN56)=0,"",IFERROR((AG56+AH56)/AC56,""))</x:f>
      </x:c>
      <x:c r="AS56" s="44" t="str">
        <x:f>IF(COUNTA(AC56:AN56)=0,"",IFERROR(AI56/AC56,""))</x:f>
      </x:c>
      <x:c r="AT56" s="44" t="str">
        <x:f>IF(COUNTA(AC56:AN56)=0,"",IFERROR(AJ56/AC56,""))</x:f>
      </x:c>
      <x:c r="AU56" s="44" t="str">
        <x:f>IF(COUNTA(AC56:AN56)=0,"",IFERROR(AK56/AJ56,""))</x:f>
      </x:c>
      <x:c r="AV56" s="44" t="str">
        <x:f>IF(COUNTA(AC56:AN56)=0,"",IFERROR((AM56+AN56)/IF(AJ56&gt;0,AJ56,IF(AD56&gt;0,AD56,AC56)),""))</x:f>
      </x:c>
      <x:c r="AW56" s="29"/>
    </x:row>
    <x:row r="57">
      <x:c r="A57" s="29"/>
      <x:c r="B57" s="41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42"/>
      <x:c r="AA57" s="29"/>
      <x:c r="AB57" s="29"/>
      <x:c r="AC57" s="43"/>
      <x:c r="AD57" s="43"/>
      <x:c r="AE57" s="43"/>
      <x:c r="AF57" s="43"/>
      <x:c r="AG57" s="43"/>
      <x:c r="AH57" s="43"/>
      <x:c r="AI57" s="43"/>
      <x:c r="AJ57" s="43"/>
      <x:c r="AK57" s="43"/>
      <x:c r="AL57" s="43"/>
      <x:c r="AM57" s="43"/>
      <x:c r="AN57" s="43"/>
      <x:c r="AO57" s="44" t="str">
        <x:f>IF(COUNTA(AC57:AN57)=0,"",IFERROR(AD57/AC57,""))</x:f>
      </x:c>
      <x:c r="AP57" s="44" t="str">
        <x:f>IF(COUNTA(AC57:AN57)=0,"",IFERROR((AF57+AG57+AH57+AI57)/AC57,""))</x:f>
      </x:c>
      <x:c r="AQ57" s="44" t="str">
        <x:f>IF(COUNTA(AC57:AN57)=0,"",IFERROR(AJ57/IF(C57="X",AC57,AD57),""))</x:f>
      </x:c>
      <x:c r="AR57" s="44" t="str">
        <x:f>IF(COUNTA(AC57:AN57)=0,"",IFERROR((AG57+AH57)/AC57,""))</x:f>
      </x:c>
      <x:c r="AS57" s="44" t="str">
        <x:f>IF(COUNTA(AC57:AN57)=0,"",IFERROR(AI57/AC57,""))</x:f>
      </x:c>
      <x:c r="AT57" s="44" t="str">
        <x:f>IF(COUNTA(AC57:AN57)=0,"",IFERROR(AJ57/AC57,""))</x:f>
      </x:c>
      <x:c r="AU57" s="44" t="str">
        <x:f>IF(COUNTA(AC57:AN57)=0,"",IFERROR(AK57/AJ57,""))</x:f>
      </x:c>
      <x:c r="AV57" s="44" t="str">
        <x:f>IF(COUNTA(AC57:AN57)=0,"",IFERROR((AM57+AN57)/IF(AJ57&gt;0,AJ57,IF(AD57&gt;0,AD57,AC57)),""))</x:f>
      </x:c>
      <x:c r="AW57" s="29"/>
    </x:row>
    <x:row r="58">
      <x:c r="A58" s="29"/>
      <x:c r="B58" s="41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42"/>
      <x:c r="AA58" s="29"/>
      <x:c r="AB58" s="29"/>
      <x:c r="AC58" s="43"/>
      <x:c r="AD58" s="43"/>
      <x:c r="AE58" s="43"/>
      <x:c r="AF58" s="43"/>
      <x:c r="AG58" s="43"/>
      <x:c r="AH58" s="43"/>
      <x:c r="AI58" s="43"/>
      <x:c r="AJ58" s="43"/>
      <x:c r="AK58" s="43"/>
      <x:c r="AL58" s="43"/>
      <x:c r="AM58" s="43"/>
      <x:c r="AN58" s="43"/>
      <x:c r="AO58" s="44" t="str">
        <x:f>IF(COUNTA(AC58:AN58)=0,"",IFERROR(AD58/AC58,""))</x:f>
      </x:c>
      <x:c r="AP58" s="44" t="str">
        <x:f>IF(COUNTA(AC58:AN58)=0,"",IFERROR((AF58+AG58+AH58+AI58)/AC58,""))</x:f>
      </x:c>
      <x:c r="AQ58" s="44" t="str">
        <x:f>IF(COUNTA(AC58:AN58)=0,"",IFERROR(AJ58/IF(C58="X",AC58,AD58),""))</x:f>
      </x:c>
      <x:c r="AR58" s="44" t="str">
        <x:f>IF(COUNTA(AC58:AN58)=0,"",IFERROR((AG58+AH58)/AC58,""))</x:f>
      </x:c>
      <x:c r="AS58" s="44" t="str">
        <x:f>IF(COUNTA(AC58:AN58)=0,"",IFERROR(AI58/AC58,""))</x:f>
      </x:c>
      <x:c r="AT58" s="44" t="str">
        <x:f>IF(COUNTA(AC58:AN58)=0,"",IFERROR(AJ58/AC58,""))</x:f>
      </x:c>
      <x:c r="AU58" s="44" t="str">
        <x:f>IF(COUNTA(AC58:AN58)=0,"",IFERROR(AK58/AJ58,""))</x:f>
      </x:c>
      <x:c r="AV58" s="44" t="str">
        <x:f>IF(COUNTA(AC58:AN58)=0,"",IFERROR((AM58+AN58)/IF(AJ58&gt;0,AJ58,IF(AD58&gt;0,AD58,AC58)),""))</x:f>
      </x:c>
      <x:c r="AW58" s="29"/>
    </x:row>
    <x:row r="59">
      <x:c r="A59" s="29"/>
      <x:c r="B59" s="41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42"/>
      <x:c r="AA59" s="29"/>
      <x:c r="AB59" s="29"/>
      <x:c r="AC59" s="43"/>
      <x:c r="AD59" s="43"/>
      <x:c r="AE59" s="43"/>
      <x:c r="AF59" s="43"/>
      <x:c r="AG59" s="43"/>
      <x:c r="AH59" s="43"/>
      <x:c r="AI59" s="43"/>
      <x:c r="AJ59" s="43"/>
      <x:c r="AK59" s="43"/>
      <x:c r="AL59" s="43"/>
      <x:c r="AM59" s="43"/>
      <x:c r="AN59" s="43"/>
      <x:c r="AO59" s="44" t="str">
        <x:f>IF(COUNTA(AC59:AN59)=0,"",IFERROR(AD59/AC59,""))</x:f>
      </x:c>
      <x:c r="AP59" s="44" t="str">
        <x:f>IF(COUNTA(AC59:AN59)=0,"",IFERROR((AF59+AG59+AH59+AI59)/AC59,""))</x:f>
      </x:c>
      <x:c r="AQ59" s="44" t="str">
        <x:f>IF(COUNTA(AC59:AN59)=0,"",IFERROR(AJ59/IF(C59="X",AC59,AD59),""))</x:f>
      </x:c>
      <x:c r="AR59" s="44" t="str">
        <x:f>IF(COUNTA(AC59:AN59)=0,"",IFERROR((AG59+AH59)/AC59,""))</x:f>
      </x:c>
      <x:c r="AS59" s="44" t="str">
        <x:f>IF(COUNTA(AC59:AN59)=0,"",IFERROR(AI59/AC59,""))</x:f>
      </x:c>
      <x:c r="AT59" s="44" t="str">
        <x:f>IF(COUNTA(AC59:AN59)=0,"",IFERROR(AJ59/AC59,""))</x:f>
      </x:c>
      <x:c r="AU59" s="44" t="str">
        <x:f>IF(COUNTA(AC59:AN59)=0,"",IFERROR(AK59/AJ59,""))</x:f>
      </x:c>
      <x:c r="AV59" s="44" t="str">
        <x:f>IF(COUNTA(AC59:AN59)=0,"",IFERROR((AM59+AN59)/IF(AJ59&gt;0,AJ59,IF(AD59&gt;0,AD59,AC59)),""))</x:f>
      </x:c>
      <x:c r="AW59" s="29"/>
    </x:row>
    <x:row r="60">
      <x:c r="A60" s="29"/>
      <x:c r="B60" s="41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42"/>
      <x:c r="AA60" s="29"/>
      <x:c r="AB60" s="29"/>
      <x:c r="AC60" s="43"/>
      <x:c r="AD60" s="43"/>
      <x:c r="AE60" s="43"/>
      <x:c r="AF60" s="43"/>
      <x:c r="AG60" s="43"/>
      <x:c r="AH60" s="43"/>
      <x:c r="AI60" s="43"/>
      <x:c r="AJ60" s="43"/>
      <x:c r="AK60" s="43"/>
      <x:c r="AL60" s="43"/>
      <x:c r="AM60" s="43"/>
      <x:c r="AN60" s="43"/>
      <x:c r="AO60" s="44" t="str">
        <x:f>IF(COUNTA(AC60:AN60)=0,"",IFERROR(AD60/AC60,""))</x:f>
      </x:c>
      <x:c r="AP60" s="44" t="str">
        <x:f>IF(COUNTA(AC60:AN60)=0,"",IFERROR((AF60+AG60+AH60+AI60)/AC60,""))</x:f>
      </x:c>
      <x:c r="AQ60" s="44" t="str">
        <x:f>IF(COUNTA(AC60:AN60)=0,"",IFERROR(AJ60/IF(C60="X",AC60,AD60),""))</x:f>
      </x:c>
      <x:c r="AR60" s="44" t="str">
        <x:f>IF(COUNTA(AC60:AN60)=0,"",IFERROR((AG60+AH60)/AC60,""))</x:f>
      </x:c>
      <x:c r="AS60" s="44" t="str">
        <x:f>IF(COUNTA(AC60:AN60)=0,"",IFERROR(AI60/AC60,""))</x:f>
      </x:c>
      <x:c r="AT60" s="44" t="str">
        <x:f>IF(COUNTA(AC60:AN60)=0,"",IFERROR(AJ60/AC60,""))</x:f>
      </x:c>
      <x:c r="AU60" s="44" t="str">
        <x:f>IF(COUNTA(AC60:AN60)=0,"",IFERROR(AK60/AJ60,""))</x:f>
      </x:c>
      <x:c r="AV60" s="44" t="str">
        <x:f>IF(COUNTA(AC60:AN60)=0,"",IFERROR((AM60+AN60)/IF(AJ60&gt;0,AJ60,IF(AD60&gt;0,AD60,AC60)),""))</x:f>
      </x:c>
      <x:c r="AW60" s="29"/>
    </x:row>
    <x:row r="61">
      <x:c r="A61" s="29"/>
      <x:c r="B61" s="41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42"/>
      <x:c r="AA61" s="29"/>
      <x:c r="AB61" s="29"/>
      <x:c r="AC61" s="43"/>
      <x:c r="AD61" s="43"/>
      <x:c r="AE61" s="43"/>
      <x:c r="AF61" s="43"/>
      <x:c r="AG61" s="43"/>
      <x:c r="AH61" s="43"/>
      <x:c r="AI61" s="43"/>
      <x:c r="AJ61" s="43"/>
      <x:c r="AK61" s="43"/>
      <x:c r="AL61" s="43"/>
      <x:c r="AM61" s="43"/>
      <x:c r="AN61" s="43"/>
      <x:c r="AO61" s="44" t="str">
        <x:f>IF(COUNTA(AC61:AN61)=0,"",IFERROR(AD61/AC61,""))</x:f>
      </x:c>
      <x:c r="AP61" s="44" t="str">
        <x:f>IF(COUNTA(AC61:AN61)=0,"",IFERROR((AF61+AG61+AH61+AI61)/AC61,""))</x:f>
      </x:c>
      <x:c r="AQ61" s="44" t="str">
        <x:f>IF(COUNTA(AC61:AN61)=0,"",IFERROR(AJ61/IF(C61="X",AC61,AD61),""))</x:f>
      </x:c>
      <x:c r="AR61" s="44" t="str">
        <x:f>IF(COUNTA(AC61:AN61)=0,"",IFERROR((AG61+AH61)/AC61,""))</x:f>
      </x:c>
      <x:c r="AS61" s="44" t="str">
        <x:f>IF(COUNTA(AC61:AN61)=0,"",IFERROR(AI61/AC61,""))</x:f>
      </x:c>
      <x:c r="AT61" s="44" t="str">
        <x:f>IF(COUNTA(AC61:AN61)=0,"",IFERROR(AJ61/AC61,""))</x:f>
      </x:c>
      <x:c r="AU61" s="44" t="str">
        <x:f>IF(COUNTA(AC61:AN61)=0,"",IFERROR(AK61/AJ61,""))</x:f>
      </x:c>
      <x:c r="AV61" s="44" t="str">
        <x:f>IF(COUNTA(AC61:AN61)=0,"",IFERROR((AM61+AN61)/IF(AJ61&gt;0,AJ61,IF(AD61&gt;0,AD61,AC61)),""))</x:f>
      </x:c>
      <x:c r="AW61" s="29"/>
    </x:row>
    <x:row r="62">
      <x:c r="A62" s="29"/>
      <x:c r="B62" s="41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42"/>
      <x:c r="AA62" s="29"/>
      <x:c r="AB62" s="29"/>
      <x:c r="AC62" s="43"/>
      <x:c r="AD62" s="43"/>
      <x:c r="AE62" s="43"/>
      <x:c r="AF62" s="43"/>
      <x:c r="AG62" s="43"/>
      <x:c r="AH62" s="43"/>
      <x:c r="AI62" s="43"/>
      <x:c r="AJ62" s="43"/>
      <x:c r="AK62" s="43"/>
      <x:c r="AL62" s="43"/>
      <x:c r="AM62" s="43"/>
      <x:c r="AN62" s="43"/>
      <x:c r="AO62" s="44" t="str">
        <x:f>IF(COUNTA(AC62:AN62)=0,"",IFERROR(AD62/AC62,""))</x:f>
      </x:c>
      <x:c r="AP62" s="44" t="str">
        <x:f>IF(COUNTA(AC62:AN62)=0,"",IFERROR((AF62+AG62+AH62+AI62)/AC62,""))</x:f>
      </x:c>
      <x:c r="AQ62" s="44" t="str">
        <x:f>IF(COUNTA(AC62:AN62)=0,"",IFERROR(AJ62/IF(C62="X",AC62,AD62),""))</x:f>
      </x:c>
      <x:c r="AR62" s="44" t="str">
        <x:f>IF(COUNTA(AC62:AN62)=0,"",IFERROR((AG62+AH62)/AC62,""))</x:f>
      </x:c>
      <x:c r="AS62" s="44" t="str">
        <x:f>IF(COUNTA(AC62:AN62)=0,"",IFERROR(AI62/AC62,""))</x:f>
      </x:c>
      <x:c r="AT62" s="44" t="str">
        <x:f>IF(COUNTA(AC62:AN62)=0,"",IFERROR(AJ62/AC62,""))</x:f>
      </x:c>
      <x:c r="AU62" s="44" t="str">
        <x:f>IF(COUNTA(AC62:AN62)=0,"",IFERROR(AK62/AJ62,""))</x:f>
      </x:c>
      <x:c r="AV62" s="44" t="str">
        <x:f>IF(COUNTA(AC62:AN62)=0,"",IFERROR((AM62+AN62)/IF(AJ62&gt;0,AJ62,IF(AD62&gt;0,AD62,AC62)),""))</x:f>
      </x:c>
      <x:c r="AW62" s="29"/>
    </x:row>
    <x:row r="63">
      <x:c r="A63" s="29"/>
      <x:c r="B63" s="41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42"/>
      <x:c r="AA63" s="29"/>
      <x:c r="AB63" s="29"/>
      <x:c r="AC63" s="43"/>
      <x:c r="AD63" s="43"/>
      <x:c r="AE63" s="43"/>
      <x:c r="AF63" s="43"/>
      <x:c r="AG63" s="43"/>
      <x:c r="AH63" s="43"/>
      <x:c r="AI63" s="43"/>
      <x:c r="AJ63" s="43"/>
      <x:c r="AK63" s="43"/>
      <x:c r="AL63" s="43"/>
      <x:c r="AM63" s="43"/>
      <x:c r="AN63" s="43"/>
      <x:c r="AO63" s="44" t="str">
        <x:f>IF(COUNTA(AC63:AN63)=0,"",IFERROR(AD63/AC63,""))</x:f>
      </x:c>
      <x:c r="AP63" s="44" t="str">
        <x:f>IF(COUNTA(AC63:AN63)=0,"",IFERROR((AF63+AG63+AH63+AI63)/AC63,""))</x:f>
      </x:c>
      <x:c r="AQ63" s="44" t="str">
        <x:f>IF(COUNTA(AC63:AN63)=0,"",IFERROR(AJ63/IF(C63="X",AC63,AD63),""))</x:f>
      </x:c>
      <x:c r="AR63" s="44" t="str">
        <x:f>IF(COUNTA(AC63:AN63)=0,"",IFERROR((AG63+AH63)/AC63,""))</x:f>
      </x:c>
      <x:c r="AS63" s="44" t="str">
        <x:f>IF(COUNTA(AC63:AN63)=0,"",IFERROR(AI63/AC63,""))</x:f>
      </x:c>
      <x:c r="AT63" s="44" t="str">
        <x:f>IF(COUNTA(AC63:AN63)=0,"",IFERROR(AJ63/AC63,""))</x:f>
      </x:c>
      <x:c r="AU63" s="44" t="str">
        <x:f>IF(COUNTA(AC63:AN63)=0,"",IFERROR(AK63/AJ63,""))</x:f>
      </x:c>
      <x:c r="AV63" s="44" t="str">
        <x:f>IF(COUNTA(AC63:AN63)=0,"",IFERROR((AM63+AN63)/IF(AJ63&gt;0,AJ63,IF(AD63&gt;0,AD63,AC63)),""))</x:f>
      </x:c>
      <x:c r="AW63" s="29"/>
    </x:row>
    <x:row r="64">
      <x:c r="A64" s="29"/>
      <x:c r="B64" s="41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42"/>
      <x:c r="AA64" s="29"/>
      <x:c r="AB64" s="29"/>
      <x:c r="AC64" s="43"/>
      <x:c r="AD64" s="43"/>
      <x:c r="AE64" s="43"/>
      <x:c r="AF64" s="43"/>
      <x:c r="AG64" s="43"/>
      <x:c r="AH64" s="43"/>
      <x:c r="AI64" s="43"/>
      <x:c r="AJ64" s="43"/>
      <x:c r="AK64" s="43"/>
      <x:c r="AL64" s="43"/>
      <x:c r="AM64" s="43"/>
      <x:c r="AN64" s="43"/>
      <x:c r="AO64" s="44" t="str">
        <x:f>IF(COUNTA(AC64:AN64)=0,"",IFERROR(AD64/AC64,""))</x:f>
      </x:c>
      <x:c r="AP64" s="44" t="str">
        <x:f>IF(COUNTA(AC64:AN64)=0,"",IFERROR((AF64+AG64+AH64+AI64)/AC64,""))</x:f>
      </x:c>
      <x:c r="AQ64" s="44" t="str">
        <x:f>IF(COUNTA(AC64:AN64)=0,"",IFERROR(AJ64/IF(C64="X",AC64,AD64),""))</x:f>
      </x:c>
      <x:c r="AR64" s="44" t="str">
        <x:f>IF(COUNTA(AC64:AN64)=0,"",IFERROR((AG64+AH64)/AC64,""))</x:f>
      </x:c>
      <x:c r="AS64" s="44" t="str">
        <x:f>IF(COUNTA(AC64:AN64)=0,"",IFERROR(AI64/AC64,""))</x:f>
      </x:c>
      <x:c r="AT64" s="44" t="str">
        <x:f>IF(COUNTA(AC64:AN64)=0,"",IFERROR(AJ64/AC64,""))</x:f>
      </x:c>
      <x:c r="AU64" s="44" t="str">
        <x:f>IF(COUNTA(AC64:AN64)=0,"",IFERROR(AK64/AJ64,""))</x:f>
      </x:c>
      <x:c r="AV64" s="44" t="str">
        <x:f>IF(COUNTA(AC64:AN64)=0,"",IFERROR((AM64+AN64)/IF(AJ64&gt;0,AJ64,IF(AD64&gt;0,AD64,AC64)),""))</x:f>
      </x:c>
      <x:c r="AW64" s="29"/>
    </x:row>
    <x:row r="65">
      <x:c r="A65" s="29"/>
      <x:c r="B65" s="41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42"/>
      <x:c r="AA65" s="29"/>
      <x:c r="AB65" s="29"/>
      <x:c r="AC65" s="43"/>
      <x:c r="AD65" s="43"/>
      <x:c r="AE65" s="43"/>
      <x:c r="AF65" s="43"/>
      <x:c r="AG65" s="43"/>
      <x:c r="AH65" s="43"/>
      <x:c r="AI65" s="43"/>
      <x:c r="AJ65" s="43"/>
      <x:c r="AK65" s="43"/>
      <x:c r="AL65" s="43"/>
      <x:c r="AM65" s="43"/>
      <x:c r="AN65" s="43"/>
      <x:c r="AO65" s="44" t="str">
        <x:f>IF(COUNTA(AC65:AN65)=0,"",IFERROR(AD65/AC65,""))</x:f>
      </x:c>
      <x:c r="AP65" s="44" t="str">
        <x:f>IF(COUNTA(AC65:AN65)=0,"",IFERROR((AF65+AG65+AH65+AI65)/AC65,""))</x:f>
      </x:c>
      <x:c r="AQ65" s="44" t="str">
        <x:f>IF(COUNTA(AC65:AN65)=0,"",IFERROR(AJ65/IF(C65="X",AC65,AD65),""))</x:f>
      </x:c>
      <x:c r="AR65" s="44" t="str">
        <x:f>IF(COUNTA(AC65:AN65)=0,"",IFERROR((AG65+AH65)/AC65,""))</x:f>
      </x:c>
      <x:c r="AS65" s="44" t="str">
        <x:f>IF(COUNTA(AC65:AN65)=0,"",IFERROR(AI65/AC65,""))</x:f>
      </x:c>
      <x:c r="AT65" s="44" t="str">
        <x:f>IF(COUNTA(AC65:AN65)=0,"",IFERROR(AJ65/AC65,""))</x:f>
      </x:c>
      <x:c r="AU65" s="44" t="str">
        <x:f>IF(COUNTA(AC65:AN65)=0,"",IFERROR(AK65/AJ65,""))</x:f>
      </x:c>
      <x:c r="AV65" s="44" t="str">
        <x:f>IF(COUNTA(AC65:AN65)=0,"",IFERROR((AM65+AN65)/IF(AJ65&gt;0,AJ65,IF(AD65&gt;0,AD65,AC65)),""))</x:f>
      </x:c>
      <x:c r="AW65" s="29"/>
    </x:row>
    <x:row r="66">
      <x:c r="A66" s="29"/>
      <x:c r="B66" s="41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42"/>
      <x:c r="AA66" s="29"/>
      <x:c r="AB66" s="29"/>
      <x:c r="AC66" s="43"/>
      <x:c r="AD66" s="43"/>
      <x:c r="AE66" s="43"/>
      <x:c r="AF66" s="43"/>
      <x:c r="AG66" s="43"/>
      <x:c r="AH66" s="43"/>
      <x:c r="AI66" s="43"/>
      <x:c r="AJ66" s="43"/>
      <x:c r="AK66" s="43"/>
      <x:c r="AL66" s="43"/>
      <x:c r="AM66" s="43"/>
      <x:c r="AN66" s="43"/>
      <x:c r="AO66" s="44" t="str">
        <x:f>IF(COUNTA(AC66:AN66)=0,"",IFERROR(AD66/AC66,""))</x:f>
      </x:c>
      <x:c r="AP66" s="44" t="str">
        <x:f>IF(COUNTA(AC66:AN66)=0,"",IFERROR((AF66+AG66+AH66+AI66)/AC66,""))</x:f>
      </x:c>
      <x:c r="AQ66" s="44" t="str">
        <x:f>IF(COUNTA(AC66:AN66)=0,"",IFERROR(AJ66/IF(C66="X",AC66,AD66),""))</x:f>
      </x:c>
      <x:c r="AR66" s="44" t="str">
        <x:f>IF(COUNTA(AC66:AN66)=0,"",IFERROR((AG66+AH66)/AC66,""))</x:f>
      </x:c>
      <x:c r="AS66" s="44" t="str">
        <x:f>IF(COUNTA(AC66:AN66)=0,"",IFERROR(AI66/AC66,""))</x:f>
      </x:c>
      <x:c r="AT66" s="44" t="str">
        <x:f>IF(COUNTA(AC66:AN66)=0,"",IFERROR(AJ66/AC66,""))</x:f>
      </x:c>
      <x:c r="AU66" s="44" t="str">
        <x:f>IF(COUNTA(AC66:AN66)=0,"",IFERROR(AK66/AJ66,""))</x:f>
      </x:c>
      <x:c r="AV66" s="44" t="str">
        <x:f>IF(COUNTA(AC66:AN66)=0,"",IFERROR((AM66+AN66)/IF(AJ66&gt;0,AJ66,IF(AD66&gt;0,AD66,AC66)),""))</x:f>
      </x:c>
      <x:c r="AW66" s="29"/>
    </x:row>
    <x:row r="67">
      <x:c r="A67" s="29"/>
      <x:c r="B67" s="41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42"/>
      <x:c r="AA67" s="29"/>
      <x:c r="AB67" s="29"/>
      <x:c r="AC67" s="43"/>
      <x:c r="AD67" s="43"/>
      <x:c r="AE67" s="43"/>
      <x:c r="AF67" s="43"/>
      <x:c r="AG67" s="43"/>
      <x:c r="AH67" s="43"/>
      <x:c r="AI67" s="43"/>
      <x:c r="AJ67" s="43"/>
      <x:c r="AK67" s="43"/>
      <x:c r="AL67" s="43"/>
      <x:c r="AM67" s="43"/>
      <x:c r="AN67" s="43"/>
      <x:c r="AO67" s="44" t="str">
        <x:f>IF(COUNTA(AC67:AN67)=0,"",IFERROR(AD67/AC67,""))</x:f>
      </x:c>
      <x:c r="AP67" s="44" t="str">
        <x:f>IF(COUNTA(AC67:AN67)=0,"",IFERROR((AF67+AG67+AH67+AI67)/AC67,""))</x:f>
      </x:c>
      <x:c r="AQ67" s="44" t="str">
        <x:f>IF(COUNTA(AC67:AN67)=0,"",IFERROR(AJ67/IF(C67="X",AC67,AD67),""))</x:f>
      </x:c>
      <x:c r="AR67" s="44" t="str">
        <x:f>IF(COUNTA(AC67:AN67)=0,"",IFERROR((AG67+AH67)/AC67,""))</x:f>
      </x:c>
      <x:c r="AS67" s="44" t="str">
        <x:f>IF(COUNTA(AC67:AN67)=0,"",IFERROR(AI67/AC67,""))</x:f>
      </x:c>
      <x:c r="AT67" s="44" t="str">
        <x:f>IF(COUNTA(AC67:AN67)=0,"",IFERROR(AJ67/AC67,""))</x:f>
      </x:c>
      <x:c r="AU67" s="44" t="str">
        <x:f>IF(COUNTA(AC67:AN67)=0,"",IFERROR(AK67/AJ67,""))</x:f>
      </x:c>
      <x:c r="AV67" s="44" t="str">
        <x:f>IF(COUNTA(AC67:AN67)=0,"",IFERROR((AM67+AN67)/IF(AJ67&gt;0,AJ67,IF(AD67&gt;0,AD67,AC67)),""))</x:f>
      </x:c>
      <x:c r="AW67" s="29"/>
    </x:row>
    <x:row r="68">
      <x:c r="A68" s="29"/>
      <x:c r="B68" s="41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42"/>
      <x:c r="AA68" s="29"/>
      <x:c r="AB68" s="29"/>
      <x:c r="AC68" s="43"/>
      <x:c r="AD68" s="43"/>
      <x:c r="AE68" s="43"/>
      <x:c r="AF68" s="43"/>
      <x:c r="AG68" s="43"/>
      <x:c r="AH68" s="43"/>
      <x:c r="AI68" s="43"/>
      <x:c r="AJ68" s="43"/>
      <x:c r="AK68" s="43"/>
      <x:c r="AL68" s="43"/>
      <x:c r="AM68" s="43"/>
      <x:c r="AN68" s="43"/>
      <x:c r="AO68" s="44" t="str">
        <x:f>IF(COUNTA(AC68:AN68)=0,"",IFERROR(AD68/AC68,""))</x:f>
      </x:c>
      <x:c r="AP68" s="44" t="str">
        <x:f>IF(COUNTA(AC68:AN68)=0,"",IFERROR((AF68+AG68+AH68+AI68)/AC68,""))</x:f>
      </x:c>
      <x:c r="AQ68" s="44" t="str">
        <x:f>IF(COUNTA(AC68:AN68)=0,"",IFERROR(AJ68/IF(C68="X",AC68,AD68),""))</x:f>
      </x:c>
      <x:c r="AR68" s="44" t="str">
        <x:f>IF(COUNTA(AC68:AN68)=0,"",IFERROR((AG68+AH68)/AC68,""))</x:f>
      </x:c>
      <x:c r="AS68" s="44" t="str">
        <x:f>IF(COUNTA(AC68:AN68)=0,"",IFERROR(AI68/AC68,""))</x:f>
      </x:c>
      <x:c r="AT68" s="44" t="str">
        <x:f>IF(COUNTA(AC68:AN68)=0,"",IFERROR(AJ68/AC68,""))</x:f>
      </x:c>
      <x:c r="AU68" s="44" t="str">
        <x:f>IF(COUNTA(AC68:AN68)=0,"",IFERROR(AK68/AJ68,""))</x:f>
      </x:c>
      <x:c r="AV68" s="44" t="str">
        <x:f>IF(COUNTA(AC68:AN68)=0,"",IFERROR((AM68+AN68)/IF(AJ68&gt;0,AJ68,IF(AD68&gt;0,AD68,AC68)),""))</x:f>
      </x:c>
      <x:c r="AW68" s="29"/>
    </x:row>
    <x:row r="69">
      <x:c r="A69" s="29"/>
      <x:c r="B69" s="41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42"/>
      <x:c r="AA69" s="29"/>
      <x:c r="AB69" s="29"/>
      <x:c r="AC69" s="43"/>
      <x:c r="AD69" s="43"/>
      <x:c r="AE69" s="43"/>
      <x:c r="AF69" s="43"/>
      <x:c r="AG69" s="43"/>
      <x:c r="AH69" s="43"/>
      <x:c r="AI69" s="43"/>
      <x:c r="AJ69" s="43"/>
      <x:c r="AK69" s="43"/>
      <x:c r="AL69" s="43"/>
      <x:c r="AM69" s="43"/>
      <x:c r="AN69" s="43"/>
      <x:c r="AO69" s="44" t="str">
        <x:f>IF(COUNTA(AC69:AN69)=0,"",IFERROR(AD69/AC69,""))</x:f>
      </x:c>
      <x:c r="AP69" s="44" t="str">
        <x:f>IF(COUNTA(AC69:AN69)=0,"",IFERROR((AF69+AG69+AH69+AI69)/AC69,""))</x:f>
      </x:c>
      <x:c r="AQ69" s="44" t="str">
        <x:f>IF(COUNTA(AC69:AN69)=0,"",IFERROR(AJ69/IF(C69="X",AC69,AD69),""))</x:f>
      </x:c>
      <x:c r="AR69" s="44" t="str">
        <x:f>IF(COUNTA(AC69:AN69)=0,"",IFERROR((AG69+AH69)/AC69,""))</x:f>
      </x:c>
      <x:c r="AS69" s="44" t="str">
        <x:f>IF(COUNTA(AC69:AN69)=0,"",IFERROR(AI69/AC69,""))</x:f>
      </x:c>
      <x:c r="AT69" s="44" t="str">
        <x:f>IF(COUNTA(AC69:AN69)=0,"",IFERROR(AJ69/AC69,""))</x:f>
      </x:c>
      <x:c r="AU69" s="44" t="str">
        <x:f>IF(COUNTA(AC69:AN69)=0,"",IFERROR(AK69/AJ69,""))</x:f>
      </x:c>
      <x:c r="AV69" s="44" t="str">
        <x:f>IF(COUNTA(AC69:AN69)=0,"",IFERROR((AM69+AN69)/IF(AJ69&gt;0,AJ69,IF(AD69&gt;0,AD69,AC69)),""))</x:f>
      </x:c>
      <x:c r="AW69" s="29"/>
    </x:row>
    <x:row r="70">
      <x:c r="A70" s="29"/>
      <x:c r="B70" s="41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42"/>
      <x:c r="AA70" s="29"/>
      <x:c r="AB70" s="29"/>
      <x:c r="AC70" s="43"/>
      <x:c r="AD70" s="43"/>
      <x:c r="AE70" s="43"/>
      <x:c r="AF70" s="43"/>
      <x:c r="AG70" s="43"/>
      <x:c r="AH70" s="43"/>
      <x:c r="AI70" s="43"/>
      <x:c r="AJ70" s="43"/>
      <x:c r="AK70" s="43"/>
      <x:c r="AL70" s="43"/>
      <x:c r="AM70" s="43"/>
      <x:c r="AN70" s="43"/>
      <x:c r="AO70" s="44" t="str">
        <x:f>IF(COUNTA(AC70:AN70)=0,"",IFERROR(AD70/AC70,""))</x:f>
      </x:c>
      <x:c r="AP70" s="44" t="str">
        <x:f>IF(COUNTA(AC70:AN70)=0,"",IFERROR((AF70+AG70+AH70+AI70)/AC70,""))</x:f>
      </x:c>
      <x:c r="AQ70" s="44" t="str">
        <x:f>IF(COUNTA(AC70:AN70)=0,"",IFERROR(AJ70/IF(C70="X",AC70,AD70),""))</x:f>
      </x:c>
      <x:c r="AR70" s="44" t="str">
        <x:f>IF(COUNTA(AC70:AN70)=0,"",IFERROR((AG70+AH70)/AC70,""))</x:f>
      </x:c>
      <x:c r="AS70" s="44" t="str">
        <x:f>IF(COUNTA(AC70:AN70)=0,"",IFERROR(AI70/AC70,""))</x:f>
      </x:c>
      <x:c r="AT70" s="44" t="str">
        <x:f>IF(COUNTA(AC70:AN70)=0,"",IFERROR(AJ70/AC70,""))</x:f>
      </x:c>
      <x:c r="AU70" s="44" t="str">
        <x:f>IF(COUNTA(AC70:AN70)=0,"",IFERROR(AK70/AJ70,""))</x:f>
      </x:c>
      <x:c r="AV70" s="44" t="str">
        <x:f>IF(COUNTA(AC70:AN70)=0,"",IFERROR((AM70+AN70)/IF(AJ70&gt;0,AJ70,IF(AD70&gt;0,AD70,AC70)),""))</x:f>
      </x:c>
      <x:c r="AW70" s="29"/>
    </x:row>
    <x:row r="71">
      <x:c r="A71" s="29"/>
      <x:c r="B71" s="41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42"/>
      <x:c r="AA71" s="29"/>
      <x:c r="AB71" s="29"/>
      <x:c r="AC71" s="43"/>
      <x:c r="AD71" s="43"/>
      <x:c r="AE71" s="43"/>
      <x:c r="AF71" s="43"/>
      <x:c r="AG71" s="43"/>
      <x:c r="AH71" s="43"/>
      <x:c r="AI71" s="43"/>
      <x:c r="AJ71" s="43"/>
      <x:c r="AK71" s="43"/>
      <x:c r="AL71" s="43"/>
      <x:c r="AM71" s="43"/>
      <x:c r="AN71" s="43"/>
      <x:c r="AO71" s="44" t="str">
        <x:f>IF(COUNTA(AC71:AN71)=0,"",IFERROR(AD71/AC71,""))</x:f>
      </x:c>
      <x:c r="AP71" s="44" t="str">
        <x:f>IF(COUNTA(AC71:AN71)=0,"",IFERROR((AF71+AG71+AH71+AI71)/AC71,""))</x:f>
      </x:c>
      <x:c r="AQ71" s="44" t="str">
        <x:f>IF(COUNTA(AC71:AN71)=0,"",IFERROR(AJ71/IF(C71="X",AC71,AD71),""))</x:f>
      </x:c>
      <x:c r="AR71" s="44" t="str">
        <x:f>IF(COUNTA(AC71:AN71)=0,"",IFERROR((AG71+AH71)/AC71,""))</x:f>
      </x:c>
      <x:c r="AS71" s="44" t="str">
        <x:f>IF(COUNTA(AC71:AN71)=0,"",IFERROR(AI71/AC71,""))</x:f>
      </x:c>
      <x:c r="AT71" s="44" t="str">
        <x:f>IF(COUNTA(AC71:AN71)=0,"",IFERROR(AJ71/AC71,""))</x:f>
      </x:c>
      <x:c r="AU71" s="44" t="str">
        <x:f>IF(COUNTA(AC71:AN71)=0,"",IFERROR(AK71/AJ71,""))</x:f>
      </x:c>
      <x:c r="AV71" s="44" t="str">
        <x:f>IF(COUNTA(AC71:AN71)=0,"",IFERROR((AM71+AN71)/IF(AJ71&gt;0,AJ71,IF(AD71&gt;0,AD71,AC71)),""))</x:f>
      </x:c>
      <x:c r="AW71" s="29"/>
    </x:row>
    <x:row r="72">
      <x:c r="A72" s="29"/>
      <x:c r="B72" s="41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42"/>
      <x:c r="AA72" s="29"/>
      <x:c r="AB72" s="29"/>
      <x:c r="AC72" s="43"/>
      <x:c r="AD72" s="43"/>
      <x:c r="AE72" s="43"/>
      <x:c r="AF72" s="43"/>
      <x:c r="AG72" s="43"/>
      <x:c r="AH72" s="43"/>
      <x:c r="AI72" s="43"/>
      <x:c r="AJ72" s="43"/>
      <x:c r="AK72" s="43"/>
      <x:c r="AL72" s="43"/>
      <x:c r="AM72" s="43"/>
      <x:c r="AN72" s="43"/>
      <x:c r="AO72" s="44" t="str">
        <x:f>IF(COUNTA(AC72:AN72)=0,"",IFERROR(AD72/AC72,""))</x:f>
      </x:c>
      <x:c r="AP72" s="44" t="str">
        <x:f>IF(COUNTA(AC72:AN72)=0,"",IFERROR((AF72+AG72+AH72+AI72)/AC72,""))</x:f>
      </x:c>
      <x:c r="AQ72" s="44" t="str">
        <x:f>IF(COUNTA(AC72:AN72)=0,"",IFERROR(AJ72/IF(C72="X",AC72,AD72),""))</x:f>
      </x:c>
      <x:c r="AR72" s="44" t="str">
        <x:f>IF(COUNTA(AC72:AN72)=0,"",IFERROR((AG72+AH72)/AC72,""))</x:f>
      </x:c>
      <x:c r="AS72" s="44" t="str">
        <x:f>IF(COUNTA(AC72:AN72)=0,"",IFERROR(AI72/AC72,""))</x:f>
      </x:c>
      <x:c r="AT72" s="44" t="str">
        <x:f>IF(COUNTA(AC72:AN72)=0,"",IFERROR(AJ72/AC72,""))</x:f>
      </x:c>
      <x:c r="AU72" s="44" t="str">
        <x:f>IF(COUNTA(AC72:AN72)=0,"",IFERROR(AK72/AJ72,""))</x:f>
      </x:c>
      <x:c r="AV72" s="44" t="str">
        <x:f>IF(COUNTA(AC72:AN72)=0,"",IFERROR((AM72+AN72)/IF(AJ72&gt;0,AJ72,IF(AD72&gt;0,AD72,AC72)),""))</x:f>
      </x:c>
      <x:c r="AW72" s="29"/>
    </x:row>
    <x:row r="73">
      <x:c r="A73" s="29"/>
      <x:c r="B73" s="41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42"/>
      <x:c r="AA73" s="29"/>
      <x:c r="AB73" s="29"/>
      <x:c r="AC73" s="43"/>
      <x:c r="AD73" s="43"/>
      <x:c r="AE73" s="43"/>
      <x:c r="AF73" s="43"/>
      <x:c r="AG73" s="43"/>
      <x:c r="AH73" s="43"/>
      <x:c r="AI73" s="43"/>
      <x:c r="AJ73" s="43"/>
      <x:c r="AK73" s="43"/>
      <x:c r="AL73" s="43"/>
      <x:c r="AM73" s="43"/>
      <x:c r="AN73" s="43"/>
      <x:c r="AO73" s="44" t="str">
        <x:f>IF(COUNTA(AC73:AN73)=0,"",IFERROR(AD73/AC73,""))</x:f>
      </x:c>
      <x:c r="AP73" s="44" t="str">
        <x:f>IF(COUNTA(AC73:AN73)=0,"",IFERROR((AF73+AG73+AH73+AI73)/AC73,""))</x:f>
      </x:c>
      <x:c r="AQ73" s="44" t="str">
        <x:f>IF(COUNTA(AC73:AN73)=0,"",IFERROR(AJ73/IF(C73="X",AC73,AD73),""))</x:f>
      </x:c>
      <x:c r="AR73" s="44" t="str">
        <x:f>IF(COUNTA(AC73:AN73)=0,"",IFERROR((AG73+AH73)/AC73,""))</x:f>
      </x:c>
      <x:c r="AS73" s="44" t="str">
        <x:f>IF(COUNTA(AC73:AN73)=0,"",IFERROR(AI73/AC73,""))</x:f>
      </x:c>
      <x:c r="AT73" s="44" t="str">
        <x:f>IF(COUNTA(AC73:AN73)=0,"",IFERROR(AJ73/AC73,""))</x:f>
      </x:c>
      <x:c r="AU73" s="44" t="str">
        <x:f>IF(COUNTA(AC73:AN73)=0,"",IFERROR(AK73/AJ73,""))</x:f>
      </x:c>
      <x:c r="AV73" s="44" t="str">
        <x:f>IF(COUNTA(AC73:AN73)=0,"",IFERROR((AM73+AN73)/IF(AJ73&gt;0,AJ73,IF(AD73&gt;0,AD73,AC73)),""))</x:f>
      </x:c>
      <x:c r="AW73" s="29"/>
    </x:row>
    <x:row r="74">
      <x:c r="A74" s="29"/>
      <x:c r="B74" s="41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42"/>
      <x:c r="AA74" s="29"/>
      <x:c r="AB74" s="29"/>
      <x:c r="AC74" s="43"/>
      <x:c r="AD74" s="43"/>
      <x:c r="AE74" s="43"/>
      <x:c r="AF74" s="43"/>
      <x:c r="AG74" s="43"/>
      <x:c r="AH74" s="43"/>
      <x:c r="AI74" s="43"/>
      <x:c r="AJ74" s="43"/>
      <x:c r="AK74" s="43"/>
      <x:c r="AL74" s="43"/>
      <x:c r="AM74" s="43"/>
      <x:c r="AN74" s="43"/>
      <x:c r="AO74" s="44" t="str">
        <x:f>IF(COUNTA(AC74:AN74)=0,"",IFERROR(AD74/AC74,""))</x:f>
      </x:c>
      <x:c r="AP74" s="44" t="str">
        <x:f>IF(COUNTA(AC74:AN74)=0,"",IFERROR((AF74+AG74+AH74+AI74)/AC74,""))</x:f>
      </x:c>
      <x:c r="AQ74" s="44" t="str">
        <x:f>IF(COUNTA(AC74:AN74)=0,"",IFERROR(AJ74/IF(C74="X",AC74,AD74),""))</x:f>
      </x:c>
      <x:c r="AR74" s="44" t="str">
        <x:f>IF(COUNTA(AC74:AN74)=0,"",IFERROR((AG74+AH74)/AC74,""))</x:f>
      </x:c>
      <x:c r="AS74" s="44" t="str">
        <x:f>IF(COUNTA(AC74:AN74)=0,"",IFERROR(AI74/AC74,""))</x:f>
      </x:c>
      <x:c r="AT74" s="44" t="str">
        <x:f>IF(COUNTA(AC74:AN74)=0,"",IFERROR(AJ74/AC74,""))</x:f>
      </x:c>
      <x:c r="AU74" s="44" t="str">
        <x:f>IF(COUNTA(AC74:AN74)=0,"",IFERROR(AK74/AJ74,""))</x:f>
      </x:c>
      <x:c r="AV74" s="44" t="str">
        <x:f>IF(COUNTA(AC74:AN74)=0,"",IFERROR((AM74+AN74)/IF(AJ74&gt;0,AJ74,IF(AD74&gt;0,AD74,AC74)),""))</x:f>
      </x:c>
      <x:c r="AW74" s="29"/>
    </x:row>
    <x:row r="75">
      <x:c r="A75" s="29"/>
      <x:c r="B75" s="41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42"/>
      <x:c r="AA75" s="29"/>
      <x:c r="AB75" s="29"/>
      <x:c r="AC75" s="43"/>
      <x:c r="AD75" s="43"/>
      <x:c r="AE75" s="43"/>
      <x:c r="AF75" s="43"/>
      <x:c r="AG75" s="43"/>
      <x:c r="AH75" s="43"/>
      <x:c r="AI75" s="43"/>
      <x:c r="AJ75" s="43"/>
      <x:c r="AK75" s="43"/>
      <x:c r="AL75" s="43"/>
      <x:c r="AM75" s="43"/>
      <x:c r="AN75" s="43"/>
      <x:c r="AO75" s="44" t="str">
        <x:f>IF(COUNTA(AC75:AN75)=0,"",IFERROR(AD75/AC75,""))</x:f>
      </x:c>
      <x:c r="AP75" s="44" t="str">
        <x:f>IF(COUNTA(AC75:AN75)=0,"",IFERROR((AF75+AG75+AH75+AI75)/AC75,""))</x:f>
      </x:c>
      <x:c r="AQ75" s="44" t="str">
        <x:f>IF(COUNTA(AC75:AN75)=0,"",IFERROR(AJ75/IF(C75="X",AC75,AD75),""))</x:f>
      </x:c>
      <x:c r="AR75" s="44" t="str">
        <x:f>IF(COUNTA(AC75:AN75)=0,"",IFERROR((AG75+AH75)/AC75,""))</x:f>
      </x:c>
      <x:c r="AS75" s="44" t="str">
        <x:f>IF(COUNTA(AC75:AN75)=0,"",IFERROR(AI75/AC75,""))</x:f>
      </x:c>
      <x:c r="AT75" s="44" t="str">
        <x:f>IF(COUNTA(AC75:AN75)=0,"",IFERROR(AJ75/AC75,""))</x:f>
      </x:c>
      <x:c r="AU75" s="44" t="str">
        <x:f>IF(COUNTA(AC75:AN75)=0,"",IFERROR(AK75/AJ75,""))</x:f>
      </x:c>
      <x:c r="AV75" s="44" t="str">
        <x:f>IF(COUNTA(AC75:AN75)=0,"",IFERROR((AM75+AN75)/IF(AJ75&gt;0,AJ75,IF(AD75&gt;0,AD75,AC75)),""))</x:f>
      </x:c>
      <x:c r="AW75" s="29"/>
    </x:row>
    <x:row r="76">
      <x:c r="A76" s="29"/>
      <x:c r="B76" s="41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42"/>
      <x:c r="AA76" s="29"/>
      <x:c r="AB76" s="29"/>
      <x:c r="AC76" s="43"/>
      <x:c r="AD76" s="43"/>
      <x:c r="AE76" s="43"/>
      <x:c r="AF76" s="43"/>
      <x:c r="AG76" s="43"/>
      <x:c r="AH76" s="43"/>
      <x:c r="AI76" s="43"/>
      <x:c r="AJ76" s="43"/>
      <x:c r="AK76" s="43"/>
      <x:c r="AL76" s="43"/>
      <x:c r="AM76" s="43"/>
      <x:c r="AN76" s="43"/>
      <x:c r="AO76" s="44" t="str">
        <x:f>IF(COUNTA(AC76:AN76)=0,"",IFERROR(AD76/AC76,""))</x:f>
      </x:c>
      <x:c r="AP76" s="44" t="str">
        <x:f>IF(COUNTA(AC76:AN76)=0,"",IFERROR((AF76+AG76+AH76+AI76)/AC76,""))</x:f>
      </x:c>
      <x:c r="AQ76" s="44" t="str">
        <x:f>IF(COUNTA(AC76:AN76)=0,"",IFERROR(AJ76/IF(C76="X",AC76,AD76),""))</x:f>
      </x:c>
      <x:c r="AR76" s="44" t="str">
        <x:f>IF(COUNTA(AC76:AN76)=0,"",IFERROR((AG76+AH76)/AC76,""))</x:f>
      </x:c>
      <x:c r="AS76" s="44" t="str">
        <x:f>IF(COUNTA(AC76:AN76)=0,"",IFERROR(AI76/AC76,""))</x:f>
      </x:c>
      <x:c r="AT76" s="44" t="str">
        <x:f>IF(COUNTA(AC76:AN76)=0,"",IFERROR(AJ76/AC76,""))</x:f>
      </x:c>
      <x:c r="AU76" s="44" t="str">
        <x:f>IF(COUNTA(AC76:AN76)=0,"",IFERROR(AK76/AJ76,""))</x:f>
      </x:c>
      <x:c r="AV76" s="44" t="str">
        <x:f>IF(COUNTA(AC76:AN76)=0,"",IFERROR((AM76+AN76)/IF(AJ76&gt;0,AJ76,IF(AD76&gt;0,AD76,AC76)),""))</x:f>
      </x:c>
      <x:c r="AW76" s="29"/>
    </x:row>
    <x:row r="77">
      <x:c r="A77" s="29"/>
      <x:c r="B77" s="41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42"/>
      <x:c r="AA77" s="29"/>
      <x:c r="AB77" s="29"/>
      <x:c r="AC77" s="43"/>
      <x:c r="AD77" s="43"/>
      <x:c r="AE77" s="43"/>
      <x:c r="AF77" s="43"/>
      <x:c r="AG77" s="43"/>
      <x:c r="AH77" s="43"/>
      <x:c r="AI77" s="43"/>
      <x:c r="AJ77" s="43"/>
      <x:c r="AK77" s="43"/>
      <x:c r="AL77" s="43"/>
      <x:c r="AM77" s="43"/>
      <x:c r="AN77" s="43"/>
      <x:c r="AO77" s="44" t="str">
        <x:f>IF(COUNTA(AC77:AN77)=0,"",IFERROR(AD77/AC77,""))</x:f>
      </x:c>
      <x:c r="AP77" s="44" t="str">
        <x:f>IF(COUNTA(AC77:AN77)=0,"",IFERROR((AF77+AG77+AH77+AI77)/AC77,""))</x:f>
      </x:c>
      <x:c r="AQ77" s="44" t="str">
        <x:f>IF(COUNTA(AC77:AN77)=0,"",IFERROR(AJ77/IF(C77="X",AC77,AD77),""))</x:f>
      </x:c>
      <x:c r="AR77" s="44" t="str">
        <x:f>IF(COUNTA(AC77:AN77)=0,"",IFERROR((AG77+AH77)/AC77,""))</x:f>
      </x:c>
      <x:c r="AS77" s="44" t="str">
        <x:f>IF(COUNTA(AC77:AN77)=0,"",IFERROR(AI77/AC77,""))</x:f>
      </x:c>
      <x:c r="AT77" s="44" t="str">
        <x:f>IF(COUNTA(AC77:AN77)=0,"",IFERROR(AJ77/AC77,""))</x:f>
      </x:c>
      <x:c r="AU77" s="44" t="str">
        <x:f>IF(COUNTA(AC77:AN77)=0,"",IFERROR(AK77/AJ77,""))</x:f>
      </x:c>
      <x:c r="AV77" s="44" t="str">
        <x:f>IF(COUNTA(AC77:AN77)=0,"",IFERROR((AM77+AN77)/IF(AJ77&gt;0,AJ77,IF(AD77&gt;0,AD77,AC77)),""))</x:f>
      </x:c>
      <x:c r="AW77" s="29"/>
    </x:row>
    <x:row r="78">
      <x:c r="A78" s="29"/>
      <x:c r="B78" s="41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42"/>
      <x:c r="AA78" s="29"/>
      <x:c r="AB78" s="29"/>
      <x:c r="AC78" s="43"/>
      <x:c r="AD78" s="43"/>
      <x:c r="AE78" s="43"/>
      <x:c r="AF78" s="43"/>
      <x:c r="AG78" s="43"/>
      <x:c r="AH78" s="43"/>
      <x:c r="AI78" s="43"/>
      <x:c r="AJ78" s="43"/>
      <x:c r="AK78" s="43"/>
      <x:c r="AL78" s="43"/>
      <x:c r="AM78" s="43"/>
      <x:c r="AN78" s="43"/>
      <x:c r="AO78" s="44" t="str">
        <x:f>IF(COUNTA(AC78:AN78)=0,"",IFERROR(AD78/AC78,""))</x:f>
      </x:c>
      <x:c r="AP78" s="44" t="str">
        <x:f>IF(COUNTA(AC78:AN78)=0,"",IFERROR((AF78+AG78+AH78+AI78)/AC78,""))</x:f>
      </x:c>
      <x:c r="AQ78" s="44" t="str">
        <x:f>IF(COUNTA(AC78:AN78)=0,"",IFERROR(AJ78/IF(C78="X",AC78,AD78),""))</x:f>
      </x:c>
      <x:c r="AR78" s="44" t="str">
        <x:f>IF(COUNTA(AC78:AN78)=0,"",IFERROR((AG78+AH78)/AC78,""))</x:f>
      </x:c>
      <x:c r="AS78" s="44" t="str">
        <x:f>IF(COUNTA(AC78:AN78)=0,"",IFERROR(AI78/AC78,""))</x:f>
      </x:c>
      <x:c r="AT78" s="44" t="str">
        <x:f>IF(COUNTA(AC78:AN78)=0,"",IFERROR(AJ78/AC78,""))</x:f>
      </x:c>
      <x:c r="AU78" s="44" t="str">
        <x:f>IF(COUNTA(AC78:AN78)=0,"",IFERROR(AK78/AJ78,""))</x:f>
      </x:c>
      <x:c r="AV78" s="44" t="str">
        <x:f>IF(COUNTA(AC78:AN78)=0,"",IFERROR((AM78+AN78)/IF(AJ78&gt;0,AJ78,IF(AD78&gt;0,AD78,AC78)),""))</x:f>
      </x:c>
      <x:c r="AW78" s="29"/>
    </x:row>
    <x:row r="79">
      <x:c r="A79" s="29"/>
      <x:c r="B79" s="41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42"/>
      <x:c r="AA79" s="29"/>
      <x:c r="AB79" s="29"/>
      <x:c r="AC79" s="43"/>
      <x:c r="AD79" s="43"/>
      <x:c r="AE79" s="43"/>
      <x:c r="AF79" s="43"/>
      <x:c r="AG79" s="43"/>
      <x:c r="AH79" s="43"/>
      <x:c r="AI79" s="43"/>
      <x:c r="AJ79" s="43"/>
      <x:c r="AK79" s="43"/>
      <x:c r="AL79" s="43"/>
      <x:c r="AM79" s="43"/>
      <x:c r="AN79" s="43"/>
      <x:c r="AO79" s="44" t="str">
        <x:f>IF(COUNTA(AC79:AN79)=0,"",IFERROR(AD79/AC79,""))</x:f>
      </x:c>
      <x:c r="AP79" s="44" t="str">
        <x:f>IF(COUNTA(AC79:AN79)=0,"",IFERROR((AF79+AG79+AH79+AI79)/AC79,""))</x:f>
      </x:c>
      <x:c r="AQ79" s="44" t="str">
        <x:f>IF(COUNTA(AC79:AN79)=0,"",IFERROR(AJ79/IF(C79="X",AC79,AD79),""))</x:f>
      </x:c>
      <x:c r="AR79" s="44" t="str">
        <x:f>IF(COUNTA(AC79:AN79)=0,"",IFERROR((AG79+AH79)/AC79,""))</x:f>
      </x:c>
      <x:c r="AS79" s="44" t="str">
        <x:f>IF(COUNTA(AC79:AN79)=0,"",IFERROR(AI79/AC79,""))</x:f>
      </x:c>
      <x:c r="AT79" s="44" t="str">
        <x:f>IF(COUNTA(AC79:AN79)=0,"",IFERROR(AJ79/AC79,""))</x:f>
      </x:c>
      <x:c r="AU79" s="44" t="str">
        <x:f>IF(COUNTA(AC79:AN79)=0,"",IFERROR(AK79/AJ79,""))</x:f>
      </x:c>
      <x:c r="AV79" s="44" t="str">
        <x:f>IF(COUNTA(AC79:AN79)=0,"",IFERROR((AM79+AN79)/IF(AJ79&gt;0,AJ79,IF(AD79&gt;0,AD79,AC79)),""))</x:f>
      </x:c>
      <x:c r="AW79" s="29"/>
    </x:row>
    <x:row r="80">
      <x:c r="A80" s="29"/>
      <x:c r="B80" s="41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42"/>
      <x:c r="AA80" s="29"/>
      <x:c r="AB80" s="29"/>
      <x:c r="AC80" s="43"/>
      <x:c r="AD80" s="43"/>
      <x:c r="AE80" s="43"/>
      <x:c r="AF80" s="43"/>
      <x:c r="AG80" s="43"/>
      <x:c r="AH80" s="43"/>
      <x:c r="AI80" s="43"/>
      <x:c r="AJ80" s="43"/>
      <x:c r="AK80" s="43"/>
      <x:c r="AL80" s="43"/>
      <x:c r="AM80" s="43"/>
      <x:c r="AN80" s="43"/>
      <x:c r="AO80" s="44" t="str">
        <x:f>IF(COUNTA(AC80:AN80)=0,"",IFERROR(AD80/AC80,""))</x:f>
      </x:c>
      <x:c r="AP80" s="44" t="str">
        <x:f>IF(COUNTA(AC80:AN80)=0,"",IFERROR((AF80+AG80+AH80+AI80)/AC80,""))</x:f>
      </x:c>
      <x:c r="AQ80" s="44" t="str">
        <x:f>IF(COUNTA(AC80:AN80)=0,"",IFERROR(AJ80/IF(C80="X",AC80,AD80),""))</x:f>
      </x:c>
      <x:c r="AR80" s="44" t="str">
        <x:f>IF(COUNTA(AC80:AN80)=0,"",IFERROR((AG80+AH80)/AC80,""))</x:f>
      </x:c>
      <x:c r="AS80" s="44" t="str">
        <x:f>IF(COUNTA(AC80:AN80)=0,"",IFERROR(AI80/AC80,""))</x:f>
      </x:c>
      <x:c r="AT80" s="44" t="str">
        <x:f>IF(COUNTA(AC80:AN80)=0,"",IFERROR(AJ80/AC80,""))</x:f>
      </x:c>
      <x:c r="AU80" s="44" t="str">
        <x:f>IF(COUNTA(AC80:AN80)=0,"",IFERROR(AK80/AJ80,""))</x:f>
      </x:c>
      <x:c r="AV80" s="44" t="str">
        <x:f>IF(COUNTA(AC80:AN80)=0,"",IFERROR((AM80+AN80)/IF(AJ80&gt;0,AJ80,IF(AD80&gt;0,AD80,AC80)),""))</x:f>
      </x:c>
      <x:c r="AW80" s="29"/>
    </x:row>
    <x:row r="81">
      <x:c r="A81" s="29"/>
      <x:c r="B81" s="41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42"/>
      <x:c r="AA81" s="29"/>
      <x:c r="AB81" s="29"/>
      <x:c r="AC81" s="43"/>
      <x:c r="AD81" s="43"/>
      <x:c r="AE81" s="43"/>
      <x:c r="AF81" s="43"/>
      <x:c r="AG81" s="43"/>
      <x:c r="AH81" s="43"/>
      <x:c r="AI81" s="43"/>
      <x:c r="AJ81" s="43"/>
      <x:c r="AK81" s="43"/>
      <x:c r="AL81" s="43"/>
      <x:c r="AM81" s="43"/>
      <x:c r="AN81" s="43"/>
      <x:c r="AO81" s="44" t="str">
        <x:f>IF(COUNTA(AC81:AN81)=0,"",IFERROR(AD81/AC81,""))</x:f>
      </x:c>
      <x:c r="AP81" s="44" t="str">
        <x:f>IF(COUNTA(AC81:AN81)=0,"",IFERROR((AF81+AG81+AH81+AI81)/AC81,""))</x:f>
      </x:c>
      <x:c r="AQ81" s="44" t="str">
        <x:f>IF(COUNTA(AC81:AN81)=0,"",IFERROR(AJ81/IF(C81="X",AC81,AD81),""))</x:f>
      </x:c>
      <x:c r="AR81" s="44" t="str">
        <x:f>IF(COUNTA(AC81:AN81)=0,"",IFERROR((AG81+AH81)/AC81,""))</x:f>
      </x:c>
      <x:c r="AS81" s="44" t="str">
        <x:f>IF(COUNTA(AC81:AN81)=0,"",IFERROR(AI81/AC81,""))</x:f>
      </x:c>
      <x:c r="AT81" s="44" t="str">
        <x:f>IF(COUNTA(AC81:AN81)=0,"",IFERROR(AJ81/AC81,""))</x:f>
      </x:c>
      <x:c r="AU81" s="44" t="str">
        <x:f>IF(COUNTA(AC81:AN81)=0,"",IFERROR(AK81/AJ81,""))</x:f>
      </x:c>
      <x:c r="AV81" s="44" t="str">
        <x:f>IF(COUNTA(AC81:AN81)=0,"",IFERROR((AM81+AN81)/IF(AJ81&gt;0,AJ81,IF(AD81&gt;0,AD81,AC81)),""))</x:f>
      </x:c>
      <x:c r="AW81" s="29"/>
    </x:row>
    <x:row r="82">
      <x:c r="A82" s="29"/>
      <x:c r="B82" s="41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42"/>
      <x:c r="AA82" s="29"/>
      <x:c r="AB82" s="29"/>
      <x:c r="AC82" s="43"/>
      <x:c r="AD82" s="43"/>
      <x:c r="AE82" s="43"/>
      <x:c r="AF82" s="43"/>
      <x:c r="AG82" s="43"/>
      <x:c r="AH82" s="43"/>
      <x:c r="AI82" s="43"/>
      <x:c r="AJ82" s="43"/>
      <x:c r="AK82" s="43"/>
      <x:c r="AL82" s="43"/>
      <x:c r="AM82" s="43"/>
      <x:c r="AN82" s="43"/>
      <x:c r="AO82" s="44" t="str">
        <x:f>IF(COUNTA(AC82:AN82)=0,"",IFERROR(AD82/AC82,""))</x:f>
      </x:c>
      <x:c r="AP82" s="44" t="str">
        <x:f>IF(COUNTA(AC82:AN82)=0,"",IFERROR((AF82+AG82+AH82+AI82)/AC82,""))</x:f>
      </x:c>
      <x:c r="AQ82" s="44" t="str">
        <x:f>IF(COUNTA(AC82:AN82)=0,"",IFERROR(AJ82/IF(C82="X",AC82,AD82),""))</x:f>
      </x:c>
      <x:c r="AR82" s="44" t="str">
        <x:f>IF(COUNTA(AC82:AN82)=0,"",IFERROR((AG82+AH82)/AC82,""))</x:f>
      </x:c>
      <x:c r="AS82" s="44" t="str">
        <x:f>IF(COUNTA(AC82:AN82)=0,"",IFERROR(AI82/AC82,""))</x:f>
      </x:c>
      <x:c r="AT82" s="44" t="str">
        <x:f>IF(COUNTA(AC82:AN82)=0,"",IFERROR(AJ82/AC82,""))</x:f>
      </x:c>
      <x:c r="AU82" s="44" t="str">
        <x:f>IF(COUNTA(AC82:AN82)=0,"",IFERROR(AK82/AJ82,""))</x:f>
      </x:c>
      <x:c r="AV82" s="44" t="str">
        <x:f>IF(COUNTA(AC82:AN82)=0,"",IFERROR((AM82+AN82)/IF(AJ82&gt;0,AJ82,IF(AD82&gt;0,AD82,AC82)),""))</x:f>
      </x:c>
      <x:c r="AW82" s="29"/>
    </x:row>
    <x:row r="83">
      <x:c r="A83" s="29"/>
      <x:c r="B83" s="41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42"/>
      <x:c r="AA83" s="29"/>
      <x:c r="AB83" s="29"/>
      <x:c r="AC83" s="43"/>
      <x:c r="AD83" s="43"/>
      <x:c r="AE83" s="43"/>
      <x:c r="AF83" s="43"/>
      <x:c r="AG83" s="43"/>
      <x:c r="AH83" s="43"/>
      <x:c r="AI83" s="43"/>
      <x:c r="AJ83" s="43"/>
      <x:c r="AK83" s="43"/>
      <x:c r="AL83" s="43"/>
      <x:c r="AM83" s="43"/>
      <x:c r="AN83" s="43"/>
      <x:c r="AO83" s="44" t="str">
        <x:f>IF(COUNTA(AC83:AN83)=0,"",IFERROR(AD83/AC83,""))</x:f>
      </x:c>
      <x:c r="AP83" s="44" t="str">
        <x:f>IF(COUNTA(AC83:AN83)=0,"",IFERROR((AF83+AG83+AH83+AI83)/AC83,""))</x:f>
      </x:c>
      <x:c r="AQ83" s="44" t="str">
        <x:f>IF(COUNTA(AC83:AN83)=0,"",IFERROR(AJ83/IF(C83="X",AC83,AD83),""))</x:f>
      </x:c>
      <x:c r="AR83" s="44" t="str">
        <x:f>IF(COUNTA(AC83:AN83)=0,"",IFERROR((AG83+AH83)/AC83,""))</x:f>
      </x:c>
      <x:c r="AS83" s="44" t="str">
        <x:f>IF(COUNTA(AC83:AN83)=0,"",IFERROR(AI83/AC83,""))</x:f>
      </x:c>
      <x:c r="AT83" s="44" t="str">
        <x:f>IF(COUNTA(AC83:AN83)=0,"",IFERROR(AJ83/AC83,""))</x:f>
      </x:c>
      <x:c r="AU83" s="44" t="str">
        <x:f>IF(COUNTA(AC83:AN83)=0,"",IFERROR(AK83/AJ83,""))</x:f>
      </x:c>
      <x:c r="AV83" s="44" t="str">
        <x:f>IF(COUNTA(AC83:AN83)=0,"",IFERROR((AM83+AN83)/IF(AJ83&gt;0,AJ83,IF(AD83&gt;0,AD83,AC83)),""))</x:f>
      </x:c>
      <x:c r="AW83" s="29"/>
    </x:row>
    <x:row r="84">
      <x:c r="A84" s="29"/>
      <x:c r="B84" s="41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42"/>
      <x:c r="AA84" s="29"/>
      <x:c r="AB84" s="29"/>
      <x:c r="AC84" s="43"/>
      <x:c r="AD84" s="43"/>
      <x:c r="AE84" s="43"/>
      <x:c r="AF84" s="43"/>
      <x:c r="AG84" s="43"/>
      <x:c r="AH84" s="43"/>
      <x:c r="AI84" s="43"/>
      <x:c r="AJ84" s="43"/>
      <x:c r="AK84" s="43"/>
      <x:c r="AL84" s="43"/>
      <x:c r="AM84" s="43"/>
      <x:c r="AN84" s="43"/>
      <x:c r="AO84" s="44" t="str">
        <x:f>IF(COUNTA(AC84:AN84)=0,"",IFERROR(AD84/AC84,""))</x:f>
      </x:c>
      <x:c r="AP84" s="44" t="str">
        <x:f>IF(COUNTA(AC84:AN84)=0,"",IFERROR((AF84+AG84+AH84+AI84)/AC84,""))</x:f>
      </x:c>
      <x:c r="AQ84" s="44" t="str">
        <x:f>IF(COUNTA(AC84:AN84)=0,"",IFERROR(AJ84/IF(C84="X",AC84,AD84),""))</x:f>
      </x:c>
      <x:c r="AR84" s="44" t="str">
        <x:f>IF(COUNTA(AC84:AN84)=0,"",IFERROR((AG84+AH84)/AC84,""))</x:f>
      </x:c>
      <x:c r="AS84" s="44" t="str">
        <x:f>IF(COUNTA(AC84:AN84)=0,"",IFERROR(AI84/AC84,""))</x:f>
      </x:c>
      <x:c r="AT84" s="44" t="str">
        <x:f>IF(COUNTA(AC84:AN84)=0,"",IFERROR(AJ84/AC84,""))</x:f>
      </x:c>
      <x:c r="AU84" s="44" t="str">
        <x:f>IF(COUNTA(AC84:AN84)=0,"",IFERROR(AK84/AJ84,""))</x:f>
      </x:c>
      <x:c r="AV84" s="44" t="str">
        <x:f>IF(COUNTA(AC84:AN84)=0,"",IFERROR((AM84+AN84)/IF(AJ84&gt;0,AJ84,IF(AD84&gt;0,AD84,AC84)),""))</x:f>
      </x:c>
      <x:c r="AW84" s="29"/>
    </x:row>
    <x:row r="85">
      <x:c r="A85" s="29"/>
      <x:c r="B85" s="41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42"/>
      <x:c r="AA85" s="29"/>
      <x:c r="AB85" s="29"/>
      <x:c r="AC85" s="43"/>
      <x:c r="AD85" s="43"/>
      <x:c r="AE85" s="43"/>
      <x:c r="AF85" s="43"/>
      <x:c r="AG85" s="43"/>
      <x:c r="AH85" s="43"/>
      <x:c r="AI85" s="43"/>
      <x:c r="AJ85" s="43"/>
      <x:c r="AK85" s="43"/>
      <x:c r="AL85" s="43"/>
      <x:c r="AM85" s="43"/>
      <x:c r="AN85" s="43"/>
      <x:c r="AO85" s="44" t="str">
        <x:f>IF(COUNTA(AC85:AN85)=0,"",IFERROR(AD85/AC85,""))</x:f>
      </x:c>
      <x:c r="AP85" s="44" t="str">
        <x:f>IF(COUNTA(AC85:AN85)=0,"",IFERROR((AF85+AG85+AH85+AI85)/AC85,""))</x:f>
      </x:c>
      <x:c r="AQ85" s="44" t="str">
        <x:f>IF(COUNTA(AC85:AN85)=0,"",IFERROR(AJ85/IF(C85="X",AC85,AD85),""))</x:f>
      </x:c>
      <x:c r="AR85" s="44" t="str">
        <x:f>IF(COUNTA(AC85:AN85)=0,"",IFERROR((AG85+AH85)/AC85,""))</x:f>
      </x:c>
      <x:c r="AS85" s="44" t="str">
        <x:f>IF(COUNTA(AC85:AN85)=0,"",IFERROR(AI85/AC85,""))</x:f>
      </x:c>
      <x:c r="AT85" s="44" t="str">
        <x:f>IF(COUNTA(AC85:AN85)=0,"",IFERROR(AJ85/AC85,""))</x:f>
      </x:c>
      <x:c r="AU85" s="44" t="str">
        <x:f>IF(COUNTA(AC85:AN85)=0,"",IFERROR(AK85/AJ85,""))</x:f>
      </x:c>
      <x:c r="AV85" s="44" t="str">
        <x:f>IF(COUNTA(AC85:AN85)=0,"",IFERROR((AM85+AN85)/IF(AJ85&gt;0,AJ85,IF(AD85&gt;0,AD85,AC85)),""))</x:f>
      </x:c>
      <x:c r="AW85" s="29"/>
    </x:row>
    <x:row r="86">
      <x:c r="A86" s="29"/>
      <x:c r="B86" s="41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42"/>
      <x:c r="AA86" s="29"/>
      <x:c r="AB86" s="29"/>
      <x:c r="AC86" s="43"/>
      <x:c r="AD86" s="43"/>
      <x:c r="AE86" s="43"/>
      <x:c r="AF86" s="43"/>
      <x:c r="AG86" s="43"/>
      <x:c r="AH86" s="43"/>
      <x:c r="AI86" s="43"/>
      <x:c r="AJ86" s="43"/>
      <x:c r="AK86" s="43"/>
      <x:c r="AL86" s="43"/>
      <x:c r="AM86" s="43"/>
      <x:c r="AN86" s="43"/>
      <x:c r="AO86" s="44" t="str">
        <x:f>IF(COUNTA(AC86:AN86)=0,"",IFERROR(AD86/AC86,""))</x:f>
      </x:c>
      <x:c r="AP86" s="44" t="str">
        <x:f>IF(COUNTA(AC86:AN86)=0,"",IFERROR((AF86+AG86+AH86+AI86)/AC86,""))</x:f>
      </x:c>
      <x:c r="AQ86" s="44" t="str">
        <x:f>IF(COUNTA(AC86:AN86)=0,"",IFERROR(AJ86/IF(C86="X",AC86,AD86),""))</x:f>
      </x:c>
      <x:c r="AR86" s="44" t="str">
        <x:f>IF(COUNTA(AC86:AN86)=0,"",IFERROR((AG86+AH86)/AC86,""))</x:f>
      </x:c>
      <x:c r="AS86" s="44" t="str">
        <x:f>IF(COUNTA(AC86:AN86)=0,"",IFERROR(AI86/AC86,""))</x:f>
      </x:c>
      <x:c r="AT86" s="44" t="str">
        <x:f>IF(COUNTA(AC86:AN86)=0,"",IFERROR(AJ86/AC86,""))</x:f>
      </x:c>
      <x:c r="AU86" s="44" t="str">
        <x:f>IF(COUNTA(AC86:AN86)=0,"",IFERROR(AK86/AJ86,""))</x:f>
      </x:c>
      <x:c r="AV86" s="44" t="str">
        <x:f>IF(COUNTA(AC86:AN86)=0,"",IFERROR((AM86+AN86)/IF(AJ86&gt;0,AJ86,IF(AD86&gt;0,AD86,AC86)),""))</x:f>
      </x:c>
      <x:c r="AW86" s="29"/>
    </x:row>
    <x:row r="87">
      <x:c r="A87" s="29"/>
      <x:c r="B87" s="41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42"/>
      <x:c r="AA87" s="29"/>
      <x:c r="AB87" s="29"/>
      <x:c r="AC87" s="43"/>
      <x:c r="AD87" s="43"/>
      <x:c r="AE87" s="43"/>
      <x:c r="AF87" s="43"/>
      <x:c r="AG87" s="43"/>
      <x:c r="AH87" s="43"/>
      <x:c r="AI87" s="43"/>
      <x:c r="AJ87" s="43"/>
      <x:c r="AK87" s="43"/>
      <x:c r="AL87" s="43"/>
      <x:c r="AM87" s="43"/>
      <x:c r="AN87" s="43"/>
      <x:c r="AO87" s="44" t="str">
        <x:f>IF(COUNTA(AC87:AN87)=0,"",IFERROR(AD87/AC87,""))</x:f>
      </x:c>
      <x:c r="AP87" s="44" t="str">
        <x:f>IF(COUNTA(AC87:AN87)=0,"",IFERROR((AF87+AG87+AH87+AI87)/AC87,""))</x:f>
      </x:c>
      <x:c r="AQ87" s="44" t="str">
        <x:f>IF(COUNTA(AC87:AN87)=0,"",IFERROR(AJ87/IF(C87="X",AC87,AD87),""))</x:f>
      </x:c>
      <x:c r="AR87" s="44" t="str">
        <x:f>IF(COUNTA(AC87:AN87)=0,"",IFERROR((AG87+AH87)/AC87,""))</x:f>
      </x:c>
      <x:c r="AS87" s="44" t="str">
        <x:f>IF(COUNTA(AC87:AN87)=0,"",IFERROR(AI87/AC87,""))</x:f>
      </x:c>
      <x:c r="AT87" s="44" t="str">
        <x:f>IF(COUNTA(AC87:AN87)=0,"",IFERROR(AJ87/AC87,""))</x:f>
      </x:c>
      <x:c r="AU87" s="44" t="str">
        <x:f>IF(COUNTA(AC87:AN87)=0,"",IFERROR(AK87/AJ87,""))</x:f>
      </x:c>
      <x:c r="AV87" s="44" t="str">
        <x:f>IF(COUNTA(AC87:AN87)=0,"",IFERROR((AM87+AN87)/IF(AJ87&gt;0,AJ87,IF(AD87&gt;0,AD87,AC87)),""))</x:f>
      </x:c>
      <x:c r="AW87" s="29"/>
    </x:row>
    <x:row r="88">
      <x:c r="A88" s="29"/>
      <x:c r="B88" s="41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42"/>
      <x:c r="AA88" s="29"/>
      <x:c r="AB88" s="29"/>
      <x:c r="AC88" s="43"/>
      <x:c r="AD88" s="43"/>
      <x:c r="AE88" s="43"/>
      <x:c r="AF88" s="43"/>
      <x:c r="AG88" s="43"/>
      <x:c r="AH88" s="43"/>
      <x:c r="AI88" s="43"/>
      <x:c r="AJ88" s="43"/>
      <x:c r="AK88" s="43"/>
      <x:c r="AL88" s="43"/>
      <x:c r="AM88" s="43"/>
      <x:c r="AN88" s="43"/>
      <x:c r="AO88" s="44" t="str">
        <x:f>IF(COUNTA(AC88:AN88)=0,"",IFERROR(AD88/AC88,""))</x:f>
      </x:c>
      <x:c r="AP88" s="44" t="str">
        <x:f>IF(COUNTA(AC88:AN88)=0,"",IFERROR((AF88+AG88+AH88+AI88)/AC88,""))</x:f>
      </x:c>
      <x:c r="AQ88" s="44" t="str">
        <x:f>IF(COUNTA(AC88:AN88)=0,"",IFERROR(AJ88/IF(C88="X",AC88,AD88),""))</x:f>
      </x:c>
      <x:c r="AR88" s="44" t="str">
        <x:f>IF(COUNTA(AC88:AN88)=0,"",IFERROR((AG88+AH88)/AC88,""))</x:f>
      </x:c>
      <x:c r="AS88" s="44" t="str">
        <x:f>IF(COUNTA(AC88:AN88)=0,"",IFERROR(AI88/AC88,""))</x:f>
      </x:c>
      <x:c r="AT88" s="44" t="str">
        <x:f>IF(COUNTA(AC88:AN88)=0,"",IFERROR(AJ88/AC88,""))</x:f>
      </x:c>
      <x:c r="AU88" s="44" t="str">
        <x:f>IF(COUNTA(AC88:AN88)=0,"",IFERROR(AK88/AJ88,""))</x:f>
      </x:c>
      <x:c r="AV88" s="44" t="str">
        <x:f>IF(COUNTA(AC88:AN88)=0,"",IFERROR((AM88+AN88)/IF(AJ88&gt;0,AJ88,IF(AD88&gt;0,AD88,AC88)),""))</x:f>
      </x:c>
      <x:c r="AW88" s="29"/>
    </x:row>
    <x:row r="89">
      <x:c r="A89" s="29"/>
      <x:c r="B89" s="41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42"/>
      <x:c r="AA89" s="29"/>
      <x:c r="AB89" s="29"/>
      <x:c r="AC89" s="43"/>
      <x:c r="AD89" s="43"/>
      <x:c r="AE89" s="43"/>
      <x:c r="AF89" s="43"/>
      <x:c r="AG89" s="43"/>
      <x:c r="AH89" s="43"/>
      <x:c r="AI89" s="43"/>
      <x:c r="AJ89" s="43"/>
      <x:c r="AK89" s="43"/>
      <x:c r="AL89" s="43"/>
      <x:c r="AM89" s="43"/>
      <x:c r="AN89" s="43"/>
      <x:c r="AO89" s="44" t="str">
        <x:f>IF(COUNTA(AC89:AN89)=0,"",IFERROR(AD89/AC89,""))</x:f>
      </x:c>
      <x:c r="AP89" s="44" t="str">
        <x:f>IF(COUNTA(AC89:AN89)=0,"",IFERROR((AF89+AG89+AH89+AI89)/AC89,""))</x:f>
      </x:c>
      <x:c r="AQ89" s="44" t="str">
        <x:f>IF(COUNTA(AC89:AN89)=0,"",IFERROR(AJ89/IF(C89="X",AC89,AD89),""))</x:f>
      </x:c>
      <x:c r="AR89" s="44" t="str">
        <x:f>IF(COUNTA(AC89:AN89)=0,"",IFERROR((AG89+AH89)/AC89,""))</x:f>
      </x:c>
      <x:c r="AS89" s="44" t="str">
        <x:f>IF(COUNTA(AC89:AN89)=0,"",IFERROR(AI89/AC89,""))</x:f>
      </x:c>
      <x:c r="AT89" s="44" t="str">
        <x:f>IF(COUNTA(AC89:AN89)=0,"",IFERROR(AJ89/AC89,""))</x:f>
      </x:c>
      <x:c r="AU89" s="44" t="str">
        <x:f>IF(COUNTA(AC89:AN89)=0,"",IFERROR(AK89/AJ89,""))</x:f>
      </x:c>
      <x:c r="AV89" s="44" t="str">
        <x:f>IF(COUNTA(AC89:AN89)=0,"",IFERROR((AM89+AN89)/IF(AJ89&gt;0,AJ89,IF(AD89&gt;0,AD89,AC89)),""))</x:f>
      </x:c>
      <x:c r="AW89" s="29"/>
    </x:row>
    <x:row r="90">
      <x:c r="A90" s="29"/>
      <x:c r="B90" s="41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42"/>
      <x:c r="AA90" s="29"/>
      <x:c r="AB90" s="29"/>
      <x:c r="AC90" s="43"/>
      <x:c r="AD90" s="43"/>
      <x:c r="AE90" s="43"/>
      <x:c r="AF90" s="43"/>
      <x:c r="AG90" s="43"/>
      <x:c r="AH90" s="43"/>
      <x:c r="AI90" s="43"/>
      <x:c r="AJ90" s="43"/>
      <x:c r="AK90" s="43"/>
      <x:c r="AL90" s="43"/>
      <x:c r="AM90" s="43"/>
      <x:c r="AN90" s="43"/>
      <x:c r="AO90" s="44" t="str">
        <x:f>IF(COUNTA(AC90:AN90)=0,"",IFERROR(AD90/AC90,""))</x:f>
      </x:c>
      <x:c r="AP90" s="44" t="str">
        <x:f>IF(COUNTA(AC90:AN90)=0,"",IFERROR((AF90+AG90+AH90+AI90)/AC90,""))</x:f>
      </x:c>
      <x:c r="AQ90" s="44" t="str">
        <x:f>IF(COUNTA(AC90:AN90)=0,"",IFERROR(AJ90/IF(C90="X",AC90,AD90),""))</x:f>
      </x:c>
      <x:c r="AR90" s="44" t="str">
        <x:f>IF(COUNTA(AC90:AN90)=0,"",IFERROR((AG90+AH90)/AC90,""))</x:f>
      </x:c>
      <x:c r="AS90" s="44" t="str">
        <x:f>IF(COUNTA(AC90:AN90)=0,"",IFERROR(AI90/AC90,""))</x:f>
      </x:c>
      <x:c r="AT90" s="44" t="str">
        <x:f>IF(COUNTA(AC90:AN90)=0,"",IFERROR(AJ90/AC90,""))</x:f>
      </x:c>
      <x:c r="AU90" s="44" t="str">
        <x:f>IF(COUNTA(AC90:AN90)=0,"",IFERROR(AK90/AJ90,""))</x:f>
      </x:c>
      <x:c r="AV90" s="44" t="str">
        <x:f>IF(COUNTA(AC90:AN90)=0,"",IFERROR((AM90+AN90)/IF(AJ90&gt;0,AJ90,IF(AD90&gt;0,AD90,AC90)),""))</x:f>
      </x:c>
      <x:c r="AW90" s="29"/>
    </x:row>
    <x:row r="91">
      <x:c r="A91" s="29"/>
      <x:c r="B91" s="41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42"/>
      <x:c r="AA91" s="29"/>
      <x:c r="AB91" s="29"/>
      <x:c r="AC91" s="43"/>
      <x:c r="AD91" s="43"/>
      <x:c r="AE91" s="43"/>
      <x:c r="AF91" s="43"/>
      <x:c r="AG91" s="43"/>
      <x:c r="AH91" s="43"/>
      <x:c r="AI91" s="43"/>
      <x:c r="AJ91" s="43"/>
      <x:c r="AK91" s="43"/>
      <x:c r="AL91" s="43"/>
      <x:c r="AM91" s="43"/>
      <x:c r="AN91" s="43"/>
      <x:c r="AO91" s="44" t="str">
        <x:f>IF(COUNTA(AC91:AN91)=0,"",IFERROR(AD91/AC91,""))</x:f>
      </x:c>
      <x:c r="AP91" s="44" t="str">
        <x:f>IF(COUNTA(AC91:AN91)=0,"",IFERROR((AF91+AG91+AH91+AI91)/AC91,""))</x:f>
      </x:c>
      <x:c r="AQ91" s="44" t="str">
        <x:f>IF(COUNTA(AC91:AN91)=0,"",IFERROR(AJ91/IF(C91="X",AC91,AD91),""))</x:f>
      </x:c>
      <x:c r="AR91" s="44" t="str">
        <x:f>IF(COUNTA(AC91:AN91)=0,"",IFERROR((AG91+AH91)/AC91,""))</x:f>
      </x:c>
      <x:c r="AS91" s="44" t="str">
        <x:f>IF(COUNTA(AC91:AN91)=0,"",IFERROR(AI91/AC91,""))</x:f>
      </x:c>
      <x:c r="AT91" s="44" t="str">
        <x:f>IF(COUNTA(AC91:AN91)=0,"",IFERROR(AJ91/AC91,""))</x:f>
      </x:c>
      <x:c r="AU91" s="44" t="str">
        <x:f>IF(COUNTA(AC91:AN91)=0,"",IFERROR(AK91/AJ91,""))</x:f>
      </x:c>
      <x:c r="AV91" s="44" t="str">
        <x:f>IF(COUNTA(AC91:AN91)=0,"",IFERROR((AM91+AN91)/IF(AJ91&gt;0,AJ91,IF(AD91&gt;0,AD91,AC91)),""))</x:f>
      </x:c>
      <x:c r="AW91" s="29"/>
    </x:row>
    <x:row r="92">
      <x:c r="A92" s="29"/>
      <x:c r="B92" s="41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42"/>
      <x:c r="AA92" s="29"/>
      <x:c r="AB92" s="29"/>
      <x:c r="AC92" s="43"/>
      <x:c r="AD92" s="43"/>
      <x:c r="AE92" s="43"/>
      <x:c r="AF92" s="43"/>
      <x:c r="AG92" s="43"/>
      <x:c r="AH92" s="43"/>
      <x:c r="AI92" s="43"/>
      <x:c r="AJ92" s="43"/>
      <x:c r="AK92" s="43"/>
      <x:c r="AL92" s="43"/>
      <x:c r="AM92" s="43"/>
      <x:c r="AN92" s="43"/>
      <x:c r="AO92" s="44" t="str">
        <x:f>IF(COUNTA(AC92:AN92)=0,"",IFERROR(AD92/AC92,""))</x:f>
      </x:c>
      <x:c r="AP92" s="44" t="str">
        <x:f>IF(COUNTA(AC92:AN92)=0,"",IFERROR((AF92+AG92+AH92+AI92)/AC92,""))</x:f>
      </x:c>
      <x:c r="AQ92" s="44" t="str">
        <x:f>IF(COUNTA(AC92:AN92)=0,"",IFERROR(AJ92/IF(C92="X",AC92,AD92),""))</x:f>
      </x:c>
      <x:c r="AR92" s="44" t="str">
        <x:f>IF(COUNTA(AC92:AN92)=0,"",IFERROR((AG92+AH92)/AC92,""))</x:f>
      </x:c>
      <x:c r="AS92" s="44" t="str">
        <x:f>IF(COUNTA(AC92:AN92)=0,"",IFERROR(AI92/AC92,""))</x:f>
      </x:c>
      <x:c r="AT92" s="44" t="str">
        <x:f>IF(COUNTA(AC92:AN92)=0,"",IFERROR(AJ92/AC92,""))</x:f>
      </x:c>
      <x:c r="AU92" s="44" t="str">
        <x:f>IF(COUNTA(AC92:AN92)=0,"",IFERROR(AK92/AJ92,""))</x:f>
      </x:c>
      <x:c r="AV92" s="44" t="str">
        <x:f>IF(COUNTA(AC92:AN92)=0,"",IFERROR((AM92+AN92)/IF(AJ92&gt;0,AJ92,IF(AD92&gt;0,AD92,AC92)),""))</x:f>
      </x:c>
      <x:c r="AW92" s="29"/>
    </x:row>
    <x:row r="93">
      <x:c r="A93" s="29"/>
      <x:c r="B93" s="41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42"/>
      <x:c r="AA93" s="29"/>
      <x:c r="AB93" s="29"/>
      <x:c r="AC93" s="43"/>
      <x:c r="AD93" s="43"/>
      <x:c r="AE93" s="43"/>
      <x:c r="AF93" s="43"/>
      <x:c r="AG93" s="43"/>
      <x:c r="AH93" s="43"/>
      <x:c r="AI93" s="43"/>
      <x:c r="AJ93" s="43"/>
      <x:c r="AK93" s="43"/>
      <x:c r="AL93" s="43"/>
      <x:c r="AM93" s="43"/>
      <x:c r="AN93" s="43"/>
      <x:c r="AO93" s="44" t="str">
        <x:f>IF(COUNTA(AC93:AN93)=0,"",IFERROR(AD93/AC93,""))</x:f>
      </x:c>
      <x:c r="AP93" s="44" t="str">
        <x:f>IF(COUNTA(AC93:AN93)=0,"",IFERROR((AF93+AG93+AH93+AI93)/AC93,""))</x:f>
      </x:c>
      <x:c r="AQ93" s="44" t="str">
        <x:f>IF(COUNTA(AC93:AN93)=0,"",IFERROR(AJ93/IF(C93="X",AC93,AD93),""))</x:f>
      </x:c>
      <x:c r="AR93" s="44" t="str">
        <x:f>IF(COUNTA(AC93:AN93)=0,"",IFERROR((AG93+AH93)/AC93,""))</x:f>
      </x:c>
      <x:c r="AS93" s="44" t="str">
        <x:f>IF(COUNTA(AC93:AN93)=0,"",IFERROR(AI93/AC93,""))</x:f>
      </x:c>
      <x:c r="AT93" s="44" t="str">
        <x:f>IF(COUNTA(AC93:AN93)=0,"",IFERROR(AJ93/AC93,""))</x:f>
      </x:c>
      <x:c r="AU93" s="44" t="str">
        <x:f>IF(COUNTA(AC93:AN93)=0,"",IFERROR(AK93/AJ93,""))</x:f>
      </x:c>
      <x:c r="AV93" s="44" t="str">
        <x:f>IF(COUNTA(AC93:AN93)=0,"",IFERROR((AM93+AN93)/IF(AJ93&gt;0,AJ93,IF(AD93&gt;0,AD93,AC93)),""))</x:f>
      </x:c>
      <x:c r="AW93" s="29"/>
    </x:row>
    <x:row r="94">
      <x:c r="A94" s="29"/>
      <x:c r="B94" s="41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42"/>
      <x:c r="AA94" s="29"/>
      <x:c r="AB94" s="29"/>
      <x:c r="AC94" s="43"/>
      <x:c r="AD94" s="43"/>
      <x:c r="AE94" s="43"/>
      <x:c r="AF94" s="43"/>
      <x:c r="AG94" s="43"/>
      <x:c r="AH94" s="43"/>
      <x:c r="AI94" s="43"/>
      <x:c r="AJ94" s="43"/>
      <x:c r="AK94" s="43"/>
      <x:c r="AL94" s="43"/>
      <x:c r="AM94" s="43"/>
      <x:c r="AN94" s="43"/>
      <x:c r="AO94" s="44" t="str">
        <x:f>IF(COUNTA(AC94:AN94)=0,"",IFERROR(AD94/AC94,""))</x:f>
      </x:c>
      <x:c r="AP94" s="44" t="str">
        <x:f>IF(COUNTA(AC94:AN94)=0,"",IFERROR((AF94+AG94+AH94+AI94)/AC94,""))</x:f>
      </x:c>
      <x:c r="AQ94" s="44" t="str">
        <x:f>IF(COUNTA(AC94:AN94)=0,"",IFERROR(AJ94/IF(C94="X",AC94,AD94),""))</x:f>
      </x:c>
      <x:c r="AR94" s="44" t="str">
        <x:f>IF(COUNTA(AC94:AN94)=0,"",IFERROR((AG94+AH94)/AC94,""))</x:f>
      </x:c>
      <x:c r="AS94" s="44" t="str">
        <x:f>IF(COUNTA(AC94:AN94)=0,"",IFERROR(AI94/AC94,""))</x:f>
      </x:c>
      <x:c r="AT94" s="44" t="str">
        <x:f>IF(COUNTA(AC94:AN94)=0,"",IFERROR(AJ94/AC94,""))</x:f>
      </x:c>
      <x:c r="AU94" s="44" t="str">
        <x:f>IF(COUNTA(AC94:AN94)=0,"",IFERROR(AK94/AJ94,""))</x:f>
      </x:c>
      <x:c r="AV94" s="44" t="str">
        <x:f>IF(COUNTA(AC94:AN94)=0,"",IFERROR((AM94+AN94)/IF(AJ94&gt;0,AJ94,IF(AD94&gt;0,AD94,AC94)),""))</x:f>
      </x:c>
      <x:c r="AW94" s="29"/>
    </x:row>
    <x:row r="95">
      <x:c r="A95" s="29"/>
      <x:c r="B95" s="41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42"/>
      <x:c r="AA95" s="29"/>
      <x:c r="AB95" s="29"/>
      <x:c r="AC95" s="43"/>
      <x:c r="AD95" s="43"/>
      <x:c r="AE95" s="43"/>
      <x:c r="AF95" s="43"/>
      <x:c r="AG95" s="43"/>
      <x:c r="AH95" s="43"/>
      <x:c r="AI95" s="43"/>
      <x:c r="AJ95" s="43"/>
      <x:c r="AK95" s="43"/>
      <x:c r="AL95" s="43"/>
      <x:c r="AM95" s="43"/>
      <x:c r="AN95" s="43"/>
      <x:c r="AO95" s="44" t="str">
        <x:f>IF(COUNTA(AC95:AN95)=0,"",IFERROR(AD95/AC95,""))</x:f>
      </x:c>
      <x:c r="AP95" s="44" t="str">
        <x:f>IF(COUNTA(AC95:AN95)=0,"",IFERROR((AF95+AG95+AH95+AI95)/AC95,""))</x:f>
      </x:c>
      <x:c r="AQ95" s="44" t="str">
        <x:f>IF(COUNTA(AC95:AN95)=0,"",IFERROR(AJ95/IF(C95="X",AC95,AD95),""))</x:f>
      </x:c>
      <x:c r="AR95" s="44" t="str">
        <x:f>IF(COUNTA(AC95:AN95)=0,"",IFERROR((AG95+AH95)/AC95,""))</x:f>
      </x:c>
      <x:c r="AS95" s="44" t="str">
        <x:f>IF(COUNTA(AC95:AN95)=0,"",IFERROR(AI95/AC95,""))</x:f>
      </x:c>
      <x:c r="AT95" s="44" t="str">
        <x:f>IF(COUNTA(AC95:AN95)=0,"",IFERROR(AJ95/AC95,""))</x:f>
      </x:c>
      <x:c r="AU95" s="44" t="str">
        <x:f>IF(COUNTA(AC95:AN95)=0,"",IFERROR(AK95/AJ95,""))</x:f>
      </x:c>
      <x:c r="AV95" s="44" t="str">
        <x:f>IF(COUNTA(AC95:AN95)=0,"",IFERROR((AM95+AN95)/IF(AJ95&gt;0,AJ95,IF(AD95&gt;0,AD95,AC95)),""))</x:f>
      </x:c>
      <x:c r="AW95" s="29"/>
    </x:row>
    <x:row r="96">
      <x:c r="A96" s="29"/>
      <x:c r="B96" s="41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42"/>
      <x:c r="AA96" s="29"/>
      <x:c r="AB96" s="29"/>
      <x:c r="AC96" s="43"/>
      <x:c r="AD96" s="43"/>
      <x:c r="AE96" s="43"/>
      <x:c r="AF96" s="43"/>
      <x:c r="AG96" s="43"/>
      <x:c r="AH96" s="43"/>
      <x:c r="AI96" s="43"/>
      <x:c r="AJ96" s="43"/>
      <x:c r="AK96" s="43"/>
      <x:c r="AL96" s="43"/>
      <x:c r="AM96" s="43"/>
      <x:c r="AN96" s="43"/>
      <x:c r="AO96" s="44" t="str">
        <x:f>IF(COUNTA(AC96:AN96)=0,"",IFERROR(AD96/AC96,""))</x:f>
      </x:c>
      <x:c r="AP96" s="44" t="str">
        <x:f>IF(COUNTA(AC96:AN96)=0,"",IFERROR((AF96+AG96+AH96+AI96)/AC96,""))</x:f>
      </x:c>
      <x:c r="AQ96" s="44" t="str">
        <x:f>IF(COUNTA(AC96:AN96)=0,"",IFERROR(AJ96/IF(C96="X",AC96,AD96),""))</x:f>
      </x:c>
      <x:c r="AR96" s="44" t="str">
        <x:f>IF(COUNTA(AC96:AN96)=0,"",IFERROR((AG96+AH96)/AC96,""))</x:f>
      </x:c>
      <x:c r="AS96" s="44" t="str">
        <x:f>IF(COUNTA(AC96:AN96)=0,"",IFERROR(AI96/AC96,""))</x:f>
      </x:c>
      <x:c r="AT96" s="44" t="str">
        <x:f>IF(COUNTA(AC96:AN96)=0,"",IFERROR(AJ96/AC96,""))</x:f>
      </x:c>
      <x:c r="AU96" s="44" t="str">
        <x:f>IF(COUNTA(AC96:AN96)=0,"",IFERROR(AK96/AJ96,""))</x:f>
      </x:c>
      <x:c r="AV96" s="44" t="str">
        <x:f>IF(COUNTA(AC96:AN96)=0,"",IFERROR((AM96+AN96)/IF(AJ96&gt;0,AJ96,IF(AD96&gt;0,AD96,AC96)),""))</x:f>
      </x:c>
      <x:c r="AW96" s="29"/>
    </x:row>
    <x:row r="97">
      <x:c r="A97" s="29"/>
      <x:c r="B97" s="41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42"/>
      <x:c r="AA97" s="29"/>
      <x:c r="AB97" s="29"/>
      <x:c r="AC97" s="43"/>
      <x:c r="AD97" s="43"/>
      <x:c r="AE97" s="43"/>
      <x:c r="AF97" s="43"/>
      <x:c r="AG97" s="43"/>
      <x:c r="AH97" s="43"/>
      <x:c r="AI97" s="43"/>
      <x:c r="AJ97" s="43"/>
      <x:c r="AK97" s="43"/>
      <x:c r="AL97" s="43"/>
      <x:c r="AM97" s="43"/>
      <x:c r="AN97" s="43"/>
      <x:c r="AO97" s="44" t="str">
        <x:f>IF(COUNTA(AC97:AN97)=0,"",IFERROR(AD97/AC97,""))</x:f>
      </x:c>
      <x:c r="AP97" s="44" t="str">
        <x:f>IF(COUNTA(AC97:AN97)=0,"",IFERROR((AF97+AG97+AH97+AI97)/AC97,""))</x:f>
      </x:c>
      <x:c r="AQ97" s="44" t="str">
        <x:f>IF(COUNTA(AC97:AN97)=0,"",IFERROR(AJ97/IF(C97="X",AC97,AD97),""))</x:f>
      </x:c>
      <x:c r="AR97" s="44" t="str">
        <x:f>IF(COUNTA(AC97:AN97)=0,"",IFERROR((AG97+AH97)/AC97,""))</x:f>
      </x:c>
      <x:c r="AS97" s="44" t="str">
        <x:f>IF(COUNTA(AC97:AN97)=0,"",IFERROR(AI97/AC97,""))</x:f>
      </x:c>
      <x:c r="AT97" s="44" t="str">
        <x:f>IF(COUNTA(AC97:AN97)=0,"",IFERROR(AJ97/AC97,""))</x:f>
      </x:c>
      <x:c r="AU97" s="44" t="str">
        <x:f>IF(COUNTA(AC97:AN97)=0,"",IFERROR(AK97/AJ97,""))</x:f>
      </x:c>
      <x:c r="AV97" s="44" t="str">
        <x:f>IF(COUNTA(AC97:AN97)=0,"",IFERROR((AM97+AN97)/IF(AJ97&gt;0,AJ97,IF(AD97&gt;0,AD97,AC97)),""))</x:f>
      </x:c>
      <x:c r="AW97" s="29"/>
    </x:row>
    <x:row r="98">
      <x:c r="A98" s="29"/>
      <x:c r="B98" s="41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42"/>
      <x:c r="AA98" s="29"/>
      <x:c r="AB98" s="29"/>
      <x:c r="AC98" s="43"/>
      <x:c r="AD98" s="43"/>
      <x:c r="AE98" s="43"/>
      <x:c r="AF98" s="43"/>
      <x:c r="AG98" s="43"/>
      <x:c r="AH98" s="43"/>
      <x:c r="AI98" s="43"/>
      <x:c r="AJ98" s="43"/>
      <x:c r="AK98" s="43"/>
      <x:c r="AL98" s="43"/>
      <x:c r="AM98" s="43"/>
      <x:c r="AN98" s="43"/>
      <x:c r="AO98" s="44" t="str">
        <x:f>IF(COUNTA(AC98:AN98)=0,"",IFERROR(AD98/AC98,""))</x:f>
      </x:c>
      <x:c r="AP98" s="44" t="str">
        <x:f>IF(COUNTA(AC98:AN98)=0,"",IFERROR((AF98+AG98+AH98+AI98)/AC98,""))</x:f>
      </x:c>
      <x:c r="AQ98" s="44" t="str">
        <x:f>IF(COUNTA(AC98:AN98)=0,"",IFERROR(AJ98/IF(C98="X",AC98,AD98),""))</x:f>
      </x:c>
      <x:c r="AR98" s="44" t="str">
        <x:f>IF(COUNTA(AC98:AN98)=0,"",IFERROR((AG98+AH98)/AC98,""))</x:f>
      </x:c>
      <x:c r="AS98" s="44" t="str">
        <x:f>IF(COUNTA(AC98:AN98)=0,"",IFERROR(AI98/AC98,""))</x:f>
      </x:c>
      <x:c r="AT98" s="44" t="str">
        <x:f>IF(COUNTA(AC98:AN98)=0,"",IFERROR(AJ98/AC98,""))</x:f>
      </x:c>
      <x:c r="AU98" s="44" t="str">
        <x:f>IF(COUNTA(AC98:AN98)=0,"",IFERROR(AK98/AJ98,""))</x:f>
      </x:c>
      <x:c r="AV98" s="44" t="str">
        <x:f>IF(COUNTA(AC98:AN98)=0,"",IFERROR((AM98+AN98)/IF(AJ98&gt;0,AJ98,IF(AD98&gt;0,AD98,AC98)),""))</x:f>
      </x:c>
      <x:c r="AW98" s="29"/>
    </x:row>
    <x:row r="99">
      <x:c r="A99" s="29"/>
      <x:c r="B99" s="41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42"/>
      <x:c r="AA99" s="29"/>
      <x:c r="AB99" s="29"/>
      <x:c r="AC99" s="43"/>
      <x:c r="AD99" s="43"/>
      <x:c r="AE99" s="43"/>
      <x:c r="AF99" s="43"/>
      <x:c r="AG99" s="43"/>
      <x:c r="AH99" s="43"/>
      <x:c r="AI99" s="43"/>
      <x:c r="AJ99" s="43"/>
      <x:c r="AK99" s="43"/>
      <x:c r="AL99" s="43"/>
      <x:c r="AM99" s="43"/>
      <x:c r="AN99" s="43"/>
      <x:c r="AO99" s="44" t="str">
        <x:f>IF(COUNTA(AC99:AN99)=0,"",IFERROR(AD99/AC99,""))</x:f>
      </x:c>
      <x:c r="AP99" s="44" t="str">
        <x:f>IF(COUNTA(AC99:AN99)=0,"",IFERROR((AF99+AG99+AH99+AI99)/AC99,""))</x:f>
      </x:c>
      <x:c r="AQ99" s="44" t="str">
        <x:f>IF(COUNTA(AC99:AN99)=0,"",IFERROR(AJ99/IF(C99="X",AC99,AD99),""))</x:f>
      </x:c>
      <x:c r="AR99" s="44" t="str">
        <x:f>IF(COUNTA(AC99:AN99)=0,"",IFERROR((AG99+AH99)/AC99,""))</x:f>
      </x:c>
      <x:c r="AS99" s="44" t="str">
        <x:f>IF(COUNTA(AC99:AN99)=0,"",IFERROR(AI99/AC99,""))</x:f>
      </x:c>
      <x:c r="AT99" s="44" t="str">
        <x:f>IF(COUNTA(AC99:AN99)=0,"",IFERROR(AJ99/AC99,""))</x:f>
      </x:c>
      <x:c r="AU99" s="44" t="str">
        <x:f>IF(COUNTA(AC99:AN99)=0,"",IFERROR(AK99/AJ99,""))</x:f>
      </x:c>
      <x:c r="AV99" s="44" t="str">
        <x:f>IF(COUNTA(AC99:AN99)=0,"",IFERROR((AM99+AN99)/IF(AJ99&gt;0,AJ99,IF(AD99&gt;0,AD99,AC99)),""))</x:f>
      </x:c>
      <x:c r="AW99" s="29"/>
    </x:row>
    <x:row r="100">
      <x:c r="A100" s="29"/>
      <x:c r="B100" s="41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42"/>
      <x:c r="AA100" s="29"/>
      <x:c r="AB100" s="29"/>
      <x:c r="AC100" s="43"/>
      <x:c r="AD100" s="43"/>
      <x:c r="AE100" s="43"/>
      <x:c r="AF100" s="43"/>
      <x:c r="AG100" s="43"/>
      <x:c r="AH100" s="43"/>
      <x:c r="AI100" s="43"/>
      <x:c r="AJ100" s="43"/>
      <x:c r="AK100" s="43"/>
      <x:c r="AL100" s="43"/>
      <x:c r="AM100" s="43"/>
      <x:c r="AN100" s="43"/>
      <x:c r="AO100" s="44" t="str">
        <x:f>IF(COUNTA(AC100:AN100)=0,"",IFERROR(AD100/AC100,""))</x:f>
      </x:c>
      <x:c r="AP100" s="44" t="str">
        <x:f>IF(COUNTA(AC100:AN100)=0,"",IFERROR((AF100+AG100+AH100+AI100)/AC100,""))</x:f>
      </x:c>
      <x:c r="AQ100" s="44" t="str">
        <x:f>IF(COUNTA(AC100:AN100)=0,"",IFERROR(AJ100/IF(C100="X",AC100,AD100),""))</x:f>
      </x:c>
      <x:c r="AR100" s="44" t="str">
        <x:f>IF(COUNTA(AC100:AN100)=0,"",IFERROR((AG100+AH100)/AC100,""))</x:f>
      </x:c>
      <x:c r="AS100" s="44" t="str">
        <x:f>IF(COUNTA(AC100:AN100)=0,"",IFERROR(AI100/AC100,""))</x:f>
      </x:c>
      <x:c r="AT100" s="44" t="str">
        <x:f>IF(COUNTA(AC100:AN100)=0,"",IFERROR(AJ100/AC100,""))</x:f>
      </x:c>
      <x:c r="AU100" s="44" t="str">
        <x:f>IF(COUNTA(AC100:AN100)=0,"",IFERROR(AK100/AJ100,""))</x:f>
      </x:c>
      <x:c r="AV100" s="44" t="str">
        <x:f>IF(COUNTA(AC100:AN100)=0,"",IFERROR((AM100+AN100)/IF(AJ100&gt;0,AJ100,IF(AD100&gt;0,AD100,AC100)),""))</x:f>
      </x:c>
      <x:c r="AW100" s="29"/>
    </x:row>
    <x:row r="101">
      <x:c r="A101" s="29"/>
      <x:c r="B101" s="41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42"/>
      <x:c r="AA101" s="29"/>
      <x:c r="AB101" s="29"/>
      <x:c r="AC101" s="43"/>
      <x:c r="AD101" s="43"/>
      <x:c r="AE101" s="43"/>
      <x:c r="AF101" s="43"/>
      <x:c r="AG101" s="43"/>
      <x:c r="AH101" s="43"/>
      <x:c r="AI101" s="43"/>
      <x:c r="AJ101" s="43"/>
      <x:c r="AK101" s="43"/>
      <x:c r="AL101" s="43"/>
      <x:c r="AM101" s="43"/>
      <x:c r="AN101" s="43"/>
      <x:c r="AO101" s="44" t="str">
        <x:f>IF(COUNTA(AC101:AN101)=0,"",IFERROR(AD101/AC101,""))</x:f>
      </x:c>
      <x:c r="AP101" s="44" t="str">
        <x:f>IF(COUNTA(AC101:AN101)=0,"",IFERROR((AF101+AG101+AH101+AI101)/AC101,""))</x:f>
      </x:c>
      <x:c r="AQ101" s="44" t="str">
        <x:f>IF(COUNTA(AC101:AN101)=0,"",IFERROR(AJ101/IF(C101="X",AC101,AD101),""))</x:f>
      </x:c>
      <x:c r="AR101" s="44" t="str">
        <x:f>IF(COUNTA(AC101:AN101)=0,"",IFERROR((AG101+AH101)/AC101,""))</x:f>
      </x:c>
      <x:c r="AS101" s="44" t="str">
        <x:f>IF(COUNTA(AC101:AN101)=0,"",IFERROR(AI101/AC101,""))</x:f>
      </x:c>
      <x:c r="AT101" s="44" t="str">
        <x:f>IF(COUNTA(AC101:AN101)=0,"",IFERROR(AJ101/AC101,""))</x:f>
      </x:c>
      <x:c r="AU101" s="44" t="str">
        <x:f>IF(COUNTA(AC101:AN101)=0,"",IFERROR(AK101/AJ101,""))</x:f>
      </x:c>
      <x:c r="AV101" s="44" t="str">
        <x:f>IF(COUNTA(AC101:AN101)=0,"",IFERROR((AM101+AN101)/IF(AJ101&gt;0,AJ101,IF(AD101&gt;0,AD101,AC101)),""))</x:f>
      </x:c>
      <x:c r="AW101" s="29"/>
    </x:row>
    <x:row r="102">
      <x:c r="A102" s="29"/>
      <x:c r="B102" s="41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42"/>
      <x:c r="AA102" s="29"/>
      <x:c r="AB102" s="29"/>
      <x:c r="AC102" s="43"/>
      <x:c r="AD102" s="43"/>
      <x:c r="AE102" s="43"/>
      <x:c r="AF102" s="43"/>
      <x:c r="AG102" s="43"/>
      <x:c r="AH102" s="43"/>
      <x:c r="AI102" s="43"/>
      <x:c r="AJ102" s="43"/>
      <x:c r="AK102" s="43"/>
      <x:c r="AL102" s="43"/>
      <x:c r="AM102" s="43"/>
      <x:c r="AN102" s="43"/>
      <x:c r="AO102" s="44" t="str">
        <x:f>IF(COUNTA(AC102:AN102)=0,"",IFERROR(AD102/AC102,""))</x:f>
      </x:c>
      <x:c r="AP102" s="44" t="str">
        <x:f>IF(COUNTA(AC102:AN102)=0,"",IFERROR((AF102+AG102+AH102+AI102)/AC102,""))</x:f>
      </x:c>
      <x:c r="AQ102" s="44" t="str">
        <x:f>IF(COUNTA(AC102:AN102)=0,"",IFERROR(AJ102/IF(C102="X",AC102,AD102),""))</x:f>
      </x:c>
      <x:c r="AR102" s="44" t="str">
        <x:f>IF(COUNTA(AC102:AN102)=0,"",IFERROR((AG102+AH102)/AC102,""))</x:f>
      </x:c>
      <x:c r="AS102" s="44" t="str">
        <x:f>IF(COUNTA(AC102:AN102)=0,"",IFERROR(AI102/AC102,""))</x:f>
      </x:c>
      <x:c r="AT102" s="44" t="str">
        <x:f>IF(COUNTA(AC102:AN102)=0,"",IFERROR(AJ102/AC102,""))</x:f>
      </x:c>
      <x:c r="AU102" s="44" t="str">
        <x:f>IF(COUNTA(AC102:AN102)=0,"",IFERROR(AK102/AJ102,""))</x:f>
      </x:c>
      <x:c r="AV102" s="44" t="str">
        <x:f>IF(COUNTA(AC102:AN102)=0,"",IFERROR((AM102+AN102)/IF(AJ102&gt;0,AJ102,IF(AD102&gt;0,AD102,AC102)),""))</x:f>
      </x:c>
      <x:c r="AW102" s="29"/>
    </x:row>
    <x:row r="103">
      <x:c r="A103" s="29"/>
      <x:c r="B103" s="41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42"/>
      <x:c r="AA103" s="29"/>
      <x:c r="AB103" s="29"/>
      <x:c r="AC103" s="43"/>
      <x:c r="AD103" s="43"/>
      <x:c r="AE103" s="43"/>
      <x:c r="AF103" s="43"/>
      <x:c r="AG103" s="43"/>
      <x:c r="AH103" s="43"/>
      <x:c r="AI103" s="43"/>
      <x:c r="AJ103" s="43"/>
      <x:c r="AK103" s="43"/>
      <x:c r="AL103" s="43"/>
      <x:c r="AM103" s="43"/>
      <x:c r="AN103" s="43"/>
      <x:c r="AO103" s="44" t="str">
        <x:f>IF(COUNTA(AC103:AN103)=0,"",IFERROR(AD103/AC103,""))</x:f>
      </x:c>
      <x:c r="AP103" s="44" t="str">
        <x:f>IF(COUNTA(AC103:AN103)=0,"",IFERROR((AF103+AG103+AH103+AI103)/AC103,""))</x:f>
      </x:c>
      <x:c r="AQ103" s="44" t="str">
        <x:f>IF(COUNTA(AC103:AN103)=0,"",IFERROR(AJ103/IF(C103="X",AC103,AD103),""))</x:f>
      </x:c>
      <x:c r="AR103" s="44" t="str">
        <x:f>IF(COUNTA(AC103:AN103)=0,"",IFERROR((AG103+AH103)/AC103,""))</x:f>
      </x:c>
      <x:c r="AS103" s="44" t="str">
        <x:f>IF(COUNTA(AC103:AN103)=0,"",IFERROR(AI103/AC103,""))</x:f>
      </x:c>
      <x:c r="AT103" s="44" t="str">
        <x:f>IF(COUNTA(AC103:AN103)=0,"",IFERROR(AJ103/AC103,""))</x:f>
      </x:c>
      <x:c r="AU103" s="44" t="str">
        <x:f>IF(COUNTA(AC103:AN103)=0,"",IFERROR(AK103/AJ103,""))</x:f>
      </x:c>
      <x:c r="AV103" s="44" t="str">
        <x:f>IF(COUNTA(AC103:AN103)=0,"",IFERROR((AM103+AN103)/IF(AJ103&gt;0,AJ103,IF(AD103&gt;0,AD103,AC103)),""))</x:f>
      </x:c>
      <x:c r="AW103" s="29"/>
    </x:row>
    <x:row r="104">
      <x:c r="A104" s="29"/>
      <x:c r="B104" s="41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42"/>
      <x:c r="AA104" s="29"/>
      <x:c r="AB104" s="29"/>
      <x:c r="AC104" s="43"/>
      <x:c r="AD104" s="43"/>
      <x:c r="AE104" s="43"/>
      <x:c r="AF104" s="43"/>
      <x:c r="AG104" s="43"/>
      <x:c r="AH104" s="43"/>
      <x:c r="AI104" s="43"/>
      <x:c r="AJ104" s="43"/>
      <x:c r="AK104" s="43"/>
      <x:c r="AL104" s="43"/>
      <x:c r="AM104" s="43"/>
      <x:c r="AN104" s="43"/>
      <x:c r="AO104" s="44" t="str">
        <x:f>IF(COUNTA(AC104:AN104)=0,"",IFERROR(AD104/AC104,""))</x:f>
      </x:c>
      <x:c r="AP104" s="44" t="str">
        <x:f>IF(COUNTA(AC104:AN104)=0,"",IFERROR((AF104+AG104+AH104+AI104)/AC104,""))</x:f>
      </x:c>
      <x:c r="AQ104" s="44" t="str">
        <x:f>IF(COUNTA(AC104:AN104)=0,"",IFERROR(AJ104/IF(C104="X",AC104,AD104),""))</x:f>
      </x:c>
      <x:c r="AR104" s="44" t="str">
        <x:f>IF(COUNTA(AC104:AN104)=0,"",IFERROR((AG104+AH104)/AC104,""))</x:f>
      </x:c>
      <x:c r="AS104" s="44" t="str">
        <x:f>IF(COUNTA(AC104:AN104)=0,"",IFERROR(AI104/AC104,""))</x:f>
      </x:c>
      <x:c r="AT104" s="44" t="str">
        <x:f>IF(COUNTA(AC104:AN104)=0,"",IFERROR(AJ104/AC104,""))</x:f>
      </x:c>
      <x:c r="AU104" s="44" t="str">
        <x:f>IF(COUNTA(AC104:AN104)=0,"",IFERROR(AK104/AJ104,""))</x:f>
      </x:c>
      <x:c r="AV104" s="44" t="str">
        <x:f>IF(COUNTA(AC104:AN104)=0,"",IFERROR((AM104+AN104)/IF(AJ104&gt;0,AJ104,IF(AD104&gt;0,AD104,AC104)),""))</x:f>
      </x:c>
      <x:c r="AW104" s="29"/>
    </x:row>
    <x:row r="105">
      <x:c r="A105" s="29"/>
      <x:c r="B105" s="41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42"/>
      <x:c r="AA105" s="29"/>
      <x:c r="AB105" s="29"/>
      <x:c r="AC105" s="43"/>
      <x:c r="AD105" s="43"/>
      <x:c r="AE105" s="43"/>
      <x:c r="AF105" s="43"/>
      <x:c r="AG105" s="43"/>
      <x:c r="AH105" s="43"/>
      <x:c r="AI105" s="43"/>
      <x:c r="AJ105" s="43"/>
      <x:c r="AK105" s="43"/>
      <x:c r="AL105" s="43"/>
      <x:c r="AM105" s="43"/>
      <x:c r="AN105" s="43"/>
      <x:c r="AO105" s="44" t="str">
        <x:f>IF(COUNTA(AC105:AN105)=0,"",IFERROR(AD105/AC105,""))</x:f>
      </x:c>
      <x:c r="AP105" s="44" t="str">
        <x:f>IF(COUNTA(AC105:AN105)=0,"",IFERROR((AF105+AG105+AH105+AI105)/AC105,""))</x:f>
      </x:c>
      <x:c r="AQ105" s="44" t="str">
        <x:f>IF(COUNTA(AC105:AN105)=0,"",IFERROR(AJ105/IF(C105="X",AC105,AD105),""))</x:f>
      </x:c>
      <x:c r="AR105" s="44" t="str">
        <x:f>IF(COUNTA(AC105:AN105)=0,"",IFERROR((AG105+AH105)/AC105,""))</x:f>
      </x:c>
      <x:c r="AS105" s="44" t="str">
        <x:f>IF(COUNTA(AC105:AN105)=0,"",IFERROR(AI105/AC105,""))</x:f>
      </x:c>
      <x:c r="AT105" s="44" t="str">
        <x:f>IF(COUNTA(AC105:AN105)=0,"",IFERROR(AJ105/AC105,""))</x:f>
      </x:c>
      <x:c r="AU105" s="44" t="str">
        <x:f>IF(COUNTA(AC105:AN105)=0,"",IFERROR(AK105/AJ105,""))</x:f>
      </x:c>
      <x:c r="AV105" s="44" t="str">
        <x:f>IF(COUNTA(AC105:AN105)=0,"",IFERROR((AM105+AN105)/IF(AJ105&gt;0,AJ105,IF(AD105&gt;0,AD105,AC105)),""))</x:f>
      </x:c>
      <x:c r="AW105" s="29"/>
    </x:row>
    <x:row r="106">
      <x:c r="A106" s="29"/>
      <x:c r="B106" s="41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42"/>
      <x:c r="AA106" s="29"/>
      <x:c r="AB106" s="29"/>
      <x:c r="AC106" s="43"/>
      <x:c r="AD106" s="43"/>
      <x:c r="AE106" s="43"/>
      <x:c r="AF106" s="43"/>
      <x:c r="AG106" s="43"/>
      <x:c r="AH106" s="43"/>
      <x:c r="AI106" s="43"/>
      <x:c r="AJ106" s="43"/>
      <x:c r="AK106" s="43"/>
      <x:c r="AL106" s="43"/>
      <x:c r="AM106" s="43"/>
      <x:c r="AN106" s="43"/>
      <x:c r="AO106" s="44" t="str">
        <x:f>IF(COUNTA(AC106:AN106)=0,"",IFERROR(AD106/AC106,""))</x:f>
      </x:c>
      <x:c r="AP106" s="44" t="str">
        <x:f>IF(COUNTA(AC106:AN106)=0,"",IFERROR((AF106+AG106+AH106+AI106)/AC106,""))</x:f>
      </x:c>
      <x:c r="AQ106" s="44" t="str">
        <x:f>IF(COUNTA(AC106:AN106)=0,"",IFERROR(AJ106/IF(C106="X",AC106,AD106),""))</x:f>
      </x:c>
      <x:c r="AR106" s="44" t="str">
        <x:f>IF(COUNTA(AC106:AN106)=0,"",IFERROR((AG106+AH106)/AC106,""))</x:f>
      </x:c>
      <x:c r="AS106" s="44" t="str">
        <x:f>IF(COUNTA(AC106:AN106)=0,"",IFERROR(AI106/AC106,""))</x:f>
      </x:c>
      <x:c r="AT106" s="44" t="str">
        <x:f>IF(COUNTA(AC106:AN106)=0,"",IFERROR(AJ106/AC106,""))</x:f>
      </x:c>
      <x:c r="AU106" s="44" t="str">
        <x:f>IF(COUNTA(AC106:AN106)=0,"",IFERROR(AK106/AJ106,""))</x:f>
      </x:c>
      <x:c r="AV106" s="44" t="str">
        <x:f>IF(COUNTA(AC106:AN106)=0,"",IFERROR((AM106+AN106)/IF(AJ106&gt;0,AJ106,IF(AD106&gt;0,AD106,AC106)),""))</x:f>
      </x:c>
      <x:c r="AW106" s="29"/>
    </x:row>
    <x:row r="107">
      <x:c r="A107" s="29"/>
      <x:c r="B107" s="41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42"/>
      <x:c r="AA107" s="29"/>
      <x:c r="AB107" s="29"/>
      <x:c r="AC107" s="43"/>
      <x:c r="AD107" s="43"/>
      <x:c r="AE107" s="43"/>
      <x:c r="AF107" s="43"/>
      <x:c r="AG107" s="43"/>
      <x:c r="AH107" s="43"/>
      <x:c r="AI107" s="43"/>
      <x:c r="AJ107" s="43"/>
      <x:c r="AK107" s="43"/>
      <x:c r="AL107" s="43"/>
      <x:c r="AM107" s="43"/>
      <x:c r="AN107" s="43"/>
      <x:c r="AO107" s="44" t="str">
        <x:f>IF(COUNTA(AC107:AN107)=0,"",IFERROR(AD107/AC107,""))</x:f>
      </x:c>
      <x:c r="AP107" s="44" t="str">
        <x:f>IF(COUNTA(AC107:AN107)=0,"",IFERROR((AF107+AG107+AH107+AI107)/AC107,""))</x:f>
      </x:c>
      <x:c r="AQ107" s="44" t="str">
        <x:f>IF(COUNTA(AC107:AN107)=0,"",IFERROR(AJ107/IF(C107="X",AC107,AD107),""))</x:f>
      </x:c>
      <x:c r="AR107" s="44" t="str">
        <x:f>IF(COUNTA(AC107:AN107)=0,"",IFERROR((AG107+AH107)/AC107,""))</x:f>
      </x:c>
      <x:c r="AS107" s="44" t="str">
        <x:f>IF(COUNTA(AC107:AN107)=0,"",IFERROR(AI107/AC107,""))</x:f>
      </x:c>
      <x:c r="AT107" s="44" t="str">
        <x:f>IF(COUNTA(AC107:AN107)=0,"",IFERROR(AJ107/AC107,""))</x:f>
      </x:c>
      <x:c r="AU107" s="44" t="str">
        <x:f>IF(COUNTA(AC107:AN107)=0,"",IFERROR(AK107/AJ107,""))</x:f>
      </x:c>
      <x:c r="AV107" s="44" t="str">
        <x:f>IF(COUNTA(AC107:AN107)=0,"",IFERROR((AM107+AN107)/IF(AJ107&gt;0,AJ107,IF(AD107&gt;0,AD107,AC107)),""))</x:f>
      </x:c>
      <x:c r="AW107" s="29"/>
    </x:row>
    <x:row r="108">
      <x:c r="A108" s="29"/>
      <x:c r="B108" s="41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42"/>
      <x:c r="AA108" s="29"/>
      <x:c r="AB108" s="29"/>
      <x:c r="AC108" s="43"/>
      <x:c r="AD108" s="43"/>
      <x:c r="AE108" s="43"/>
      <x:c r="AF108" s="43"/>
      <x:c r="AG108" s="43"/>
      <x:c r="AH108" s="43"/>
      <x:c r="AI108" s="43"/>
      <x:c r="AJ108" s="43"/>
      <x:c r="AK108" s="43"/>
      <x:c r="AL108" s="43"/>
      <x:c r="AM108" s="43"/>
      <x:c r="AN108" s="43"/>
      <x:c r="AO108" s="44" t="str">
        <x:f>IF(COUNTA(AC108:AN108)=0,"",IFERROR(AD108/AC108,""))</x:f>
      </x:c>
      <x:c r="AP108" s="44" t="str">
        <x:f>IF(COUNTA(AC108:AN108)=0,"",IFERROR((AF108+AG108+AH108+AI108)/AC108,""))</x:f>
      </x:c>
      <x:c r="AQ108" s="44" t="str">
        <x:f>IF(COUNTA(AC108:AN108)=0,"",IFERROR(AJ108/IF(C108="X",AC108,AD108),""))</x:f>
      </x:c>
      <x:c r="AR108" s="44" t="str">
        <x:f>IF(COUNTA(AC108:AN108)=0,"",IFERROR((AG108+AH108)/AC108,""))</x:f>
      </x:c>
      <x:c r="AS108" s="44" t="str">
        <x:f>IF(COUNTA(AC108:AN108)=0,"",IFERROR(AI108/AC108,""))</x:f>
      </x:c>
      <x:c r="AT108" s="44" t="str">
        <x:f>IF(COUNTA(AC108:AN108)=0,"",IFERROR(AJ108/AC108,""))</x:f>
      </x:c>
      <x:c r="AU108" s="44" t="str">
        <x:f>IF(COUNTA(AC108:AN108)=0,"",IFERROR(AK108/AJ108,""))</x:f>
      </x:c>
      <x:c r="AV108" s="44" t="str">
        <x:f>IF(COUNTA(AC108:AN108)=0,"",IFERROR((AM108+AN108)/IF(AJ108&gt;0,AJ108,IF(AD108&gt;0,AD108,AC108)),""))</x:f>
      </x:c>
      <x:c r="AW108" s="29"/>
    </x:row>
    <x:row r="109">
      <x:c r="A109" s="29"/>
      <x:c r="B109" s="41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42"/>
      <x:c r="AA109" s="29"/>
      <x:c r="AB109" s="29"/>
      <x:c r="AC109" s="43"/>
      <x:c r="AD109" s="43"/>
      <x:c r="AE109" s="43"/>
      <x:c r="AF109" s="43"/>
      <x:c r="AG109" s="43"/>
      <x:c r="AH109" s="43"/>
      <x:c r="AI109" s="43"/>
      <x:c r="AJ109" s="43"/>
      <x:c r="AK109" s="43"/>
      <x:c r="AL109" s="43"/>
      <x:c r="AM109" s="43"/>
      <x:c r="AN109" s="43"/>
      <x:c r="AO109" s="44" t="str">
        <x:f>IF(COUNTA(AC109:AN109)=0,"",IFERROR(AD109/AC109,""))</x:f>
      </x:c>
      <x:c r="AP109" s="44" t="str">
        <x:f>IF(COUNTA(AC109:AN109)=0,"",IFERROR((AF109+AG109+AH109+AI109)/AC109,""))</x:f>
      </x:c>
      <x:c r="AQ109" s="44" t="str">
        <x:f>IF(COUNTA(AC109:AN109)=0,"",IFERROR(AJ109/IF(C109="X",AC109,AD109),""))</x:f>
      </x:c>
      <x:c r="AR109" s="44" t="str">
        <x:f>IF(COUNTA(AC109:AN109)=0,"",IFERROR((AG109+AH109)/AC109,""))</x:f>
      </x:c>
      <x:c r="AS109" s="44" t="str">
        <x:f>IF(COUNTA(AC109:AN109)=0,"",IFERROR(AI109/AC109,""))</x:f>
      </x:c>
      <x:c r="AT109" s="44" t="str">
        <x:f>IF(COUNTA(AC109:AN109)=0,"",IFERROR(AJ109/AC109,""))</x:f>
      </x:c>
      <x:c r="AU109" s="44" t="str">
        <x:f>IF(COUNTA(AC109:AN109)=0,"",IFERROR(AK109/AJ109,""))</x:f>
      </x:c>
      <x:c r="AV109" s="44" t="str">
        <x:f>IF(COUNTA(AC109:AN109)=0,"",IFERROR((AM109+AN109)/IF(AJ109&gt;0,AJ109,IF(AD109&gt;0,AD109,AC109)),""))</x:f>
      </x:c>
      <x:c r="AW109" s="29"/>
    </x:row>
    <x:row r="110">
      <x:c r="A110" s="29"/>
      <x:c r="B110" s="41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42"/>
      <x:c r="AA110" s="29"/>
      <x:c r="AB110" s="29"/>
      <x:c r="AC110" s="43"/>
      <x:c r="AD110" s="43"/>
      <x:c r="AE110" s="43"/>
      <x:c r="AF110" s="43"/>
      <x:c r="AG110" s="43"/>
      <x:c r="AH110" s="43"/>
      <x:c r="AI110" s="43"/>
      <x:c r="AJ110" s="43"/>
      <x:c r="AK110" s="43"/>
      <x:c r="AL110" s="43"/>
      <x:c r="AM110" s="43"/>
      <x:c r="AN110" s="43"/>
      <x:c r="AO110" s="44" t="str">
        <x:f>IF(COUNTA(AC110:AN110)=0,"",IFERROR(AD110/AC110,""))</x:f>
      </x:c>
      <x:c r="AP110" s="44" t="str">
        <x:f>IF(COUNTA(AC110:AN110)=0,"",IFERROR((AF110+AG110+AH110+AI110)/AC110,""))</x:f>
      </x:c>
      <x:c r="AQ110" s="44" t="str">
        <x:f>IF(COUNTA(AC110:AN110)=0,"",IFERROR(AJ110/IF(C110="X",AC110,AD110),""))</x:f>
      </x:c>
      <x:c r="AR110" s="44" t="str">
        <x:f>IF(COUNTA(AC110:AN110)=0,"",IFERROR((AG110+AH110)/AC110,""))</x:f>
      </x:c>
      <x:c r="AS110" s="44" t="str">
        <x:f>IF(COUNTA(AC110:AN110)=0,"",IFERROR(AI110/AC110,""))</x:f>
      </x:c>
      <x:c r="AT110" s="44" t="str">
        <x:f>IF(COUNTA(AC110:AN110)=0,"",IFERROR(AJ110/AC110,""))</x:f>
      </x:c>
      <x:c r="AU110" s="44" t="str">
        <x:f>IF(COUNTA(AC110:AN110)=0,"",IFERROR(AK110/AJ110,""))</x:f>
      </x:c>
      <x:c r="AV110" s="44" t="str">
        <x:f>IF(COUNTA(AC110:AN110)=0,"",IFERROR((AM110+AN110)/IF(AJ110&gt;0,AJ110,IF(AD110&gt;0,AD110,AC110)),""))</x:f>
      </x:c>
      <x:c r="AW110" s="29"/>
    </x:row>
    <x:row r="111">
      <x:c r="A111" s="29"/>
      <x:c r="B111" s="41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42"/>
      <x:c r="AA111" s="29"/>
      <x:c r="AB111" s="29"/>
      <x:c r="AC111" s="43"/>
      <x:c r="AD111" s="43"/>
      <x:c r="AE111" s="43"/>
      <x:c r="AF111" s="43"/>
      <x:c r="AG111" s="43"/>
      <x:c r="AH111" s="43"/>
      <x:c r="AI111" s="43"/>
      <x:c r="AJ111" s="43"/>
      <x:c r="AK111" s="43"/>
      <x:c r="AL111" s="43"/>
      <x:c r="AM111" s="43"/>
      <x:c r="AN111" s="43"/>
      <x:c r="AO111" s="44" t="str">
        <x:f>IF(COUNTA(AC111:AN111)=0,"",IFERROR(AD111/AC111,""))</x:f>
      </x:c>
      <x:c r="AP111" s="44" t="str">
        <x:f>IF(COUNTA(AC111:AN111)=0,"",IFERROR((AF111+AG111+AH111+AI111)/AC111,""))</x:f>
      </x:c>
      <x:c r="AQ111" s="44" t="str">
        <x:f>IF(COUNTA(AC111:AN111)=0,"",IFERROR(AJ111/IF(C111="X",AC111,AD111),""))</x:f>
      </x:c>
      <x:c r="AR111" s="44" t="str">
        <x:f>IF(COUNTA(AC111:AN111)=0,"",IFERROR((AG111+AH111)/AC111,""))</x:f>
      </x:c>
      <x:c r="AS111" s="44" t="str">
        <x:f>IF(COUNTA(AC111:AN111)=0,"",IFERROR(AI111/AC111,""))</x:f>
      </x:c>
      <x:c r="AT111" s="44" t="str">
        <x:f>IF(COUNTA(AC111:AN111)=0,"",IFERROR(AJ111/AC111,""))</x:f>
      </x:c>
      <x:c r="AU111" s="44" t="str">
        <x:f>IF(COUNTA(AC111:AN111)=0,"",IFERROR(AK111/AJ111,""))</x:f>
      </x:c>
      <x:c r="AV111" s="44" t="str">
        <x:f>IF(COUNTA(AC111:AN111)=0,"",IFERROR((AM111+AN111)/IF(AJ111&gt;0,AJ111,IF(AD111&gt;0,AD111,AC111)),""))</x:f>
      </x:c>
      <x:c r="AW111" s="29"/>
    </x:row>
    <x:row r="112">
      <x:c r="A112" s="29"/>
      <x:c r="B112" s="41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42"/>
      <x:c r="AA112" s="29"/>
      <x:c r="AB112" s="29"/>
      <x:c r="AC112" s="43"/>
      <x:c r="AD112" s="43"/>
      <x:c r="AE112" s="43"/>
      <x:c r="AF112" s="43"/>
      <x:c r="AG112" s="43"/>
      <x:c r="AH112" s="43"/>
      <x:c r="AI112" s="43"/>
      <x:c r="AJ112" s="43"/>
      <x:c r="AK112" s="43"/>
      <x:c r="AL112" s="43"/>
      <x:c r="AM112" s="43"/>
      <x:c r="AN112" s="43"/>
      <x:c r="AO112" s="44" t="str">
        <x:f>IF(COUNTA(AC112:AN112)=0,"",IFERROR(AD112/AC112,""))</x:f>
      </x:c>
      <x:c r="AP112" s="44" t="str">
        <x:f>IF(COUNTA(AC112:AN112)=0,"",IFERROR((AF112+AG112+AH112+AI112)/AC112,""))</x:f>
      </x:c>
      <x:c r="AQ112" s="44" t="str">
        <x:f>IF(COUNTA(AC112:AN112)=0,"",IFERROR(AJ112/IF(C112="X",AC112,AD112),""))</x:f>
      </x:c>
      <x:c r="AR112" s="44" t="str">
        <x:f>IF(COUNTA(AC112:AN112)=0,"",IFERROR((AG112+AH112)/AC112,""))</x:f>
      </x:c>
      <x:c r="AS112" s="44" t="str">
        <x:f>IF(COUNTA(AC112:AN112)=0,"",IFERROR(AI112/AC112,""))</x:f>
      </x:c>
      <x:c r="AT112" s="44" t="str">
        <x:f>IF(COUNTA(AC112:AN112)=0,"",IFERROR(AJ112/AC112,""))</x:f>
      </x:c>
      <x:c r="AU112" s="44" t="str">
        <x:f>IF(COUNTA(AC112:AN112)=0,"",IFERROR(AK112/AJ112,""))</x:f>
      </x:c>
      <x:c r="AV112" s="44" t="str">
        <x:f>IF(COUNTA(AC112:AN112)=0,"",IFERROR((AM112+AN112)/IF(AJ112&gt;0,AJ112,IF(AD112&gt;0,AD112,AC112)),""))</x:f>
      </x:c>
      <x:c r="AW112" s="29"/>
    </x:row>
    <x:row r="113">
      <x:c r="A113" s="29"/>
      <x:c r="B113" s="41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42"/>
      <x:c r="AA113" s="29"/>
      <x:c r="AB113" s="29"/>
      <x:c r="AC113" s="43"/>
      <x:c r="AD113" s="43"/>
      <x:c r="AE113" s="43"/>
      <x:c r="AF113" s="43"/>
      <x:c r="AG113" s="43"/>
      <x:c r="AH113" s="43"/>
      <x:c r="AI113" s="43"/>
      <x:c r="AJ113" s="43"/>
      <x:c r="AK113" s="43"/>
      <x:c r="AL113" s="43"/>
      <x:c r="AM113" s="43"/>
      <x:c r="AN113" s="43"/>
      <x:c r="AO113" s="44" t="str">
        <x:f>IF(COUNTA(AC113:AN113)=0,"",IFERROR(AD113/AC113,""))</x:f>
      </x:c>
      <x:c r="AP113" s="44" t="str">
        <x:f>IF(COUNTA(AC113:AN113)=0,"",IFERROR((AF113+AG113+AH113+AI113)/AC113,""))</x:f>
      </x:c>
      <x:c r="AQ113" s="44" t="str">
        <x:f>IF(COUNTA(AC113:AN113)=0,"",IFERROR(AJ113/IF(C113="X",AC113,AD113),""))</x:f>
      </x:c>
      <x:c r="AR113" s="44" t="str">
        <x:f>IF(COUNTA(AC113:AN113)=0,"",IFERROR((AG113+AH113)/AC113,""))</x:f>
      </x:c>
      <x:c r="AS113" s="44" t="str">
        <x:f>IF(COUNTA(AC113:AN113)=0,"",IFERROR(AI113/AC113,""))</x:f>
      </x:c>
      <x:c r="AT113" s="44" t="str">
        <x:f>IF(COUNTA(AC113:AN113)=0,"",IFERROR(AJ113/AC113,""))</x:f>
      </x:c>
      <x:c r="AU113" s="44" t="str">
        <x:f>IF(COUNTA(AC113:AN113)=0,"",IFERROR(AK113/AJ113,""))</x:f>
      </x:c>
      <x:c r="AV113" s="44" t="str">
        <x:f>IF(COUNTA(AC113:AN113)=0,"",IFERROR((AM113+AN113)/IF(AJ113&gt;0,AJ113,IF(AD113&gt;0,AD113,AC113)),""))</x:f>
      </x:c>
      <x:c r="AW113" s="29"/>
    </x:row>
    <x:row r="114">
      <x:c r="A114" s="29"/>
      <x:c r="B114" s="41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42"/>
      <x:c r="AA114" s="29"/>
      <x:c r="AB114" s="29"/>
      <x:c r="AC114" s="43"/>
      <x:c r="AD114" s="43"/>
      <x:c r="AE114" s="43"/>
      <x:c r="AF114" s="43"/>
      <x:c r="AG114" s="43"/>
      <x:c r="AH114" s="43"/>
      <x:c r="AI114" s="43"/>
      <x:c r="AJ114" s="43"/>
      <x:c r="AK114" s="43"/>
      <x:c r="AL114" s="43"/>
      <x:c r="AM114" s="43"/>
      <x:c r="AN114" s="43"/>
      <x:c r="AO114" s="44" t="str">
        <x:f>IF(COUNTA(AC114:AN114)=0,"",IFERROR(AD114/AC114,""))</x:f>
      </x:c>
      <x:c r="AP114" s="44" t="str">
        <x:f>IF(COUNTA(AC114:AN114)=0,"",IFERROR((AF114+AG114+AH114+AI114)/AC114,""))</x:f>
      </x:c>
      <x:c r="AQ114" s="44" t="str">
        <x:f>IF(COUNTA(AC114:AN114)=0,"",IFERROR(AJ114/IF(C114="X",AC114,AD114),""))</x:f>
      </x:c>
      <x:c r="AR114" s="44" t="str">
        <x:f>IF(COUNTA(AC114:AN114)=0,"",IFERROR((AG114+AH114)/AC114,""))</x:f>
      </x:c>
      <x:c r="AS114" s="44" t="str">
        <x:f>IF(COUNTA(AC114:AN114)=0,"",IFERROR(AI114/AC114,""))</x:f>
      </x:c>
      <x:c r="AT114" s="44" t="str">
        <x:f>IF(COUNTA(AC114:AN114)=0,"",IFERROR(AJ114/AC114,""))</x:f>
      </x:c>
      <x:c r="AU114" s="44" t="str">
        <x:f>IF(COUNTA(AC114:AN114)=0,"",IFERROR(AK114/AJ114,""))</x:f>
      </x:c>
      <x:c r="AV114" s="44" t="str">
        <x:f>IF(COUNTA(AC114:AN114)=0,"",IFERROR((AM114+AN114)/IF(AJ114&gt;0,AJ114,IF(AD114&gt;0,AD114,AC114)),""))</x:f>
      </x:c>
      <x:c r="AW114" s="29"/>
    </x:row>
    <x:row r="115">
      <x:c r="A115" s="29"/>
      <x:c r="B115" s="41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42"/>
      <x:c r="AA115" s="29"/>
      <x:c r="AB115" s="29"/>
      <x:c r="AC115" s="43"/>
      <x:c r="AD115" s="43"/>
      <x:c r="AE115" s="43"/>
      <x:c r="AF115" s="43"/>
      <x:c r="AG115" s="43"/>
      <x:c r="AH115" s="43"/>
      <x:c r="AI115" s="43"/>
      <x:c r="AJ115" s="43"/>
      <x:c r="AK115" s="43"/>
      <x:c r="AL115" s="43"/>
      <x:c r="AM115" s="43"/>
      <x:c r="AN115" s="43"/>
      <x:c r="AO115" s="44" t="str">
        <x:f>IF(COUNTA(AC115:AN115)=0,"",IFERROR(AD115/AC115,""))</x:f>
      </x:c>
      <x:c r="AP115" s="44" t="str">
        <x:f>IF(COUNTA(AC115:AN115)=0,"",IFERROR((AF115+AG115+AH115+AI115)/AC115,""))</x:f>
      </x:c>
      <x:c r="AQ115" s="44" t="str">
        <x:f>IF(COUNTA(AC115:AN115)=0,"",IFERROR(AJ115/IF(C115="X",AC115,AD115),""))</x:f>
      </x:c>
      <x:c r="AR115" s="44" t="str">
        <x:f>IF(COUNTA(AC115:AN115)=0,"",IFERROR((AG115+AH115)/AC115,""))</x:f>
      </x:c>
      <x:c r="AS115" s="44" t="str">
        <x:f>IF(COUNTA(AC115:AN115)=0,"",IFERROR(AI115/AC115,""))</x:f>
      </x:c>
      <x:c r="AT115" s="44" t="str">
        <x:f>IF(COUNTA(AC115:AN115)=0,"",IFERROR(AJ115/AC115,""))</x:f>
      </x:c>
      <x:c r="AU115" s="44" t="str">
        <x:f>IF(COUNTA(AC115:AN115)=0,"",IFERROR(AK115/AJ115,""))</x:f>
      </x:c>
      <x:c r="AV115" s="44" t="str">
        <x:f>IF(COUNTA(AC115:AN115)=0,"",IFERROR((AM115+AN115)/IF(AJ115&gt;0,AJ115,IF(AD115&gt;0,AD115,AC115)),""))</x:f>
      </x:c>
      <x:c r="AW115" s="29"/>
    </x:row>
    <x:row r="116">
      <x:c r="A116" s="29"/>
      <x:c r="B116" s="41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42"/>
      <x:c r="AA116" s="29"/>
      <x:c r="AB116" s="29"/>
      <x:c r="AC116" s="43"/>
      <x:c r="AD116" s="43"/>
      <x:c r="AE116" s="43"/>
      <x:c r="AF116" s="43"/>
      <x:c r="AG116" s="43"/>
      <x:c r="AH116" s="43"/>
      <x:c r="AI116" s="43"/>
      <x:c r="AJ116" s="43"/>
      <x:c r="AK116" s="43"/>
      <x:c r="AL116" s="43"/>
      <x:c r="AM116" s="43"/>
      <x:c r="AN116" s="43"/>
      <x:c r="AO116" s="44" t="str">
        <x:f>IF(COUNTA(AC116:AN116)=0,"",IFERROR(AD116/AC116,""))</x:f>
      </x:c>
      <x:c r="AP116" s="44" t="str">
        <x:f>IF(COUNTA(AC116:AN116)=0,"",IFERROR((AF116+AG116+AH116+AI116)/AC116,""))</x:f>
      </x:c>
      <x:c r="AQ116" s="44" t="str">
        <x:f>IF(COUNTA(AC116:AN116)=0,"",IFERROR(AJ116/IF(C116="X",AC116,AD116),""))</x:f>
      </x:c>
      <x:c r="AR116" s="44" t="str">
        <x:f>IF(COUNTA(AC116:AN116)=0,"",IFERROR((AG116+AH116)/AC116,""))</x:f>
      </x:c>
      <x:c r="AS116" s="44" t="str">
        <x:f>IF(COUNTA(AC116:AN116)=0,"",IFERROR(AI116/AC116,""))</x:f>
      </x:c>
      <x:c r="AT116" s="44" t="str">
        <x:f>IF(COUNTA(AC116:AN116)=0,"",IFERROR(AJ116/AC116,""))</x:f>
      </x:c>
      <x:c r="AU116" s="44" t="str">
        <x:f>IF(COUNTA(AC116:AN116)=0,"",IFERROR(AK116/AJ116,""))</x:f>
      </x:c>
      <x:c r="AV116" s="44" t="str">
        <x:f>IF(COUNTA(AC116:AN116)=0,"",IFERROR((AM116+AN116)/IF(AJ116&gt;0,AJ116,IF(AD116&gt;0,AD116,AC116)),""))</x:f>
      </x:c>
      <x:c r="AW116" s="29"/>
    </x:row>
    <x:row r="117">
      <x:c r="A117" s="29"/>
      <x:c r="B117" s="41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42"/>
      <x:c r="AA117" s="29"/>
      <x:c r="AB117" s="29"/>
      <x:c r="AC117" s="43"/>
      <x:c r="AD117" s="43"/>
      <x:c r="AE117" s="43"/>
      <x:c r="AF117" s="43"/>
      <x:c r="AG117" s="43"/>
      <x:c r="AH117" s="43"/>
      <x:c r="AI117" s="43"/>
      <x:c r="AJ117" s="43"/>
      <x:c r="AK117" s="43"/>
      <x:c r="AL117" s="43"/>
      <x:c r="AM117" s="43"/>
      <x:c r="AN117" s="43"/>
      <x:c r="AO117" s="44" t="str">
        <x:f>IF(COUNTA(AC117:AN117)=0,"",IFERROR(AD117/AC117,""))</x:f>
      </x:c>
      <x:c r="AP117" s="44" t="str">
        <x:f>IF(COUNTA(AC117:AN117)=0,"",IFERROR((AF117+AG117+AH117+AI117)/AC117,""))</x:f>
      </x:c>
      <x:c r="AQ117" s="44" t="str">
        <x:f>IF(COUNTA(AC117:AN117)=0,"",IFERROR(AJ117/IF(C117="X",AC117,AD117),""))</x:f>
      </x:c>
      <x:c r="AR117" s="44" t="str">
        <x:f>IF(COUNTA(AC117:AN117)=0,"",IFERROR((AG117+AH117)/AC117,""))</x:f>
      </x:c>
      <x:c r="AS117" s="44" t="str">
        <x:f>IF(COUNTA(AC117:AN117)=0,"",IFERROR(AI117/AC117,""))</x:f>
      </x:c>
      <x:c r="AT117" s="44" t="str">
        <x:f>IF(COUNTA(AC117:AN117)=0,"",IFERROR(AJ117/AC117,""))</x:f>
      </x:c>
      <x:c r="AU117" s="44" t="str">
        <x:f>IF(COUNTA(AC117:AN117)=0,"",IFERROR(AK117/AJ117,""))</x:f>
      </x:c>
      <x:c r="AV117" s="44" t="str">
        <x:f>IF(COUNTA(AC117:AN117)=0,"",IFERROR((AM117+AN117)/IF(AJ117&gt;0,AJ117,IF(AD117&gt;0,AD117,AC117)),""))</x:f>
      </x:c>
      <x:c r="AW117" s="29"/>
    </x:row>
    <x:row r="118">
      <x:c r="A118" s="29"/>
      <x:c r="B118" s="41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42"/>
      <x:c r="AA118" s="29"/>
      <x:c r="AB118" s="29"/>
      <x:c r="AC118" s="43"/>
      <x:c r="AD118" s="43"/>
      <x:c r="AE118" s="43"/>
      <x:c r="AF118" s="43"/>
      <x:c r="AG118" s="43"/>
      <x:c r="AH118" s="43"/>
      <x:c r="AI118" s="43"/>
      <x:c r="AJ118" s="43"/>
      <x:c r="AK118" s="43"/>
      <x:c r="AL118" s="43"/>
      <x:c r="AM118" s="43"/>
      <x:c r="AN118" s="43"/>
      <x:c r="AO118" s="44" t="str">
        <x:f>IF(COUNTA(AC118:AN118)=0,"",IFERROR(AD118/AC118,""))</x:f>
      </x:c>
      <x:c r="AP118" s="44" t="str">
        <x:f>IF(COUNTA(AC118:AN118)=0,"",IFERROR((AF118+AG118+AH118+AI118)/AC118,""))</x:f>
      </x:c>
      <x:c r="AQ118" s="44" t="str">
        <x:f>IF(COUNTA(AC118:AN118)=0,"",IFERROR(AJ118/IF(C118="X",AC118,AD118),""))</x:f>
      </x:c>
      <x:c r="AR118" s="44" t="str">
        <x:f>IF(COUNTA(AC118:AN118)=0,"",IFERROR((AG118+AH118)/AC118,""))</x:f>
      </x:c>
      <x:c r="AS118" s="44" t="str">
        <x:f>IF(COUNTA(AC118:AN118)=0,"",IFERROR(AI118/AC118,""))</x:f>
      </x:c>
      <x:c r="AT118" s="44" t="str">
        <x:f>IF(COUNTA(AC118:AN118)=0,"",IFERROR(AJ118/AC118,""))</x:f>
      </x:c>
      <x:c r="AU118" s="44" t="str">
        <x:f>IF(COUNTA(AC118:AN118)=0,"",IFERROR(AK118/AJ118,""))</x:f>
      </x:c>
      <x:c r="AV118" s="44" t="str">
        <x:f>IF(COUNTA(AC118:AN118)=0,"",IFERROR((AM118+AN118)/IF(AJ118&gt;0,AJ118,IF(AD118&gt;0,AD118,AC118)),""))</x:f>
      </x:c>
      <x:c r="AW118" s="29"/>
    </x:row>
    <x:row r="119">
      <x:c r="A119" s="29"/>
      <x:c r="B119" s="41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42"/>
      <x:c r="AA119" s="29"/>
      <x:c r="AB119" s="29"/>
      <x:c r="AC119" s="43"/>
      <x:c r="AD119" s="43"/>
      <x:c r="AE119" s="43"/>
      <x:c r="AF119" s="43"/>
      <x:c r="AG119" s="43"/>
      <x:c r="AH119" s="43"/>
      <x:c r="AI119" s="43"/>
      <x:c r="AJ119" s="43"/>
      <x:c r="AK119" s="43"/>
      <x:c r="AL119" s="43"/>
      <x:c r="AM119" s="43"/>
      <x:c r="AN119" s="43"/>
      <x:c r="AO119" s="44" t="str">
        <x:f>IF(COUNTA(AC119:AN119)=0,"",IFERROR(AD119/AC119,""))</x:f>
      </x:c>
      <x:c r="AP119" s="44" t="str">
        <x:f>IF(COUNTA(AC119:AN119)=0,"",IFERROR((AF119+AG119+AH119+AI119)/AC119,""))</x:f>
      </x:c>
      <x:c r="AQ119" s="44" t="str">
        <x:f>IF(COUNTA(AC119:AN119)=0,"",IFERROR(AJ119/IF(C119="X",AC119,AD119),""))</x:f>
      </x:c>
      <x:c r="AR119" s="44" t="str">
        <x:f>IF(COUNTA(AC119:AN119)=0,"",IFERROR((AG119+AH119)/AC119,""))</x:f>
      </x:c>
      <x:c r="AS119" s="44" t="str">
        <x:f>IF(COUNTA(AC119:AN119)=0,"",IFERROR(AI119/AC119,""))</x:f>
      </x:c>
      <x:c r="AT119" s="44" t="str">
        <x:f>IF(COUNTA(AC119:AN119)=0,"",IFERROR(AJ119/AC119,""))</x:f>
      </x:c>
      <x:c r="AU119" s="44" t="str">
        <x:f>IF(COUNTA(AC119:AN119)=0,"",IFERROR(AK119/AJ119,""))</x:f>
      </x:c>
      <x:c r="AV119" s="44" t="str">
        <x:f>IF(COUNTA(AC119:AN119)=0,"",IFERROR((AM119+AN119)/IF(AJ119&gt;0,AJ119,IF(AD119&gt;0,AD119,AC119)),""))</x:f>
      </x:c>
      <x:c r="AW119" s="29"/>
    </x:row>
    <x:row r="120">
      <x:c r="A120" s="29"/>
      <x:c r="B120" s="41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42"/>
      <x:c r="AA120" s="29"/>
      <x:c r="AB120" s="29"/>
      <x:c r="AC120" s="43"/>
      <x:c r="AD120" s="43"/>
      <x:c r="AE120" s="43"/>
      <x:c r="AF120" s="43"/>
      <x:c r="AG120" s="43"/>
      <x:c r="AH120" s="43"/>
      <x:c r="AI120" s="43"/>
      <x:c r="AJ120" s="43"/>
      <x:c r="AK120" s="43"/>
      <x:c r="AL120" s="43"/>
      <x:c r="AM120" s="43"/>
      <x:c r="AN120" s="43"/>
      <x:c r="AO120" s="44" t="str">
        <x:f>IF(COUNTA(AC120:AN120)=0,"",IFERROR(AD120/AC120,""))</x:f>
      </x:c>
      <x:c r="AP120" s="44" t="str">
        <x:f>IF(COUNTA(AC120:AN120)=0,"",IFERROR((AF120+AG120+AH120+AI120)/AC120,""))</x:f>
      </x:c>
      <x:c r="AQ120" s="44" t="str">
        <x:f>IF(COUNTA(AC120:AN120)=0,"",IFERROR(AJ120/IF(C120="X",AC120,AD120),""))</x:f>
      </x:c>
      <x:c r="AR120" s="44" t="str">
        <x:f>IF(COUNTA(AC120:AN120)=0,"",IFERROR((AG120+AH120)/AC120,""))</x:f>
      </x:c>
      <x:c r="AS120" s="44" t="str">
        <x:f>IF(COUNTA(AC120:AN120)=0,"",IFERROR(AI120/AC120,""))</x:f>
      </x:c>
      <x:c r="AT120" s="44" t="str">
        <x:f>IF(COUNTA(AC120:AN120)=0,"",IFERROR(AJ120/AC120,""))</x:f>
      </x:c>
      <x:c r="AU120" s="44" t="str">
        <x:f>IF(COUNTA(AC120:AN120)=0,"",IFERROR(AK120/AJ120,""))</x:f>
      </x:c>
      <x:c r="AV120" s="44" t="str">
        <x:f>IF(COUNTA(AC120:AN120)=0,"",IFERROR((AM120+AN120)/IF(AJ120&gt;0,AJ120,IF(AD120&gt;0,AD120,AC120)),""))</x:f>
      </x:c>
      <x:c r="AW120" s="29"/>
    </x:row>
    <x:row r="121">
      <x:c r="A121" s="29"/>
      <x:c r="B121" s="41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42"/>
      <x:c r="AA121" s="29"/>
      <x:c r="AB121" s="29"/>
      <x:c r="AC121" s="43"/>
      <x:c r="AD121" s="43"/>
      <x:c r="AE121" s="43"/>
      <x:c r="AF121" s="43"/>
      <x:c r="AG121" s="43"/>
      <x:c r="AH121" s="43"/>
      <x:c r="AI121" s="43"/>
      <x:c r="AJ121" s="43"/>
      <x:c r="AK121" s="43"/>
      <x:c r="AL121" s="43"/>
      <x:c r="AM121" s="43"/>
      <x:c r="AN121" s="43"/>
      <x:c r="AO121" s="44" t="str">
        <x:f>IF(COUNTA(AC121:AN121)=0,"",IFERROR(AD121/AC121,""))</x:f>
      </x:c>
      <x:c r="AP121" s="44" t="str">
        <x:f>IF(COUNTA(AC121:AN121)=0,"",IFERROR((AF121+AG121+AH121+AI121)/AC121,""))</x:f>
      </x:c>
      <x:c r="AQ121" s="44" t="str">
        <x:f>IF(COUNTA(AC121:AN121)=0,"",IFERROR(AJ121/IF(C121="X",AC121,AD121),""))</x:f>
      </x:c>
      <x:c r="AR121" s="44" t="str">
        <x:f>IF(COUNTA(AC121:AN121)=0,"",IFERROR((AG121+AH121)/AC121,""))</x:f>
      </x:c>
      <x:c r="AS121" s="44" t="str">
        <x:f>IF(COUNTA(AC121:AN121)=0,"",IFERROR(AI121/AC121,""))</x:f>
      </x:c>
      <x:c r="AT121" s="44" t="str">
        <x:f>IF(COUNTA(AC121:AN121)=0,"",IFERROR(AJ121/AC121,""))</x:f>
      </x:c>
      <x:c r="AU121" s="44" t="str">
        <x:f>IF(COUNTA(AC121:AN121)=0,"",IFERROR(AK121/AJ121,""))</x:f>
      </x:c>
      <x:c r="AV121" s="44" t="str">
        <x:f>IF(COUNTA(AC121:AN121)=0,"",IFERROR((AM121+AN121)/IF(AJ121&gt;0,AJ121,IF(AD121&gt;0,AD121,AC121)),""))</x:f>
      </x:c>
      <x:c r="AW121" s="29"/>
    </x:row>
    <x:row r="122">
      <x:c r="A122" s="29"/>
      <x:c r="B122" s="41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42"/>
      <x:c r="AA122" s="29"/>
      <x:c r="AB122" s="29"/>
      <x:c r="AC122" s="43"/>
      <x:c r="AD122" s="43"/>
      <x:c r="AE122" s="43"/>
      <x:c r="AF122" s="43"/>
      <x:c r="AG122" s="43"/>
      <x:c r="AH122" s="43"/>
      <x:c r="AI122" s="43"/>
      <x:c r="AJ122" s="43"/>
      <x:c r="AK122" s="43"/>
      <x:c r="AL122" s="43"/>
      <x:c r="AM122" s="43"/>
      <x:c r="AN122" s="43"/>
      <x:c r="AO122" s="44" t="str">
        <x:f>IF(COUNTA(AC122:AN122)=0,"",IFERROR(AD122/AC122,""))</x:f>
      </x:c>
      <x:c r="AP122" s="44" t="str">
        <x:f>IF(COUNTA(AC122:AN122)=0,"",IFERROR((AF122+AG122+AH122+AI122)/AC122,""))</x:f>
      </x:c>
      <x:c r="AQ122" s="44" t="str">
        <x:f>IF(COUNTA(AC122:AN122)=0,"",IFERROR(AJ122/IF(C122="X",AC122,AD122),""))</x:f>
      </x:c>
      <x:c r="AR122" s="44" t="str">
        <x:f>IF(COUNTA(AC122:AN122)=0,"",IFERROR((AG122+AH122)/AC122,""))</x:f>
      </x:c>
      <x:c r="AS122" s="44" t="str">
        <x:f>IF(COUNTA(AC122:AN122)=0,"",IFERROR(AI122/AC122,""))</x:f>
      </x:c>
      <x:c r="AT122" s="44" t="str">
        <x:f>IF(COUNTA(AC122:AN122)=0,"",IFERROR(AJ122/AC122,""))</x:f>
      </x:c>
      <x:c r="AU122" s="44" t="str">
        <x:f>IF(COUNTA(AC122:AN122)=0,"",IFERROR(AK122/AJ122,""))</x:f>
      </x:c>
      <x:c r="AV122" s="44" t="str">
        <x:f>IF(COUNTA(AC122:AN122)=0,"",IFERROR((AM122+AN122)/IF(AJ122&gt;0,AJ122,IF(AD122&gt;0,AD122,AC122)),""))</x:f>
      </x:c>
      <x:c r="AW122" s="29"/>
    </x:row>
    <x:row r="123">
      <x:c r="A123" s="29"/>
      <x:c r="B123" s="41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42"/>
      <x:c r="AA123" s="29"/>
      <x:c r="AB123" s="29"/>
      <x:c r="AC123" s="43"/>
      <x:c r="AD123" s="43"/>
      <x:c r="AE123" s="43"/>
      <x:c r="AF123" s="43"/>
      <x:c r="AG123" s="43"/>
      <x:c r="AH123" s="43"/>
      <x:c r="AI123" s="43"/>
      <x:c r="AJ123" s="43"/>
      <x:c r="AK123" s="43"/>
      <x:c r="AL123" s="43"/>
      <x:c r="AM123" s="43"/>
      <x:c r="AN123" s="43"/>
      <x:c r="AO123" s="44" t="str">
        <x:f>IF(COUNTA(AC123:AN123)=0,"",IFERROR(AD123/AC123,""))</x:f>
      </x:c>
      <x:c r="AP123" s="44" t="str">
        <x:f>IF(COUNTA(AC123:AN123)=0,"",IFERROR((AF123+AG123+AH123+AI123)/AC123,""))</x:f>
      </x:c>
      <x:c r="AQ123" s="44" t="str">
        <x:f>IF(COUNTA(AC123:AN123)=0,"",IFERROR(AJ123/IF(C123="X",AC123,AD123),""))</x:f>
      </x:c>
      <x:c r="AR123" s="44" t="str">
        <x:f>IF(COUNTA(AC123:AN123)=0,"",IFERROR((AG123+AH123)/AC123,""))</x:f>
      </x:c>
      <x:c r="AS123" s="44" t="str">
        <x:f>IF(COUNTA(AC123:AN123)=0,"",IFERROR(AI123/AC123,""))</x:f>
      </x:c>
      <x:c r="AT123" s="44" t="str">
        <x:f>IF(COUNTA(AC123:AN123)=0,"",IFERROR(AJ123/AC123,""))</x:f>
      </x:c>
      <x:c r="AU123" s="44" t="str">
        <x:f>IF(COUNTA(AC123:AN123)=0,"",IFERROR(AK123/AJ123,""))</x:f>
      </x:c>
      <x:c r="AV123" s="44" t="str">
        <x:f>IF(COUNTA(AC123:AN123)=0,"",IFERROR((AM123+AN123)/IF(AJ123&gt;0,AJ123,IF(AD123&gt;0,AD123,AC123)),""))</x:f>
      </x:c>
      <x:c r="AW123" s="29"/>
    </x:row>
    <x:row r="124">
      <x:c r="A124" s="29"/>
      <x:c r="B124" s="41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42"/>
      <x:c r="AA124" s="29"/>
      <x:c r="AB124" s="29"/>
      <x:c r="AC124" s="43"/>
      <x:c r="AD124" s="43"/>
      <x:c r="AE124" s="43"/>
      <x:c r="AF124" s="43"/>
      <x:c r="AG124" s="43"/>
      <x:c r="AH124" s="43"/>
      <x:c r="AI124" s="43"/>
      <x:c r="AJ124" s="43"/>
      <x:c r="AK124" s="43"/>
      <x:c r="AL124" s="43"/>
      <x:c r="AM124" s="43"/>
      <x:c r="AN124" s="43"/>
      <x:c r="AO124" s="44" t="str">
        <x:f>IF(COUNTA(AC124:AN124)=0,"",IFERROR(AD124/AC124,""))</x:f>
      </x:c>
      <x:c r="AP124" s="44" t="str">
        <x:f>IF(COUNTA(AC124:AN124)=0,"",IFERROR((AF124+AG124+AH124+AI124)/AC124,""))</x:f>
      </x:c>
      <x:c r="AQ124" s="44" t="str">
        <x:f>IF(COUNTA(AC124:AN124)=0,"",IFERROR(AJ124/IF(C124="X",AC124,AD124),""))</x:f>
      </x:c>
      <x:c r="AR124" s="44" t="str">
        <x:f>IF(COUNTA(AC124:AN124)=0,"",IFERROR((AG124+AH124)/AC124,""))</x:f>
      </x:c>
      <x:c r="AS124" s="44" t="str">
        <x:f>IF(COUNTA(AC124:AN124)=0,"",IFERROR(AI124/AC124,""))</x:f>
      </x:c>
      <x:c r="AT124" s="44" t="str">
        <x:f>IF(COUNTA(AC124:AN124)=0,"",IFERROR(AJ124/AC124,""))</x:f>
      </x:c>
      <x:c r="AU124" s="44" t="str">
        <x:f>IF(COUNTA(AC124:AN124)=0,"",IFERROR(AK124/AJ124,""))</x:f>
      </x:c>
      <x:c r="AV124" s="44" t="str">
        <x:f>IF(COUNTA(AC124:AN124)=0,"",IFERROR((AM124+AN124)/IF(AJ124&gt;0,AJ124,IF(AD124&gt;0,AD124,AC124)),""))</x:f>
      </x:c>
      <x:c r="AW124" s="29"/>
    </x:row>
    <x:row r="125">
      <x:c r="A125" s="29"/>
      <x:c r="B125" s="41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42"/>
      <x:c r="AA125" s="29"/>
      <x:c r="AB125" s="29"/>
      <x:c r="AC125" s="43"/>
      <x:c r="AD125" s="43"/>
      <x:c r="AE125" s="43"/>
      <x:c r="AF125" s="43"/>
      <x:c r="AG125" s="43"/>
      <x:c r="AH125" s="43"/>
      <x:c r="AI125" s="43"/>
      <x:c r="AJ125" s="43"/>
      <x:c r="AK125" s="43"/>
      <x:c r="AL125" s="43"/>
      <x:c r="AM125" s="43"/>
      <x:c r="AN125" s="43"/>
      <x:c r="AO125" s="44" t="str">
        <x:f>IF(COUNTA(AC125:AN125)=0,"",IFERROR(AD125/AC125,""))</x:f>
      </x:c>
      <x:c r="AP125" s="44" t="str">
        <x:f>IF(COUNTA(AC125:AN125)=0,"",IFERROR((AF125+AG125+AH125+AI125)/AC125,""))</x:f>
      </x:c>
      <x:c r="AQ125" s="44" t="str">
        <x:f>IF(COUNTA(AC125:AN125)=0,"",IFERROR(AJ125/IF(C125="X",AC125,AD125),""))</x:f>
      </x:c>
      <x:c r="AR125" s="44" t="str">
        <x:f>IF(COUNTA(AC125:AN125)=0,"",IFERROR((AG125+AH125)/AC125,""))</x:f>
      </x:c>
      <x:c r="AS125" s="44" t="str">
        <x:f>IF(COUNTA(AC125:AN125)=0,"",IFERROR(AI125/AC125,""))</x:f>
      </x:c>
      <x:c r="AT125" s="44" t="str">
        <x:f>IF(COUNTA(AC125:AN125)=0,"",IFERROR(AJ125/AC125,""))</x:f>
      </x:c>
      <x:c r="AU125" s="44" t="str">
        <x:f>IF(COUNTA(AC125:AN125)=0,"",IFERROR(AK125/AJ125,""))</x:f>
      </x:c>
      <x:c r="AV125" s="44" t="str">
        <x:f>IF(COUNTA(AC125:AN125)=0,"",IFERROR((AM125+AN125)/IF(AJ125&gt;0,AJ125,IF(AD125&gt;0,AD125,AC125)),""))</x:f>
      </x:c>
      <x:c r="AW125" s="29"/>
    </x:row>
    <x:row r="126">
      <x:c r="A126" s="29"/>
      <x:c r="B126" s="41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42"/>
      <x:c r="AA126" s="29"/>
      <x:c r="AB126" s="29"/>
      <x:c r="AC126" s="43"/>
      <x:c r="AD126" s="43"/>
      <x:c r="AE126" s="43"/>
      <x:c r="AF126" s="43"/>
      <x:c r="AG126" s="43"/>
      <x:c r="AH126" s="43"/>
      <x:c r="AI126" s="43"/>
      <x:c r="AJ126" s="43"/>
      <x:c r="AK126" s="43"/>
      <x:c r="AL126" s="43"/>
      <x:c r="AM126" s="43"/>
      <x:c r="AN126" s="43"/>
      <x:c r="AO126" s="44" t="str">
        <x:f>IF(COUNTA(AC126:AN126)=0,"",IFERROR(AD126/AC126,""))</x:f>
      </x:c>
      <x:c r="AP126" s="44" t="str">
        <x:f>IF(COUNTA(AC126:AN126)=0,"",IFERROR((AF126+AG126+AH126+AI126)/AC126,""))</x:f>
      </x:c>
      <x:c r="AQ126" s="44" t="str">
        <x:f>IF(COUNTA(AC126:AN126)=0,"",IFERROR(AJ126/IF(C126="X",AC126,AD126),""))</x:f>
      </x:c>
      <x:c r="AR126" s="44" t="str">
        <x:f>IF(COUNTA(AC126:AN126)=0,"",IFERROR((AG126+AH126)/AC126,""))</x:f>
      </x:c>
      <x:c r="AS126" s="44" t="str">
        <x:f>IF(COUNTA(AC126:AN126)=0,"",IFERROR(AI126/AC126,""))</x:f>
      </x:c>
      <x:c r="AT126" s="44" t="str">
        <x:f>IF(COUNTA(AC126:AN126)=0,"",IFERROR(AJ126/AC126,""))</x:f>
      </x:c>
      <x:c r="AU126" s="44" t="str">
        <x:f>IF(COUNTA(AC126:AN126)=0,"",IFERROR(AK126/AJ126,""))</x:f>
      </x:c>
      <x:c r="AV126" s="44" t="str">
        <x:f>IF(COUNTA(AC126:AN126)=0,"",IFERROR((AM126+AN126)/IF(AJ126&gt;0,AJ126,IF(AD126&gt;0,AD126,AC126)),""))</x:f>
      </x:c>
      <x:c r="AW126" s="29"/>
    </x:row>
    <x:row r="127">
      <x:c r="A127" s="29"/>
      <x:c r="B127" s="41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42"/>
      <x:c r="AA127" s="29"/>
      <x:c r="AB127" s="29"/>
      <x:c r="AC127" s="43"/>
      <x:c r="AD127" s="43"/>
      <x:c r="AE127" s="43"/>
      <x:c r="AF127" s="43"/>
      <x:c r="AG127" s="43"/>
      <x:c r="AH127" s="43"/>
      <x:c r="AI127" s="43"/>
      <x:c r="AJ127" s="43"/>
      <x:c r="AK127" s="43"/>
      <x:c r="AL127" s="43"/>
      <x:c r="AM127" s="43"/>
      <x:c r="AN127" s="43"/>
      <x:c r="AO127" s="44" t="str">
        <x:f>IF(COUNTA(AC127:AN127)=0,"",IFERROR(AD127/AC127,""))</x:f>
      </x:c>
      <x:c r="AP127" s="44" t="str">
        <x:f>IF(COUNTA(AC127:AN127)=0,"",IFERROR((AF127+AG127+AH127+AI127)/AC127,""))</x:f>
      </x:c>
      <x:c r="AQ127" s="44" t="str">
        <x:f>IF(COUNTA(AC127:AN127)=0,"",IFERROR(AJ127/IF(C127="X",AC127,AD127),""))</x:f>
      </x:c>
      <x:c r="AR127" s="44" t="str">
        <x:f>IF(COUNTA(AC127:AN127)=0,"",IFERROR((AG127+AH127)/AC127,""))</x:f>
      </x:c>
      <x:c r="AS127" s="44" t="str">
        <x:f>IF(COUNTA(AC127:AN127)=0,"",IFERROR(AI127/AC127,""))</x:f>
      </x:c>
      <x:c r="AT127" s="44" t="str">
        <x:f>IF(COUNTA(AC127:AN127)=0,"",IFERROR(AJ127/AC127,""))</x:f>
      </x:c>
      <x:c r="AU127" s="44" t="str">
        <x:f>IF(COUNTA(AC127:AN127)=0,"",IFERROR(AK127/AJ127,""))</x:f>
      </x:c>
      <x:c r="AV127" s="44" t="str">
        <x:f>IF(COUNTA(AC127:AN127)=0,"",IFERROR((AM127+AN127)/IF(AJ127&gt;0,AJ127,IF(AD127&gt;0,AD127,AC127)),""))</x:f>
      </x:c>
      <x:c r="AW127" s="29"/>
    </x:row>
    <x:row r="128">
      <x:c r="A128" s="29"/>
      <x:c r="B128" s="41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42"/>
      <x:c r="AA128" s="29"/>
      <x:c r="AB128" s="29"/>
      <x:c r="AC128" s="43"/>
      <x:c r="AD128" s="43"/>
      <x:c r="AE128" s="43"/>
      <x:c r="AF128" s="43"/>
      <x:c r="AG128" s="43"/>
      <x:c r="AH128" s="43"/>
      <x:c r="AI128" s="43"/>
      <x:c r="AJ128" s="43"/>
      <x:c r="AK128" s="43"/>
      <x:c r="AL128" s="43"/>
      <x:c r="AM128" s="43"/>
      <x:c r="AN128" s="43"/>
      <x:c r="AO128" s="44" t="str">
        <x:f>IF(COUNTA(AC128:AN128)=0,"",IFERROR(AD128/AC128,""))</x:f>
      </x:c>
      <x:c r="AP128" s="44" t="str">
        <x:f>IF(COUNTA(AC128:AN128)=0,"",IFERROR((AF128+AG128+AH128+AI128)/AC128,""))</x:f>
      </x:c>
      <x:c r="AQ128" s="44" t="str">
        <x:f>IF(COUNTA(AC128:AN128)=0,"",IFERROR(AJ128/IF(C128="X",AC128,AD128),""))</x:f>
      </x:c>
      <x:c r="AR128" s="44" t="str">
        <x:f>IF(COUNTA(AC128:AN128)=0,"",IFERROR((AG128+AH128)/AC128,""))</x:f>
      </x:c>
      <x:c r="AS128" s="44" t="str">
        <x:f>IF(COUNTA(AC128:AN128)=0,"",IFERROR(AI128/AC128,""))</x:f>
      </x:c>
      <x:c r="AT128" s="44" t="str">
        <x:f>IF(COUNTA(AC128:AN128)=0,"",IFERROR(AJ128/AC128,""))</x:f>
      </x:c>
      <x:c r="AU128" s="44" t="str">
        <x:f>IF(COUNTA(AC128:AN128)=0,"",IFERROR(AK128/AJ128,""))</x:f>
      </x:c>
      <x:c r="AV128" s="44" t="str">
        <x:f>IF(COUNTA(AC128:AN128)=0,"",IFERROR((AM128+AN128)/IF(AJ128&gt;0,AJ128,IF(AD128&gt;0,AD128,AC128)),""))</x:f>
      </x:c>
      <x:c r="AW128" s="29"/>
    </x:row>
    <x:row r="129">
      <x:c r="A129" s="29"/>
      <x:c r="B129" s="41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42"/>
      <x:c r="AA129" s="29"/>
      <x:c r="AB129" s="29"/>
      <x:c r="AC129" s="43"/>
      <x:c r="AD129" s="43"/>
      <x:c r="AE129" s="43"/>
      <x:c r="AF129" s="43"/>
      <x:c r="AG129" s="43"/>
      <x:c r="AH129" s="43"/>
      <x:c r="AI129" s="43"/>
      <x:c r="AJ129" s="43"/>
      <x:c r="AK129" s="43"/>
      <x:c r="AL129" s="43"/>
      <x:c r="AM129" s="43"/>
      <x:c r="AN129" s="43"/>
      <x:c r="AO129" s="44" t="str">
        <x:f>IF(COUNTA(AC129:AN129)=0,"",IFERROR(AD129/AC129,""))</x:f>
      </x:c>
      <x:c r="AP129" s="44" t="str">
        <x:f>IF(COUNTA(AC129:AN129)=0,"",IFERROR((AF129+AG129+AH129+AI129)/AC129,""))</x:f>
      </x:c>
      <x:c r="AQ129" s="44" t="str">
        <x:f>IF(COUNTA(AC129:AN129)=0,"",IFERROR(AJ129/IF(C129="X",AC129,AD129),""))</x:f>
      </x:c>
      <x:c r="AR129" s="44" t="str">
        <x:f>IF(COUNTA(AC129:AN129)=0,"",IFERROR((AG129+AH129)/AC129,""))</x:f>
      </x:c>
      <x:c r="AS129" s="44" t="str">
        <x:f>IF(COUNTA(AC129:AN129)=0,"",IFERROR(AI129/AC129,""))</x:f>
      </x:c>
      <x:c r="AT129" s="44" t="str">
        <x:f>IF(COUNTA(AC129:AN129)=0,"",IFERROR(AJ129/AC129,""))</x:f>
      </x:c>
      <x:c r="AU129" s="44" t="str">
        <x:f>IF(COUNTA(AC129:AN129)=0,"",IFERROR(AK129/AJ129,""))</x:f>
      </x:c>
      <x:c r="AV129" s="44" t="str">
        <x:f>IF(COUNTA(AC129:AN129)=0,"",IFERROR((AM129+AN129)/IF(AJ129&gt;0,AJ129,IF(AD129&gt;0,AD129,AC129)),""))</x:f>
      </x:c>
      <x:c r="AW129" s="29"/>
    </x:row>
    <x:row r="130">
      <x:c r="A130" s="29"/>
      <x:c r="B130" s="41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42"/>
      <x:c r="AA130" s="29"/>
      <x:c r="AB130" s="29"/>
      <x:c r="AC130" s="43"/>
      <x:c r="AD130" s="43"/>
      <x:c r="AE130" s="43"/>
      <x:c r="AF130" s="43"/>
      <x:c r="AG130" s="43"/>
      <x:c r="AH130" s="43"/>
      <x:c r="AI130" s="43"/>
      <x:c r="AJ130" s="43"/>
      <x:c r="AK130" s="43"/>
      <x:c r="AL130" s="43"/>
      <x:c r="AM130" s="43"/>
      <x:c r="AN130" s="43"/>
      <x:c r="AO130" s="44" t="str">
        <x:f>IF(COUNTA(AC130:AN130)=0,"",IFERROR(AD130/AC130,""))</x:f>
      </x:c>
      <x:c r="AP130" s="44" t="str">
        <x:f>IF(COUNTA(AC130:AN130)=0,"",IFERROR((AF130+AG130+AH130+AI130)/AC130,""))</x:f>
      </x:c>
      <x:c r="AQ130" s="44" t="str">
        <x:f>IF(COUNTA(AC130:AN130)=0,"",IFERROR(AJ130/IF(C130="X",AC130,AD130),""))</x:f>
      </x:c>
      <x:c r="AR130" s="44" t="str">
        <x:f>IF(COUNTA(AC130:AN130)=0,"",IFERROR((AG130+AH130)/AC130,""))</x:f>
      </x:c>
      <x:c r="AS130" s="44" t="str">
        <x:f>IF(COUNTA(AC130:AN130)=0,"",IFERROR(AI130/AC130,""))</x:f>
      </x:c>
      <x:c r="AT130" s="44" t="str">
        <x:f>IF(COUNTA(AC130:AN130)=0,"",IFERROR(AJ130/AC130,""))</x:f>
      </x:c>
      <x:c r="AU130" s="44" t="str">
        <x:f>IF(COUNTA(AC130:AN130)=0,"",IFERROR(AK130/AJ130,""))</x:f>
      </x:c>
      <x:c r="AV130" s="44" t="str">
        <x:f>IF(COUNTA(AC130:AN130)=0,"",IFERROR((AM130+AN130)/IF(AJ130&gt;0,AJ130,IF(AD130&gt;0,AD130,AC130)),""))</x:f>
      </x:c>
      <x:c r="AW130" s="29"/>
    </x:row>
    <x:row r="131">
      <x:c r="A131" s="29"/>
      <x:c r="B131" s="41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42"/>
      <x:c r="AA131" s="29"/>
      <x:c r="AB131" s="29"/>
      <x:c r="AC131" s="43"/>
      <x:c r="AD131" s="43"/>
      <x:c r="AE131" s="43"/>
      <x:c r="AF131" s="43"/>
      <x:c r="AG131" s="43"/>
      <x:c r="AH131" s="43"/>
      <x:c r="AI131" s="43"/>
      <x:c r="AJ131" s="43"/>
      <x:c r="AK131" s="43"/>
      <x:c r="AL131" s="43"/>
      <x:c r="AM131" s="43"/>
      <x:c r="AN131" s="43"/>
      <x:c r="AO131" s="44" t="str">
        <x:f>IF(COUNTA(AC131:AN131)=0,"",IFERROR(AD131/AC131,""))</x:f>
      </x:c>
      <x:c r="AP131" s="44" t="str">
        <x:f>IF(COUNTA(AC131:AN131)=0,"",IFERROR((AF131+AG131+AH131+AI131)/AC131,""))</x:f>
      </x:c>
      <x:c r="AQ131" s="44" t="str">
        <x:f>IF(COUNTA(AC131:AN131)=0,"",IFERROR(AJ131/IF(C131="X",AC131,AD131),""))</x:f>
      </x:c>
      <x:c r="AR131" s="44" t="str">
        <x:f>IF(COUNTA(AC131:AN131)=0,"",IFERROR((AG131+AH131)/AC131,""))</x:f>
      </x:c>
      <x:c r="AS131" s="44" t="str">
        <x:f>IF(COUNTA(AC131:AN131)=0,"",IFERROR(AI131/AC131,""))</x:f>
      </x:c>
      <x:c r="AT131" s="44" t="str">
        <x:f>IF(COUNTA(AC131:AN131)=0,"",IFERROR(AJ131/AC131,""))</x:f>
      </x:c>
      <x:c r="AU131" s="44" t="str">
        <x:f>IF(COUNTA(AC131:AN131)=0,"",IFERROR(AK131/AJ131,""))</x:f>
      </x:c>
      <x:c r="AV131" s="44" t="str">
        <x:f>IF(COUNTA(AC131:AN131)=0,"",IFERROR((AM131+AN131)/IF(AJ131&gt;0,AJ131,IF(AD131&gt;0,AD131,AC131)),""))</x:f>
      </x:c>
      <x:c r="AW131" s="29"/>
    </x:row>
    <x:row r="132">
      <x:c r="A132" s="29"/>
      <x:c r="B132" s="41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42"/>
      <x:c r="AA132" s="29"/>
      <x:c r="AB132" s="29"/>
      <x:c r="AC132" s="43"/>
      <x:c r="AD132" s="43"/>
      <x:c r="AE132" s="43"/>
      <x:c r="AF132" s="43"/>
      <x:c r="AG132" s="43"/>
      <x:c r="AH132" s="43"/>
      <x:c r="AI132" s="43"/>
      <x:c r="AJ132" s="43"/>
      <x:c r="AK132" s="43"/>
      <x:c r="AL132" s="43"/>
      <x:c r="AM132" s="43"/>
      <x:c r="AN132" s="43"/>
      <x:c r="AO132" s="44" t="str">
        <x:f>IF(COUNTA(AC132:AN132)=0,"",IFERROR(AD132/AC132,""))</x:f>
      </x:c>
      <x:c r="AP132" s="44" t="str">
        <x:f>IF(COUNTA(AC132:AN132)=0,"",IFERROR((AF132+AG132+AH132+AI132)/AC132,""))</x:f>
      </x:c>
      <x:c r="AQ132" s="44" t="str">
        <x:f>IF(COUNTA(AC132:AN132)=0,"",IFERROR(AJ132/IF(C132="X",AC132,AD132),""))</x:f>
      </x:c>
      <x:c r="AR132" s="44" t="str">
        <x:f>IF(COUNTA(AC132:AN132)=0,"",IFERROR((AG132+AH132)/AC132,""))</x:f>
      </x:c>
      <x:c r="AS132" s="44" t="str">
        <x:f>IF(COUNTA(AC132:AN132)=0,"",IFERROR(AI132/AC132,""))</x:f>
      </x:c>
      <x:c r="AT132" s="44" t="str">
        <x:f>IF(COUNTA(AC132:AN132)=0,"",IFERROR(AJ132/AC132,""))</x:f>
      </x:c>
      <x:c r="AU132" s="44" t="str">
        <x:f>IF(COUNTA(AC132:AN132)=0,"",IFERROR(AK132/AJ132,""))</x:f>
      </x:c>
      <x:c r="AV132" s="44" t="str">
        <x:f>IF(COUNTA(AC132:AN132)=0,"",IFERROR((AM132+AN132)/IF(AJ132&gt;0,AJ132,IF(AD132&gt;0,AD132,AC132)),""))</x:f>
      </x:c>
      <x:c r="AW132" s="29"/>
    </x:row>
    <x:row r="133">
      <x:c r="A133" s="29"/>
      <x:c r="B133" s="41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42"/>
      <x:c r="AA133" s="29"/>
      <x:c r="AB133" s="29"/>
      <x:c r="AC133" s="43"/>
      <x:c r="AD133" s="43"/>
      <x:c r="AE133" s="43"/>
      <x:c r="AF133" s="43"/>
      <x:c r="AG133" s="43"/>
      <x:c r="AH133" s="43"/>
      <x:c r="AI133" s="43"/>
      <x:c r="AJ133" s="43"/>
      <x:c r="AK133" s="43"/>
      <x:c r="AL133" s="43"/>
      <x:c r="AM133" s="43"/>
      <x:c r="AN133" s="43"/>
      <x:c r="AO133" s="44" t="str">
        <x:f>IF(COUNTA(AC133:AN133)=0,"",IFERROR(AD133/AC133,""))</x:f>
      </x:c>
      <x:c r="AP133" s="44" t="str">
        <x:f>IF(COUNTA(AC133:AN133)=0,"",IFERROR((AF133+AG133+AH133+AI133)/AC133,""))</x:f>
      </x:c>
      <x:c r="AQ133" s="44" t="str">
        <x:f>IF(COUNTA(AC133:AN133)=0,"",IFERROR(AJ133/IF(C133="X",AC133,AD133),""))</x:f>
      </x:c>
      <x:c r="AR133" s="44" t="str">
        <x:f>IF(COUNTA(AC133:AN133)=0,"",IFERROR((AG133+AH133)/AC133,""))</x:f>
      </x:c>
      <x:c r="AS133" s="44" t="str">
        <x:f>IF(COUNTA(AC133:AN133)=0,"",IFERROR(AI133/AC133,""))</x:f>
      </x:c>
      <x:c r="AT133" s="44" t="str">
        <x:f>IF(COUNTA(AC133:AN133)=0,"",IFERROR(AJ133/AC133,""))</x:f>
      </x:c>
      <x:c r="AU133" s="44" t="str">
        <x:f>IF(COUNTA(AC133:AN133)=0,"",IFERROR(AK133/AJ133,""))</x:f>
      </x:c>
      <x:c r="AV133" s="44" t="str">
        <x:f>IF(COUNTA(AC133:AN133)=0,"",IFERROR((AM133+AN133)/IF(AJ133&gt;0,AJ133,IF(AD133&gt;0,AD133,AC133)),""))</x:f>
      </x:c>
      <x:c r="AW133" s="29"/>
    </x:row>
    <x:row r="134">
      <x:c r="A134" s="29"/>
      <x:c r="B134" s="41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42"/>
      <x:c r="AA134" s="29"/>
      <x:c r="AB134" s="29"/>
      <x:c r="AC134" s="43"/>
      <x:c r="AD134" s="43"/>
      <x:c r="AE134" s="43"/>
      <x:c r="AF134" s="43"/>
      <x:c r="AG134" s="43"/>
      <x:c r="AH134" s="43"/>
      <x:c r="AI134" s="43"/>
      <x:c r="AJ134" s="43"/>
      <x:c r="AK134" s="43"/>
      <x:c r="AL134" s="43"/>
      <x:c r="AM134" s="43"/>
      <x:c r="AN134" s="43"/>
      <x:c r="AO134" s="44" t="str">
        <x:f>IF(COUNTA(AC134:AN134)=0,"",IFERROR(AD134/AC134,""))</x:f>
      </x:c>
      <x:c r="AP134" s="44" t="str">
        <x:f>IF(COUNTA(AC134:AN134)=0,"",IFERROR((AF134+AG134+AH134+AI134)/AC134,""))</x:f>
      </x:c>
      <x:c r="AQ134" s="44" t="str">
        <x:f>IF(COUNTA(AC134:AN134)=0,"",IFERROR(AJ134/IF(C134="X",AC134,AD134),""))</x:f>
      </x:c>
      <x:c r="AR134" s="44" t="str">
        <x:f>IF(COUNTA(AC134:AN134)=0,"",IFERROR((AG134+AH134)/AC134,""))</x:f>
      </x:c>
      <x:c r="AS134" s="44" t="str">
        <x:f>IF(COUNTA(AC134:AN134)=0,"",IFERROR(AI134/AC134,""))</x:f>
      </x:c>
      <x:c r="AT134" s="44" t="str">
        <x:f>IF(COUNTA(AC134:AN134)=0,"",IFERROR(AJ134/AC134,""))</x:f>
      </x:c>
      <x:c r="AU134" s="44" t="str">
        <x:f>IF(COUNTA(AC134:AN134)=0,"",IFERROR(AK134/AJ134,""))</x:f>
      </x:c>
      <x:c r="AV134" s="44" t="str">
        <x:f>IF(COUNTA(AC134:AN134)=0,"",IFERROR((AM134+AN134)/IF(AJ134&gt;0,AJ134,IF(AD134&gt;0,AD134,AC134)),""))</x:f>
      </x:c>
      <x:c r="AW134" s="29"/>
    </x:row>
    <x:row r="135">
      <x:c r="A135" s="29"/>
      <x:c r="B135" s="41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42"/>
      <x:c r="AA135" s="29"/>
      <x:c r="AB135" s="29"/>
      <x:c r="AC135" s="43"/>
      <x:c r="AD135" s="43"/>
      <x:c r="AE135" s="43"/>
      <x:c r="AF135" s="43"/>
      <x:c r="AG135" s="43"/>
      <x:c r="AH135" s="43"/>
      <x:c r="AI135" s="43"/>
      <x:c r="AJ135" s="43"/>
      <x:c r="AK135" s="43"/>
      <x:c r="AL135" s="43"/>
      <x:c r="AM135" s="43"/>
      <x:c r="AN135" s="43"/>
      <x:c r="AO135" s="44" t="str">
        <x:f>IF(COUNTA(AC135:AN135)=0,"",IFERROR(AD135/AC135,""))</x:f>
      </x:c>
      <x:c r="AP135" s="44" t="str">
        <x:f>IF(COUNTA(AC135:AN135)=0,"",IFERROR((AF135+AG135+AH135+AI135)/AC135,""))</x:f>
      </x:c>
      <x:c r="AQ135" s="44" t="str">
        <x:f>IF(COUNTA(AC135:AN135)=0,"",IFERROR(AJ135/IF(C135="X",AC135,AD135),""))</x:f>
      </x:c>
      <x:c r="AR135" s="44" t="str">
        <x:f>IF(COUNTA(AC135:AN135)=0,"",IFERROR((AG135+AH135)/AC135,""))</x:f>
      </x:c>
      <x:c r="AS135" s="44" t="str">
        <x:f>IF(COUNTA(AC135:AN135)=0,"",IFERROR(AI135/AC135,""))</x:f>
      </x:c>
      <x:c r="AT135" s="44" t="str">
        <x:f>IF(COUNTA(AC135:AN135)=0,"",IFERROR(AJ135/AC135,""))</x:f>
      </x:c>
      <x:c r="AU135" s="44" t="str">
        <x:f>IF(COUNTA(AC135:AN135)=0,"",IFERROR(AK135/AJ135,""))</x:f>
      </x:c>
      <x:c r="AV135" s="44" t="str">
        <x:f>IF(COUNTA(AC135:AN135)=0,"",IFERROR((AM135+AN135)/IF(AJ135&gt;0,AJ135,IF(AD135&gt;0,AD135,AC135)),""))</x:f>
      </x:c>
      <x:c r="AW135" s="29"/>
    </x:row>
    <x:row r="136">
      <x:c r="A136" s="29"/>
      <x:c r="B136" s="41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42"/>
      <x:c r="AA136" s="29"/>
      <x:c r="AB136" s="29"/>
      <x:c r="AC136" s="43"/>
      <x:c r="AD136" s="43"/>
      <x:c r="AE136" s="43"/>
      <x:c r="AF136" s="43"/>
      <x:c r="AG136" s="43"/>
      <x:c r="AH136" s="43"/>
      <x:c r="AI136" s="43"/>
      <x:c r="AJ136" s="43"/>
      <x:c r="AK136" s="43"/>
      <x:c r="AL136" s="43"/>
      <x:c r="AM136" s="43"/>
      <x:c r="AN136" s="43"/>
      <x:c r="AO136" s="44" t="str">
        <x:f>IF(COUNTA(AC136:AN136)=0,"",IFERROR(AD136/AC136,""))</x:f>
      </x:c>
      <x:c r="AP136" s="44" t="str">
        <x:f>IF(COUNTA(AC136:AN136)=0,"",IFERROR((AF136+AG136+AH136+AI136)/AC136,""))</x:f>
      </x:c>
      <x:c r="AQ136" s="44" t="str">
        <x:f>IF(COUNTA(AC136:AN136)=0,"",IFERROR(AJ136/IF(C136="X",AC136,AD136),""))</x:f>
      </x:c>
      <x:c r="AR136" s="44" t="str">
        <x:f>IF(COUNTA(AC136:AN136)=0,"",IFERROR((AG136+AH136)/AC136,""))</x:f>
      </x:c>
      <x:c r="AS136" s="44" t="str">
        <x:f>IF(COUNTA(AC136:AN136)=0,"",IFERROR(AI136/AC136,""))</x:f>
      </x:c>
      <x:c r="AT136" s="44" t="str">
        <x:f>IF(COUNTA(AC136:AN136)=0,"",IFERROR(AJ136/AC136,""))</x:f>
      </x:c>
      <x:c r="AU136" s="44" t="str">
        <x:f>IF(COUNTA(AC136:AN136)=0,"",IFERROR(AK136/AJ136,""))</x:f>
      </x:c>
      <x:c r="AV136" s="44" t="str">
        <x:f>IF(COUNTA(AC136:AN136)=0,"",IFERROR((AM136+AN136)/IF(AJ136&gt;0,AJ136,IF(AD136&gt;0,AD136,AC136)),""))</x:f>
      </x:c>
      <x:c r="AW136" s="29"/>
    </x:row>
    <x:row r="137">
      <x:c r="A137" s="29"/>
      <x:c r="B137" s="41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42"/>
      <x:c r="AA137" s="29"/>
      <x:c r="AB137" s="29"/>
      <x:c r="AC137" s="43"/>
      <x:c r="AD137" s="43"/>
      <x:c r="AE137" s="43"/>
      <x:c r="AF137" s="43"/>
      <x:c r="AG137" s="43"/>
      <x:c r="AH137" s="43"/>
      <x:c r="AI137" s="43"/>
      <x:c r="AJ137" s="43"/>
      <x:c r="AK137" s="43"/>
      <x:c r="AL137" s="43"/>
      <x:c r="AM137" s="43"/>
      <x:c r="AN137" s="43"/>
      <x:c r="AO137" s="44" t="str">
        <x:f>IF(COUNTA(AC137:AN137)=0,"",IFERROR(AD137/AC137,""))</x:f>
      </x:c>
      <x:c r="AP137" s="44" t="str">
        <x:f>IF(COUNTA(AC137:AN137)=0,"",IFERROR((AF137+AG137+AH137+AI137)/AC137,""))</x:f>
      </x:c>
      <x:c r="AQ137" s="44" t="str">
        <x:f>IF(COUNTA(AC137:AN137)=0,"",IFERROR(AJ137/IF(C137="X",AC137,AD137),""))</x:f>
      </x:c>
      <x:c r="AR137" s="44" t="str">
        <x:f>IF(COUNTA(AC137:AN137)=0,"",IFERROR((AG137+AH137)/AC137,""))</x:f>
      </x:c>
      <x:c r="AS137" s="44" t="str">
        <x:f>IF(COUNTA(AC137:AN137)=0,"",IFERROR(AI137/AC137,""))</x:f>
      </x:c>
      <x:c r="AT137" s="44" t="str">
        <x:f>IF(COUNTA(AC137:AN137)=0,"",IFERROR(AJ137/AC137,""))</x:f>
      </x:c>
      <x:c r="AU137" s="44" t="str">
        <x:f>IF(COUNTA(AC137:AN137)=0,"",IFERROR(AK137/AJ137,""))</x:f>
      </x:c>
      <x:c r="AV137" s="44" t="str">
        <x:f>IF(COUNTA(AC137:AN137)=0,"",IFERROR((AM137+AN137)/IF(AJ137&gt;0,AJ137,IF(AD137&gt;0,AD137,AC137)),""))</x:f>
      </x:c>
      <x:c r="AW137" s="29"/>
    </x:row>
    <x:row r="138">
      <x:c r="A138" s="29"/>
      <x:c r="B138" s="41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42"/>
      <x:c r="AA138" s="29"/>
      <x:c r="AB138" s="29"/>
      <x:c r="AC138" s="43"/>
      <x:c r="AD138" s="43"/>
      <x:c r="AE138" s="43"/>
      <x:c r="AF138" s="43"/>
      <x:c r="AG138" s="43"/>
      <x:c r="AH138" s="43"/>
      <x:c r="AI138" s="43"/>
      <x:c r="AJ138" s="43"/>
      <x:c r="AK138" s="43"/>
      <x:c r="AL138" s="43"/>
      <x:c r="AM138" s="43"/>
      <x:c r="AN138" s="43"/>
      <x:c r="AO138" s="44" t="str">
        <x:f>IF(COUNTA(AC138:AN138)=0,"",IFERROR(AD138/AC138,""))</x:f>
      </x:c>
      <x:c r="AP138" s="44" t="str">
        <x:f>IF(COUNTA(AC138:AN138)=0,"",IFERROR((AF138+AG138+AH138+AI138)/AC138,""))</x:f>
      </x:c>
      <x:c r="AQ138" s="44" t="str">
        <x:f>IF(COUNTA(AC138:AN138)=0,"",IFERROR(AJ138/IF(C138="X",AC138,AD138),""))</x:f>
      </x:c>
      <x:c r="AR138" s="44" t="str">
        <x:f>IF(COUNTA(AC138:AN138)=0,"",IFERROR((AG138+AH138)/AC138,""))</x:f>
      </x:c>
      <x:c r="AS138" s="44" t="str">
        <x:f>IF(COUNTA(AC138:AN138)=0,"",IFERROR(AI138/AC138,""))</x:f>
      </x:c>
      <x:c r="AT138" s="44" t="str">
        <x:f>IF(COUNTA(AC138:AN138)=0,"",IFERROR(AJ138/AC138,""))</x:f>
      </x:c>
      <x:c r="AU138" s="44" t="str">
        <x:f>IF(COUNTA(AC138:AN138)=0,"",IFERROR(AK138/AJ138,""))</x:f>
      </x:c>
      <x:c r="AV138" s="44" t="str">
        <x:f>IF(COUNTA(AC138:AN138)=0,"",IFERROR((AM138+AN138)/IF(AJ138&gt;0,AJ138,IF(AD138&gt;0,AD138,AC138)),""))</x:f>
      </x:c>
      <x:c r="AW138" s="29"/>
    </x:row>
    <x:row r="139">
      <x:c r="A139" s="29"/>
      <x:c r="B139" s="41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42"/>
      <x:c r="AA139" s="29"/>
      <x:c r="AB139" s="29"/>
      <x:c r="AC139" s="43"/>
      <x:c r="AD139" s="43"/>
      <x:c r="AE139" s="43"/>
      <x:c r="AF139" s="43"/>
      <x:c r="AG139" s="43"/>
      <x:c r="AH139" s="43"/>
      <x:c r="AI139" s="43"/>
      <x:c r="AJ139" s="43"/>
      <x:c r="AK139" s="43"/>
      <x:c r="AL139" s="43"/>
      <x:c r="AM139" s="43"/>
      <x:c r="AN139" s="43"/>
      <x:c r="AO139" s="44" t="str">
        <x:f>IF(COUNTA(AC139:AN139)=0,"",IFERROR(AD139/AC139,""))</x:f>
      </x:c>
      <x:c r="AP139" s="44" t="str">
        <x:f>IF(COUNTA(AC139:AN139)=0,"",IFERROR((AF139+AG139+AH139+AI139)/AC139,""))</x:f>
      </x:c>
      <x:c r="AQ139" s="44" t="str">
        <x:f>IF(COUNTA(AC139:AN139)=0,"",IFERROR(AJ139/IF(C139="X",AC139,AD139),""))</x:f>
      </x:c>
      <x:c r="AR139" s="44" t="str">
        <x:f>IF(COUNTA(AC139:AN139)=0,"",IFERROR((AG139+AH139)/AC139,""))</x:f>
      </x:c>
      <x:c r="AS139" s="44" t="str">
        <x:f>IF(COUNTA(AC139:AN139)=0,"",IFERROR(AI139/AC139,""))</x:f>
      </x:c>
      <x:c r="AT139" s="44" t="str">
        <x:f>IF(COUNTA(AC139:AN139)=0,"",IFERROR(AJ139/AC139,""))</x:f>
      </x:c>
      <x:c r="AU139" s="44" t="str">
        <x:f>IF(COUNTA(AC139:AN139)=0,"",IFERROR(AK139/AJ139,""))</x:f>
      </x:c>
      <x:c r="AV139" s="44" t="str">
        <x:f>IF(COUNTA(AC139:AN139)=0,"",IFERROR((AM139+AN139)/IF(AJ139&gt;0,AJ139,IF(AD139&gt;0,AD139,AC139)),""))</x:f>
      </x:c>
      <x:c r="AW139" s="29"/>
    </x:row>
    <x:row r="140">
      <x:c r="A140" s="29"/>
      <x:c r="B140" s="41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42"/>
      <x:c r="AA140" s="29"/>
      <x:c r="AB140" s="29"/>
      <x:c r="AC140" s="43"/>
      <x:c r="AD140" s="43"/>
      <x:c r="AE140" s="43"/>
      <x:c r="AF140" s="43"/>
      <x:c r="AG140" s="43"/>
      <x:c r="AH140" s="43"/>
      <x:c r="AI140" s="43"/>
      <x:c r="AJ140" s="43"/>
      <x:c r="AK140" s="43"/>
      <x:c r="AL140" s="43"/>
      <x:c r="AM140" s="43"/>
      <x:c r="AN140" s="43"/>
      <x:c r="AO140" s="44" t="str">
        <x:f>IF(COUNTA(AC140:AN140)=0,"",IFERROR(AD140/AC140,""))</x:f>
      </x:c>
      <x:c r="AP140" s="44" t="str">
        <x:f>IF(COUNTA(AC140:AN140)=0,"",IFERROR((AF140+AG140+AH140+AI140)/AC140,""))</x:f>
      </x:c>
      <x:c r="AQ140" s="44" t="str">
        <x:f>IF(COUNTA(AC140:AN140)=0,"",IFERROR(AJ140/IF(C140="X",AC140,AD140),""))</x:f>
      </x:c>
      <x:c r="AR140" s="44" t="str">
        <x:f>IF(COUNTA(AC140:AN140)=0,"",IFERROR((AG140+AH140)/AC140,""))</x:f>
      </x:c>
      <x:c r="AS140" s="44" t="str">
        <x:f>IF(COUNTA(AC140:AN140)=0,"",IFERROR(AI140/AC140,""))</x:f>
      </x:c>
      <x:c r="AT140" s="44" t="str">
        <x:f>IF(COUNTA(AC140:AN140)=0,"",IFERROR(AJ140/AC140,""))</x:f>
      </x:c>
      <x:c r="AU140" s="44" t="str">
        <x:f>IF(COUNTA(AC140:AN140)=0,"",IFERROR(AK140/AJ140,""))</x:f>
      </x:c>
      <x:c r="AV140" s="44" t="str">
        <x:f>IF(COUNTA(AC140:AN140)=0,"",IFERROR((AM140+AN140)/IF(AJ140&gt;0,AJ140,IF(AD140&gt;0,AD140,AC140)),""))</x:f>
      </x:c>
      <x:c r="AW140" s="29"/>
    </x:row>
    <x:row r="141">
      <x:c r="A141" s="29"/>
      <x:c r="B141" s="41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42"/>
      <x:c r="AA141" s="29"/>
      <x:c r="AB141" s="29"/>
      <x:c r="AC141" s="43"/>
      <x:c r="AD141" s="43"/>
      <x:c r="AE141" s="43"/>
      <x:c r="AF141" s="43"/>
      <x:c r="AG141" s="43"/>
      <x:c r="AH141" s="43"/>
      <x:c r="AI141" s="43"/>
      <x:c r="AJ141" s="43"/>
      <x:c r="AK141" s="43"/>
      <x:c r="AL141" s="43"/>
      <x:c r="AM141" s="43"/>
      <x:c r="AN141" s="43"/>
      <x:c r="AO141" s="44" t="str">
        <x:f>IF(COUNTA(AC141:AN141)=0,"",IFERROR(AD141/AC141,""))</x:f>
      </x:c>
      <x:c r="AP141" s="44" t="str">
        <x:f>IF(COUNTA(AC141:AN141)=0,"",IFERROR((AF141+AG141+AH141+AI141)/AC141,""))</x:f>
      </x:c>
      <x:c r="AQ141" s="44" t="str">
        <x:f>IF(COUNTA(AC141:AN141)=0,"",IFERROR(AJ141/IF(C141="X",AC141,AD141),""))</x:f>
      </x:c>
      <x:c r="AR141" s="44" t="str">
        <x:f>IF(COUNTA(AC141:AN141)=0,"",IFERROR((AG141+AH141)/AC141,""))</x:f>
      </x:c>
      <x:c r="AS141" s="44" t="str">
        <x:f>IF(COUNTA(AC141:AN141)=0,"",IFERROR(AI141/AC141,""))</x:f>
      </x:c>
      <x:c r="AT141" s="44" t="str">
        <x:f>IF(COUNTA(AC141:AN141)=0,"",IFERROR(AJ141/AC141,""))</x:f>
      </x:c>
      <x:c r="AU141" s="44" t="str">
        <x:f>IF(COUNTA(AC141:AN141)=0,"",IFERROR(AK141/AJ141,""))</x:f>
      </x:c>
      <x:c r="AV141" s="44" t="str">
        <x:f>IF(COUNTA(AC141:AN141)=0,"",IFERROR((AM141+AN141)/IF(AJ141&gt;0,AJ141,IF(AD141&gt;0,AD141,AC141)),""))</x:f>
      </x:c>
      <x:c r="AW141" s="29"/>
    </x:row>
    <x:row r="142">
      <x:c r="A142" s="29"/>
      <x:c r="B142" s="41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42"/>
      <x:c r="AA142" s="29"/>
      <x:c r="AB142" s="29"/>
      <x:c r="AC142" s="43"/>
      <x:c r="AD142" s="43"/>
      <x:c r="AE142" s="43"/>
      <x:c r="AF142" s="43"/>
      <x:c r="AG142" s="43"/>
      <x:c r="AH142" s="43"/>
      <x:c r="AI142" s="43"/>
      <x:c r="AJ142" s="43"/>
      <x:c r="AK142" s="43"/>
      <x:c r="AL142" s="43"/>
      <x:c r="AM142" s="43"/>
      <x:c r="AN142" s="43"/>
      <x:c r="AO142" s="44" t="str">
        <x:f>IF(COUNTA(AC142:AN142)=0,"",IFERROR(AD142/AC142,""))</x:f>
      </x:c>
      <x:c r="AP142" s="44" t="str">
        <x:f>IF(COUNTA(AC142:AN142)=0,"",IFERROR((AF142+AG142+AH142+AI142)/AC142,""))</x:f>
      </x:c>
      <x:c r="AQ142" s="44" t="str">
        <x:f>IF(COUNTA(AC142:AN142)=0,"",IFERROR(AJ142/IF(C142="X",AC142,AD142),""))</x:f>
      </x:c>
      <x:c r="AR142" s="44" t="str">
        <x:f>IF(COUNTA(AC142:AN142)=0,"",IFERROR((AG142+AH142)/AC142,""))</x:f>
      </x:c>
      <x:c r="AS142" s="44" t="str">
        <x:f>IF(COUNTA(AC142:AN142)=0,"",IFERROR(AI142/AC142,""))</x:f>
      </x:c>
      <x:c r="AT142" s="44" t="str">
        <x:f>IF(COUNTA(AC142:AN142)=0,"",IFERROR(AJ142/AC142,""))</x:f>
      </x:c>
      <x:c r="AU142" s="44" t="str">
        <x:f>IF(COUNTA(AC142:AN142)=0,"",IFERROR(AK142/AJ142,""))</x:f>
      </x:c>
      <x:c r="AV142" s="44" t="str">
        <x:f>IF(COUNTA(AC142:AN142)=0,"",IFERROR((AM142+AN142)/IF(AJ142&gt;0,AJ142,IF(AD142&gt;0,AD142,AC142)),""))</x:f>
      </x:c>
      <x:c r="AW142" s="29"/>
    </x:row>
    <x:row r="143">
      <x:c r="A143" s="29"/>
      <x:c r="B143" s="41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42"/>
      <x:c r="AA143" s="29"/>
      <x:c r="AB143" s="29"/>
      <x:c r="AC143" s="43"/>
      <x:c r="AD143" s="43"/>
      <x:c r="AE143" s="43"/>
      <x:c r="AF143" s="43"/>
      <x:c r="AG143" s="43"/>
      <x:c r="AH143" s="43"/>
      <x:c r="AI143" s="43"/>
      <x:c r="AJ143" s="43"/>
      <x:c r="AK143" s="43"/>
      <x:c r="AL143" s="43"/>
      <x:c r="AM143" s="43"/>
      <x:c r="AN143" s="43"/>
      <x:c r="AO143" s="44" t="str">
        <x:f>IF(COUNTA(AC143:AN143)=0,"",IFERROR(AD143/AC143,""))</x:f>
      </x:c>
      <x:c r="AP143" s="44" t="str">
        <x:f>IF(COUNTA(AC143:AN143)=0,"",IFERROR((AF143+AG143+AH143+AI143)/AC143,""))</x:f>
      </x:c>
      <x:c r="AQ143" s="44" t="str">
        <x:f>IF(COUNTA(AC143:AN143)=0,"",IFERROR(AJ143/IF(C143="X",AC143,AD143),""))</x:f>
      </x:c>
      <x:c r="AR143" s="44" t="str">
        <x:f>IF(COUNTA(AC143:AN143)=0,"",IFERROR((AG143+AH143)/AC143,""))</x:f>
      </x:c>
      <x:c r="AS143" s="44" t="str">
        <x:f>IF(COUNTA(AC143:AN143)=0,"",IFERROR(AI143/AC143,""))</x:f>
      </x:c>
      <x:c r="AT143" s="44" t="str">
        <x:f>IF(COUNTA(AC143:AN143)=0,"",IFERROR(AJ143/AC143,""))</x:f>
      </x:c>
      <x:c r="AU143" s="44" t="str">
        <x:f>IF(COUNTA(AC143:AN143)=0,"",IFERROR(AK143/AJ143,""))</x:f>
      </x:c>
      <x:c r="AV143" s="44" t="str">
        <x:f>IF(COUNTA(AC143:AN143)=0,"",IFERROR((AM143+AN143)/IF(AJ143&gt;0,AJ143,IF(AD143&gt;0,AD143,AC143)),""))</x:f>
      </x:c>
      <x:c r="AW143" s="29"/>
    </x:row>
    <x:row r="144">
      <x:c r="A144" s="29"/>
      <x:c r="B144" s="41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42"/>
      <x:c r="AA144" s="29"/>
      <x:c r="AB144" s="29"/>
      <x:c r="AC144" s="43"/>
      <x:c r="AD144" s="43"/>
      <x:c r="AE144" s="43"/>
      <x:c r="AF144" s="43"/>
      <x:c r="AG144" s="43"/>
      <x:c r="AH144" s="43"/>
      <x:c r="AI144" s="43"/>
      <x:c r="AJ144" s="43"/>
      <x:c r="AK144" s="43"/>
      <x:c r="AL144" s="43"/>
      <x:c r="AM144" s="43"/>
      <x:c r="AN144" s="43"/>
      <x:c r="AO144" s="44" t="str">
        <x:f>IF(COUNTA(AC144:AN144)=0,"",IFERROR(AD144/AC144,""))</x:f>
      </x:c>
      <x:c r="AP144" s="44" t="str">
        <x:f>IF(COUNTA(AC144:AN144)=0,"",IFERROR((AF144+AG144+AH144+AI144)/AC144,""))</x:f>
      </x:c>
      <x:c r="AQ144" s="44" t="str">
        <x:f>IF(COUNTA(AC144:AN144)=0,"",IFERROR(AJ144/IF(C144="X",AC144,AD144),""))</x:f>
      </x:c>
      <x:c r="AR144" s="44" t="str">
        <x:f>IF(COUNTA(AC144:AN144)=0,"",IFERROR((AG144+AH144)/AC144,""))</x:f>
      </x:c>
      <x:c r="AS144" s="44" t="str">
        <x:f>IF(COUNTA(AC144:AN144)=0,"",IFERROR(AI144/AC144,""))</x:f>
      </x:c>
      <x:c r="AT144" s="44" t="str">
        <x:f>IF(COUNTA(AC144:AN144)=0,"",IFERROR(AJ144/AC144,""))</x:f>
      </x:c>
      <x:c r="AU144" s="44" t="str">
        <x:f>IF(COUNTA(AC144:AN144)=0,"",IFERROR(AK144/AJ144,""))</x:f>
      </x:c>
      <x:c r="AV144" s="44" t="str">
        <x:f>IF(COUNTA(AC144:AN144)=0,"",IFERROR((AM144+AN144)/IF(AJ144&gt;0,AJ144,IF(AD144&gt;0,AD144,AC144)),""))</x:f>
      </x:c>
      <x:c r="AW144" s="29"/>
    </x:row>
    <x:row r="145">
      <x:c r="A145" s="29"/>
      <x:c r="B145" s="41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42"/>
      <x:c r="AA145" s="29"/>
      <x:c r="AB145" s="29"/>
      <x:c r="AC145" s="43"/>
      <x:c r="AD145" s="43"/>
      <x:c r="AE145" s="43"/>
      <x:c r="AF145" s="43"/>
      <x:c r="AG145" s="43"/>
      <x:c r="AH145" s="43"/>
      <x:c r="AI145" s="43"/>
      <x:c r="AJ145" s="43"/>
      <x:c r="AK145" s="43"/>
      <x:c r="AL145" s="43"/>
      <x:c r="AM145" s="43"/>
      <x:c r="AN145" s="43"/>
      <x:c r="AO145" s="44" t="str">
        <x:f>IF(COUNTA(AC145:AN145)=0,"",IFERROR(AD145/AC145,""))</x:f>
      </x:c>
      <x:c r="AP145" s="44" t="str">
        <x:f>IF(COUNTA(AC145:AN145)=0,"",IFERROR((AF145+AG145+AH145+AI145)/AC145,""))</x:f>
      </x:c>
      <x:c r="AQ145" s="44" t="str">
        <x:f>IF(COUNTA(AC145:AN145)=0,"",IFERROR(AJ145/IF(C145="X",AC145,AD145),""))</x:f>
      </x:c>
      <x:c r="AR145" s="44" t="str">
        <x:f>IF(COUNTA(AC145:AN145)=0,"",IFERROR((AG145+AH145)/AC145,""))</x:f>
      </x:c>
      <x:c r="AS145" s="44" t="str">
        <x:f>IF(COUNTA(AC145:AN145)=0,"",IFERROR(AI145/AC145,""))</x:f>
      </x:c>
      <x:c r="AT145" s="44" t="str">
        <x:f>IF(COUNTA(AC145:AN145)=0,"",IFERROR(AJ145/AC145,""))</x:f>
      </x:c>
      <x:c r="AU145" s="44" t="str">
        <x:f>IF(COUNTA(AC145:AN145)=0,"",IFERROR(AK145/AJ145,""))</x:f>
      </x:c>
      <x:c r="AV145" s="44" t="str">
        <x:f>IF(COUNTA(AC145:AN145)=0,"",IFERROR((AM145+AN145)/IF(AJ145&gt;0,AJ145,IF(AD145&gt;0,AD145,AC145)),""))</x:f>
      </x:c>
      <x:c r="AW145" s="29"/>
    </x:row>
    <x:row r="146">
      <x:c r="A146" s="29"/>
      <x:c r="B146" s="41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42"/>
      <x:c r="AA146" s="29"/>
      <x:c r="AB146" s="29"/>
      <x:c r="AC146" s="43"/>
      <x:c r="AD146" s="43"/>
      <x:c r="AE146" s="43"/>
      <x:c r="AF146" s="43"/>
      <x:c r="AG146" s="43"/>
      <x:c r="AH146" s="43"/>
      <x:c r="AI146" s="43"/>
      <x:c r="AJ146" s="43"/>
      <x:c r="AK146" s="43"/>
      <x:c r="AL146" s="43"/>
      <x:c r="AM146" s="43"/>
      <x:c r="AN146" s="43"/>
      <x:c r="AO146" s="44" t="str">
        <x:f>IF(COUNTA(AC146:AN146)=0,"",IFERROR(AD146/AC146,""))</x:f>
      </x:c>
      <x:c r="AP146" s="44" t="str">
        <x:f>IF(COUNTA(AC146:AN146)=0,"",IFERROR((AF146+AG146+AH146+AI146)/AC146,""))</x:f>
      </x:c>
      <x:c r="AQ146" s="44" t="str">
        <x:f>IF(COUNTA(AC146:AN146)=0,"",IFERROR(AJ146/IF(C146="X",AC146,AD146),""))</x:f>
      </x:c>
      <x:c r="AR146" s="44" t="str">
        <x:f>IF(COUNTA(AC146:AN146)=0,"",IFERROR((AG146+AH146)/AC146,""))</x:f>
      </x:c>
      <x:c r="AS146" s="44" t="str">
        <x:f>IF(COUNTA(AC146:AN146)=0,"",IFERROR(AI146/AC146,""))</x:f>
      </x:c>
      <x:c r="AT146" s="44" t="str">
        <x:f>IF(COUNTA(AC146:AN146)=0,"",IFERROR(AJ146/AC146,""))</x:f>
      </x:c>
      <x:c r="AU146" s="44" t="str">
        <x:f>IF(COUNTA(AC146:AN146)=0,"",IFERROR(AK146/AJ146,""))</x:f>
      </x:c>
      <x:c r="AV146" s="44" t="str">
        <x:f>IF(COUNTA(AC146:AN146)=0,"",IFERROR((AM146+AN146)/IF(AJ146&gt;0,AJ146,IF(AD146&gt;0,AD146,AC146)),""))</x:f>
      </x:c>
      <x:c r="AW146" s="29"/>
    </x:row>
    <x:row r="147">
      <x:c r="A147" s="29"/>
      <x:c r="B147" s="41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42"/>
      <x:c r="AA147" s="29"/>
      <x:c r="AB147" s="29"/>
      <x:c r="AC147" s="43"/>
      <x:c r="AD147" s="43"/>
      <x:c r="AE147" s="43"/>
      <x:c r="AF147" s="43"/>
      <x:c r="AG147" s="43"/>
      <x:c r="AH147" s="43"/>
      <x:c r="AI147" s="43"/>
      <x:c r="AJ147" s="43"/>
      <x:c r="AK147" s="43"/>
      <x:c r="AL147" s="43"/>
      <x:c r="AM147" s="43"/>
      <x:c r="AN147" s="43"/>
      <x:c r="AO147" s="44" t="str">
        <x:f>IF(COUNTA(AC147:AN147)=0,"",IFERROR(AD147/AC147,""))</x:f>
      </x:c>
      <x:c r="AP147" s="44" t="str">
        <x:f>IF(COUNTA(AC147:AN147)=0,"",IFERROR((AF147+AG147+AH147+AI147)/AC147,""))</x:f>
      </x:c>
      <x:c r="AQ147" s="44" t="str">
        <x:f>IF(COUNTA(AC147:AN147)=0,"",IFERROR(AJ147/IF(C147="X",AC147,AD147),""))</x:f>
      </x:c>
      <x:c r="AR147" s="44" t="str">
        <x:f>IF(COUNTA(AC147:AN147)=0,"",IFERROR((AG147+AH147)/AC147,""))</x:f>
      </x:c>
      <x:c r="AS147" s="44" t="str">
        <x:f>IF(COUNTA(AC147:AN147)=0,"",IFERROR(AI147/AC147,""))</x:f>
      </x:c>
      <x:c r="AT147" s="44" t="str">
        <x:f>IF(COUNTA(AC147:AN147)=0,"",IFERROR(AJ147/AC147,""))</x:f>
      </x:c>
      <x:c r="AU147" s="44" t="str">
        <x:f>IF(COUNTA(AC147:AN147)=0,"",IFERROR(AK147/AJ147,""))</x:f>
      </x:c>
      <x:c r="AV147" s="44" t="str">
        <x:f>IF(COUNTA(AC147:AN147)=0,"",IFERROR((AM147+AN147)/IF(AJ147&gt;0,AJ147,IF(AD147&gt;0,AD147,AC147)),""))</x:f>
      </x:c>
      <x:c r="AW147" s="29"/>
    </x:row>
    <x:row r="148">
      <x:c r="A148" s="29"/>
      <x:c r="B148" s="41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42"/>
      <x:c r="AA148" s="29"/>
      <x:c r="AB148" s="29"/>
      <x:c r="AC148" s="43"/>
      <x:c r="AD148" s="43"/>
      <x:c r="AE148" s="43"/>
      <x:c r="AF148" s="43"/>
      <x:c r="AG148" s="43"/>
      <x:c r="AH148" s="43"/>
      <x:c r="AI148" s="43"/>
      <x:c r="AJ148" s="43"/>
      <x:c r="AK148" s="43"/>
      <x:c r="AL148" s="43"/>
      <x:c r="AM148" s="43"/>
      <x:c r="AN148" s="43"/>
      <x:c r="AO148" s="44" t="str">
        <x:f>IF(COUNTA(AC148:AN148)=0,"",IFERROR(AD148/AC148,""))</x:f>
      </x:c>
      <x:c r="AP148" s="44" t="str">
        <x:f>IF(COUNTA(AC148:AN148)=0,"",IFERROR((AF148+AG148+AH148+AI148)/AC148,""))</x:f>
      </x:c>
      <x:c r="AQ148" s="44" t="str">
        <x:f>IF(COUNTA(AC148:AN148)=0,"",IFERROR(AJ148/IF(C148="X",AC148,AD148),""))</x:f>
      </x:c>
      <x:c r="AR148" s="44" t="str">
        <x:f>IF(COUNTA(AC148:AN148)=0,"",IFERROR((AG148+AH148)/AC148,""))</x:f>
      </x:c>
      <x:c r="AS148" s="44" t="str">
        <x:f>IF(COUNTA(AC148:AN148)=0,"",IFERROR(AI148/AC148,""))</x:f>
      </x:c>
      <x:c r="AT148" s="44" t="str">
        <x:f>IF(COUNTA(AC148:AN148)=0,"",IFERROR(AJ148/AC148,""))</x:f>
      </x:c>
      <x:c r="AU148" s="44" t="str">
        <x:f>IF(COUNTA(AC148:AN148)=0,"",IFERROR(AK148/AJ148,""))</x:f>
      </x:c>
      <x:c r="AV148" s="44" t="str">
        <x:f>IF(COUNTA(AC148:AN148)=0,"",IFERROR((AM148+AN148)/IF(AJ148&gt;0,AJ148,IF(AD148&gt;0,AD148,AC148)),""))</x:f>
      </x:c>
      <x:c r="AW148" s="29"/>
    </x:row>
    <x:row r="149">
      <x:c r="A149" s="29"/>
      <x:c r="B149" s="41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42"/>
      <x:c r="AA149" s="29"/>
      <x:c r="AB149" s="29"/>
      <x:c r="AC149" s="43"/>
      <x:c r="AD149" s="43"/>
      <x:c r="AE149" s="43"/>
      <x:c r="AF149" s="43"/>
      <x:c r="AG149" s="43"/>
      <x:c r="AH149" s="43"/>
      <x:c r="AI149" s="43"/>
      <x:c r="AJ149" s="43"/>
      <x:c r="AK149" s="43"/>
      <x:c r="AL149" s="43"/>
      <x:c r="AM149" s="43"/>
      <x:c r="AN149" s="43"/>
      <x:c r="AO149" s="44" t="str">
        <x:f>IF(COUNTA(AC149:AN149)=0,"",IFERROR(AD149/AC149,""))</x:f>
      </x:c>
      <x:c r="AP149" s="44" t="str">
        <x:f>IF(COUNTA(AC149:AN149)=0,"",IFERROR((AF149+AG149+AH149+AI149)/AC149,""))</x:f>
      </x:c>
      <x:c r="AQ149" s="44" t="str">
        <x:f>IF(COUNTA(AC149:AN149)=0,"",IFERROR(AJ149/IF(C149="X",AC149,AD149),""))</x:f>
      </x:c>
      <x:c r="AR149" s="44" t="str">
        <x:f>IF(COUNTA(AC149:AN149)=0,"",IFERROR((AG149+AH149)/AC149,""))</x:f>
      </x:c>
      <x:c r="AS149" s="44" t="str">
        <x:f>IF(COUNTA(AC149:AN149)=0,"",IFERROR(AI149/AC149,""))</x:f>
      </x:c>
      <x:c r="AT149" s="44" t="str">
        <x:f>IF(COUNTA(AC149:AN149)=0,"",IFERROR(AJ149/AC149,""))</x:f>
      </x:c>
      <x:c r="AU149" s="44" t="str">
        <x:f>IF(COUNTA(AC149:AN149)=0,"",IFERROR(AK149/AJ149,""))</x:f>
      </x:c>
      <x:c r="AV149" s="44" t="str">
        <x:f>IF(COUNTA(AC149:AN149)=0,"",IFERROR((AM149+AN149)/IF(AJ149&gt;0,AJ149,IF(AD149&gt;0,AD149,AC149)),""))</x:f>
      </x:c>
      <x:c r="AW149" s="29"/>
    </x:row>
    <x:row r="150">
      <x:c r="A150" s="29"/>
      <x:c r="B150" s="41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42"/>
      <x:c r="AA150" s="29"/>
      <x:c r="AB150" s="29"/>
      <x:c r="AC150" s="43"/>
      <x:c r="AD150" s="43"/>
      <x:c r="AE150" s="43"/>
      <x:c r="AF150" s="43"/>
      <x:c r="AG150" s="43"/>
      <x:c r="AH150" s="43"/>
      <x:c r="AI150" s="43"/>
      <x:c r="AJ150" s="43"/>
      <x:c r="AK150" s="43"/>
      <x:c r="AL150" s="43"/>
      <x:c r="AM150" s="43"/>
      <x:c r="AN150" s="43"/>
      <x:c r="AO150" s="44" t="str">
        <x:f>IF(COUNTA(AC150:AN150)=0,"",IFERROR(AD150/AC150,""))</x:f>
      </x:c>
      <x:c r="AP150" s="44" t="str">
        <x:f>IF(COUNTA(AC150:AN150)=0,"",IFERROR((AF150+AG150+AH150+AI150)/AC150,""))</x:f>
      </x:c>
      <x:c r="AQ150" s="44" t="str">
        <x:f>IF(COUNTA(AC150:AN150)=0,"",IFERROR(AJ150/IF(C150="X",AC150,AD150),""))</x:f>
      </x:c>
      <x:c r="AR150" s="44" t="str">
        <x:f>IF(COUNTA(AC150:AN150)=0,"",IFERROR((AG150+AH150)/AC150,""))</x:f>
      </x:c>
      <x:c r="AS150" s="44" t="str">
        <x:f>IF(COUNTA(AC150:AN150)=0,"",IFERROR(AI150/AC150,""))</x:f>
      </x:c>
      <x:c r="AT150" s="44" t="str">
        <x:f>IF(COUNTA(AC150:AN150)=0,"",IFERROR(AJ150/AC150,""))</x:f>
      </x:c>
      <x:c r="AU150" s="44" t="str">
        <x:f>IF(COUNTA(AC150:AN150)=0,"",IFERROR(AK150/AJ150,""))</x:f>
      </x:c>
      <x:c r="AV150" s="44" t="str">
        <x:f>IF(COUNTA(AC150:AN150)=0,"",IFERROR((AM150+AN150)/IF(AJ150&gt;0,AJ150,IF(AD150&gt;0,AD150,AC150)),""))</x:f>
      </x:c>
      <x:c r="AW150" s="29"/>
    </x:row>
    <x:row r="151">
      <x:c r="A151" s="29"/>
      <x:c r="B151" s="41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42"/>
      <x:c r="AA151" s="29"/>
      <x:c r="AB151" s="29"/>
      <x:c r="AC151" s="43"/>
      <x:c r="AD151" s="43"/>
      <x:c r="AE151" s="43"/>
      <x:c r="AF151" s="43"/>
      <x:c r="AG151" s="43"/>
      <x:c r="AH151" s="43"/>
      <x:c r="AI151" s="43"/>
      <x:c r="AJ151" s="43"/>
      <x:c r="AK151" s="43"/>
      <x:c r="AL151" s="43"/>
      <x:c r="AM151" s="43"/>
      <x:c r="AN151" s="43"/>
      <x:c r="AO151" s="44" t="str">
        <x:f>IF(COUNTA(AC151:AN151)=0,"",IFERROR(AD151/AC151,""))</x:f>
      </x:c>
      <x:c r="AP151" s="44" t="str">
        <x:f>IF(COUNTA(AC151:AN151)=0,"",IFERROR((AF151+AG151+AH151+AI151)/AC151,""))</x:f>
      </x:c>
      <x:c r="AQ151" s="44" t="str">
        <x:f>IF(COUNTA(AC151:AN151)=0,"",IFERROR(AJ151/IF(C151="X",AC151,AD151),""))</x:f>
      </x:c>
      <x:c r="AR151" s="44" t="str">
        <x:f>IF(COUNTA(AC151:AN151)=0,"",IFERROR((AG151+AH151)/AC151,""))</x:f>
      </x:c>
      <x:c r="AS151" s="44" t="str">
        <x:f>IF(COUNTA(AC151:AN151)=0,"",IFERROR(AI151/AC151,""))</x:f>
      </x:c>
      <x:c r="AT151" s="44" t="str">
        <x:f>IF(COUNTA(AC151:AN151)=0,"",IFERROR(AJ151/AC151,""))</x:f>
      </x:c>
      <x:c r="AU151" s="44" t="str">
        <x:f>IF(COUNTA(AC151:AN151)=0,"",IFERROR(AK151/AJ151,""))</x:f>
      </x:c>
      <x:c r="AV151" s="44" t="str">
        <x:f>IF(COUNTA(AC151:AN151)=0,"",IFERROR((AM151+AN151)/IF(AJ151&gt;0,AJ151,IF(AD151&gt;0,AD151,AC151)),""))</x:f>
      </x:c>
      <x:c r="AW151" s="29"/>
    </x:row>
    <x:row r="152">
      <x:c r="A152" s="29"/>
      <x:c r="B152" s="41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42"/>
      <x:c r="AA152" s="29"/>
      <x:c r="AB152" s="29"/>
      <x:c r="AC152" s="43"/>
      <x:c r="AD152" s="43"/>
      <x:c r="AE152" s="43"/>
      <x:c r="AF152" s="43"/>
      <x:c r="AG152" s="43"/>
      <x:c r="AH152" s="43"/>
      <x:c r="AI152" s="43"/>
      <x:c r="AJ152" s="43"/>
      <x:c r="AK152" s="43"/>
      <x:c r="AL152" s="43"/>
      <x:c r="AM152" s="43"/>
      <x:c r="AN152" s="43"/>
      <x:c r="AO152" s="44" t="str">
        <x:f>IF(COUNTA(AC152:AN152)=0,"",IFERROR(AD152/AC152,""))</x:f>
      </x:c>
      <x:c r="AP152" s="44" t="str">
        <x:f>IF(COUNTA(AC152:AN152)=0,"",IFERROR((AF152+AG152+AH152+AI152)/AC152,""))</x:f>
      </x:c>
      <x:c r="AQ152" s="44" t="str">
        <x:f>IF(COUNTA(AC152:AN152)=0,"",IFERROR(AJ152/IF(C152="X",AC152,AD152),""))</x:f>
      </x:c>
      <x:c r="AR152" s="44" t="str">
        <x:f>IF(COUNTA(AC152:AN152)=0,"",IFERROR((AG152+AH152)/AC152,""))</x:f>
      </x:c>
      <x:c r="AS152" s="44" t="str">
        <x:f>IF(COUNTA(AC152:AN152)=0,"",IFERROR(AI152/AC152,""))</x:f>
      </x:c>
      <x:c r="AT152" s="44" t="str">
        <x:f>IF(COUNTA(AC152:AN152)=0,"",IFERROR(AJ152/AC152,""))</x:f>
      </x:c>
      <x:c r="AU152" s="44" t="str">
        <x:f>IF(COUNTA(AC152:AN152)=0,"",IFERROR(AK152/AJ152,""))</x:f>
      </x:c>
      <x:c r="AV152" s="44" t="str">
        <x:f>IF(COUNTA(AC152:AN152)=0,"",IFERROR((AM152+AN152)/IF(AJ152&gt;0,AJ152,IF(AD152&gt;0,AD152,AC152)),""))</x:f>
      </x:c>
      <x:c r="AW152" s="29"/>
    </x:row>
    <x:row r="153">
      <x:c r="A153" s="29"/>
      <x:c r="B153" s="41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42"/>
      <x:c r="AA153" s="29"/>
      <x:c r="AB153" s="29"/>
      <x:c r="AC153" s="43"/>
      <x:c r="AD153" s="43"/>
      <x:c r="AE153" s="43"/>
      <x:c r="AF153" s="43"/>
      <x:c r="AG153" s="43"/>
      <x:c r="AH153" s="43"/>
      <x:c r="AI153" s="43"/>
      <x:c r="AJ153" s="43"/>
      <x:c r="AK153" s="43"/>
      <x:c r="AL153" s="43"/>
      <x:c r="AM153" s="43"/>
      <x:c r="AN153" s="43"/>
      <x:c r="AO153" s="44" t="str">
        <x:f>IF(COUNTA(AC153:AN153)=0,"",IFERROR(AD153/AC153,""))</x:f>
      </x:c>
      <x:c r="AP153" s="44" t="str">
        <x:f>IF(COUNTA(AC153:AN153)=0,"",IFERROR((AF153+AG153+AH153+AI153)/AC153,""))</x:f>
      </x:c>
      <x:c r="AQ153" s="44" t="str">
        <x:f>IF(COUNTA(AC153:AN153)=0,"",IFERROR(AJ153/IF(C153="X",AC153,AD153),""))</x:f>
      </x:c>
      <x:c r="AR153" s="44" t="str">
        <x:f>IF(COUNTA(AC153:AN153)=0,"",IFERROR((AG153+AH153)/AC153,""))</x:f>
      </x:c>
      <x:c r="AS153" s="44" t="str">
        <x:f>IF(COUNTA(AC153:AN153)=0,"",IFERROR(AI153/AC153,""))</x:f>
      </x:c>
      <x:c r="AT153" s="44" t="str">
        <x:f>IF(COUNTA(AC153:AN153)=0,"",IFERROR(AJ153/AC153,""))</x:f>
      </x:c>
      <x:c r="AU153" s="44" t="str">
        <x:f>IF(COUNTA(AC153:AN153)=0,"",IFERROR(AK153/AJ153,""))</x:f>
      </x:c>
      <x:c r="AV153" s="44" t="str">
        <x:f>IF(COUNTA(AC153:AN153)=0,"",IFERROR((AM153+AN153)/IF(AJ153&gt;0,AJ153,IF(AD153&gt;0,AD153,AC153)),""))</x:f>
      </x:c>
      <x:c r="AW153" s="29"/>
    </x:row>
    <x:row r="154">
      <x:c r="A154" s="29"/>
      <x:c r="B154" s="41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42"/>
      <x:c r="AA154" s="29"/>
      <x:c r="AB154" s="29"/>
      <x:c r="AC154" s="43"/>
      <x:c r="AD154" s="43"/>
      <x:c r="AE154" s="43"/>
      <x:c r="AF154" s="43"/>
      <x:c r="AG154" s="43"/>
      <x:c r="AH154" s="43"/>
      <x:c r="AI154" s="43"/>
      <x:c r="AJ154" s="43"/>
      <x:c r="AK154" s="43"/>
      <x:c r="AL154" s="43"/>
      <x:c r="AM154" s="43"/>
      <x:c r="AN154" s="43"/>
      <x:c r="AO154" s="44" t="str">
        <x:f>IF(COUNTA(AC154:AN154)=0,"",IFERROR(AD154/AC154,""))</x:f>
      </x:c>
      <x:c r="AP154" s="44" t="str">
        <x:f>IF(COUNTA(AC154:AN154)=0,"",IFERROR((AF154+AG154+AH154+AI154)/AC154,""))</x:f>
      </x:c>
      <x:c r="AQ154" s="44" t="str">
        <x:f>IF(COUNTA(AC154:AN154)=0,"",IFERROR(AJ154/IF(C154="X",AC154,AD154),""))</x:f>
      </x:c>
      <x:c r="AR154" s="44" t="str">
        <x:f>IF(COUNTA(AC154:AN154)=0,"",IFERROR((AG154+AH154)/AC154,""))</x:f>
      </x:c>
      <x:c r="AS154" s="44" t="str">
        <x:f>IF(COUNTA(AC154:AN154)=0,"",IFERROR(AI154/AC154,""))</x:f>
      </x:c>
      <x:c r="AT154" s="44" t="str">
        <x:f>IF(COUNTA(AC154:AN154)=0,"",IFERROR(AJ154/AC154,""))</x:f>
      </x:c>
      <x:c r="AU154" s="44" t="str">
        <x:f>IF(COUNTA(AC154:AN154)=0,"",IFERROR(AK154/AJ154,""))</x:f>
      </x:c>
      <x:c r="AV154" s="44" t="str">
        <x:f>IF(COUNTA(AC154:AN154)=0,"",IFERROR((AM154+AN154)/IF(AJ154&gt;0,AJ154,IF(AD154&gt;0,AD154,AC154)),""))</x:f>
      </x:c>
      <x:c r="AW154" s="29"/>
    </x:row>
    <x:row r="155">
      <x:c r="A155" s="29"/>
      <x:c r="B155" s="41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42"/>
      <x:c r="AA155" s="29"/>
      <x:c r="AB155" s="29"/>
      <x:c r="AC155" s="43"/>
      <x:c r="AD155" s="43"/>
      <x:c r="AE155" s="43"/>
      <x:c r="AF155" s="43"/>
      <x:c r="AG155" s="43"/>
      <x:c r="AH155" s="43"/>
      <x:c r="AI155" s="43"/>
      <x:c r="AJ155" s="43"/>
      <x:c r="AK155" s="43"/>
      <x:c r="AL155" s="43"/>
      <x:c r="AM155" s="43"/>
      <x:c r="AN155" s="43"/>
      <x:c r="AO155" s="44" t="str">
        <x:f>IF(COUNTA(AC155:AN155)=0,"",IFERROR(AD155/AC155,""))</x:f>
      </x:c>
      <x:c r="AP155" s="44" t="str">
        <x:f>IF(COUNTA(AC155:AN155)=0,"",IFERROR((AF155+AG155+AH155+AI155)/AC155,""))</x:f>
      </x:c>
      <x:c r="AQ155" s="44" t="str">
        <x:f>IF(COUNTA(AC155:AN155)=0,"",IFERROR(AJ155/IF(C155="X",AC155,AD155),""))</x:f>
      </x:c>
      <x:c r="AR155" s="44" t="str">
        <x:f>IF(COUNTA(AC155:AN155)=0,"",IFERROR((AG155+AH155)/AC155,""))</x:f>
      </x:c>
      <x:c r="AS155" s="44" t="str">
        <x:f>IF(COUNTA(AC155:AN155)=0,"",IFERROR(AI155/AC155,""))</x:f>
      </x:c>
      <x:c r="AT155" s="44" t="str">
        <x:f>IF(COUNTA(AC155:AN155)=0,"",IFERROR(AJ155/AC155,""))</x:f>
      </x:c>
      <x:c r="AU155" s="44" t="str">
        <x:f>IF(COUNTA(AC155:AN155)=0,"",IFERROR(AK155/AJ155,""))</x:f>
      </x:c>
      <x:c r="AV155" s="44" t="str">
        <x:f>IF(COUNTA(AC155:AN155)=0,"",IFERROR((AM155+AN155)/IF(AJ155&gt;0,AJ155,IF(AD155&gt;0,AD155,AC155)),""))</x:f>
      </x:c>
      <x:c r="AW155" s="29"/>
    </x:row>
    <x:row r="156">
      <x:c r="A156" s="29"/>
      <x:c r="B156" s="41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42"/>
      <x:c r="AA156" s="29"/>
      <x:c r="AB156" s="29"/>
      <x:c r="AC156" s="43"/>
      <x:c r="AD156" s="43"/>
      <x:c r="AE156" s="43"/>
      <x:c r="AF156" s="43"/>
      <x:c r="AG156" s="43"/>
      <x:c r="AH156" s="43"/>
      <x:c r="AI156" s="43"/>
      <x:c r="AJ156" s="43"/>
      <x:c r="AK156" s="43"/>
      <x:c r="AL156" s="43"/>
      <x:c r="AM156" s="43"/>
      <x:c r="AN156" s="43"/>
      <x:c r="AO156" s="44" t="str">
        <x:f>IF(COUNTA(AC156:AN156)=0,"",IFERROR(AD156/AC156,""))</x:f>
      </x:c>
      <x:c r="AP156" s="44" t="str">
        <x:f>IF(COUNTA(AC156:AN156)=0,"",IFERROR((AF156+AG156+AH156+AI156)/AC156,""))</x:f>
      </x:c>
      <x:c r="AQ156" s="44" t="str">
        <x:f>IF(COUNTA(AC156:AN156)=0,"",IFERROR(AJ156/IF(C156="X",AC156,AD156),""))</x:f>
      </x:c>
      <x:c r="AR156" s="44" t="str">
        <x:f>IF(COUNTA(AC156:AN156)=0,"",IFERROR((AG156+AH156)/AC156,""))</x:f>
      </x:c>
      <x:c r="AS156" s="44" t="str">
        <x:f>IF(COUNTA(AC156:AN156)=0,"",IFERROR(AI156/AC156,""))</x:f>
      </x:c>
      <x:c r="AT156" s="44" t="str">
        <x:f>IF(COUNTA(AC156:AN156)=0,"",IFERROR(AJ156/AC156,""))</x:f>
      </x:c>
      <x:c r="AU156" s="44" t="str">
        <x:f>IF(COUNTA(AC156:AN156)=0,"",IFERROR(AK156/AJ156,""))</x:f>
      </x:c>
      <x:c r="AV156" s="44" t="str">
        <x:f>IF(COUNTA(AC156:AN156)=0,"",IFERROR((AM156+AN156)/IF(AJ156&gt;0,AJ156,IF(AD156&gt;0,AD156,AC156)),""))</x:f>
      </x:c>
      <x:c r="AW156" s="29"/>
    </x:row>
    <x:row r="157">
      <x:c r="A157" s="29"/>
      <x:c r="B157" s="41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42"/>
      <x:c r="AA157" s="29"/>
      <x:c r="AB157" s="29"/>
      <x:c r="AC157" s="43"/>
      <x:c r="AD157" s="43"/>
      <x:c r="AE157" s="43"/>
      <x:c r="AF157" s="43"/>
      <x:c r="AG157" s="43"/>
      <x:c r="AH157" s="43"/>
      <x:c r="AI157" s="43"/>
      <x:c r="AJ157" s="43"/>
      <x:c r="AK157" s="43"/>
      <x:c r="AL157" s="43"/>
      <x:c r="AM157" s="43"/>
      <x:c r="AN157" s="43"/>
      <x:c r="AO157" s="44" t="str">
        <x:f>IF(COUNTA(AC157:AN157)=0,"",IFERROR(AD157/AC157,""))</x:f>
      </x:c>
      <x:c r="AP157" s="44" t="str">
        <x:f>IF(COUNTA(AC157:AN157)=0,"",IFERROR((AF157+AG157+AH157+AI157)/AC157,""))</x:f>
      </x:c>
      <x:c r="AQ157" s="44" t="str">
        <x:f>IF(COUNTA(AC157:AN157)=0,"",IFERROR(AJ157/IF(C157="X",AC157,AD157),""))</x:f>
      </x:c>
      <x:c r="AR157" s="44" t="str">
        <x:f>IF(COUNTA(AC157:AN157)=0,"",IFERROR((AG157+AH157)/AC157,""))</x:f>
      </x:c>
      <x:c r="AS157" s="44" t="str">
        <x:f>IF(COUNTA(AC157:AN157)=0,"",IFERROR(AI157/AC157,""))</x:f>
      </x:c>
      <x:c r="AT157" s="44" t="str">
        <x:f>IF(COUNTA(AC157:AN157)=0,"",IFERROR(AJ157/AC157,""))</x:f>
      </x:c>
      <x:c r="AU157" s="44" t="str">
        <x:f>IF(COUNTA(AC157:AN157)=0,"",IFERROR(AK157/AJ157,""))</x:f>
      </x:c>
      <x:c r="AV157" s="44" t="str">
        <x:f>IF(COUNTA(AC157:AN157)=0,"",IFERROR((AM157+AN157)/IF(AJ157&gt;0,AJ157,IF(AD157&gt;0,AD157,AC157)),""))</x:f>
      </x:c>
      <x:c r="AW157" s="29"/>
    </x:row>
    <x:row r="158">
      <x:c r="A158" s="29"/>
      <x:c r="B158" s="41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42"/>
      <x:c r="AA158" s="29"/>
      <x:c r="AB158" s="29"/>
      <x:c r="AC158" s="43"/>
      <x:c r="AD158" s="43"/>
      <x:c r="AE158" s="43"/>
      <x:c r="AF158" s="43"/>
      <x:c r="AG158" s="43"/>
      <x:c r="AH158" s="43"/>
      <x:c r="AI158" s="43"/>
      <x:c r="AJ158" s="43"/>
      <x:c r="AK158" s="43"/>
      <x:c r="AL158" s="43"/>
      <x:c r="AM158" s="43"/>
      <x:c r="AN158" s="43"/>
      <x:c r="AO158" s="44" t="str">
        <x:f>IF(COUNTA(AC158:AN158)=0,"",IFERROR(AD158/AC158,""))</x:f>
      </x:c>
      <x:c r="AP158" s="44" t="str">
        <x:f>IF(COUNTA(AC158:AN158)=0,"",IFERROR((AF158+AG158+AH158+AI158)/AC158,""))</x:f>
      </x:c>
      <x:c r="AQ158" s="44" t="str">
        <x:f>IF(COUNTA(AC158:AN158)=0,"",IFERROR(AJ158/IF(C158="X",AC158,AD158),""))</x:f>
      </x:c>
      <x:c r="AR158" s="44" t="str">
        <x:f>IF(COUNTA(AC158:AN158)=0,"",IFERROR((AG158+AH158)/AC158,""))</x:f>
      </x:c>
      <x:c r="AS158" s="44" t="str">
        <x:f>IF(COUNTA(AC158:AN158)=0,"",IFERROR(AI158/AC158,""))</x:f>
      </x:c>
      <x:c r="AT158" s="44" t="str">
        <x:f>IF(COUNTA(AC158:AN158)=0,"",IFERROR(AJ158/AC158,""))</x:f>
      </x:c>
      <x:c r="AU158" s="44" t="str">
        <x:f>IF(COUNTA(AC158:AN158)=0,"",IFERROR(AK158/AJ158,""))</x:f>
      </x:c>
      <x:c r="AV158" s="44" t="str">
        <x:f>IF(COUNTA(AC158:AN158)=0,"",IFERROR((AM158+AN158)/IF(AJ158&gt;0,AJ158,IF(AD158&gt;0,AD158,AC158)),""))</x:f>
      </x:c>
      <x:c r="AW158" s="29"/>
    </x:row>
    <x:row r="159">
      <x:c r="A159" s="29"/>
      <x:c r="B159" s="41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42"/>
      <x:c r="AA159" s="29"/>
      <x:c r="AB159" s="29"/>
      <x:c r="AC159" s="43"/>
      <x:c r="AD159" s="43"/>
      <x:c r="AE159" s="43"/>
      <x:c r="AF159" s="43"/>
      <x:c r="AG159" s="43"/>
      <x:c r="AH159" s="43"/>
      <x:c r="AI159" s="43"/>
      <x:c r="AJ159" s="43"/>
      <x:c r="AK159" s="43"/>
      <x:c r="AL159" s="43"/>
      <x:c r="AM159" s="43"/>
      <x:c r="AN159" s="43"/>
      <x:c r="AO159" s="44" t="str">
        <x:f>IF(COUNTA(AC159:AN159)=0,"",IFERROR(AD159/AC159,""))</x:f>
      </x:c>
      <x:c r="AP159" s="44" t="str">
        <x:f>IF(COUNTA(AC159:AN159)=0,"",IFERROR((AF159+AG159+AH159+AI159)/AC159,""))</x:f>
      </x:c>
      <x:c r="AQ159" s="44" t="str">
        <x:f>IF(COUNTA(AC159:AN159)=0,"",IFERROR(AJ159/IF(C159="X",AC159,AD159),""))</x:f>
      </x:c>
      <x:c r="AR159" s="44" t="str">
        <x:f>IF(COUNTA(AC159:AN159)=0,"",IFERROR((AG159+AH159)/AC159,""))</x:f>
      </x:c>
      <x:c r="AS159" s="44" t="str">
        <x:f>IF(COUNTA(AC159:AN159)=0,"",IFERROR(AI159/AC159,""))</x:f>
      </x:c>
      <x:c r="AT159" s="44" t="str">
        <x:f>IF(COUNTA(AC159:AN159)=0,"",IFERROR(AJ159/AC159,""))</x:f>
      </x:c>
      <x:c r="AU159" s="44" t="str">
        <x:f>IF(COUNTA(AC159:AN159)=0,"",IFERROR(AK159/AJ159,""))</x:f>
      </x:c>
      <x:c r="AV159" s="44" t="str">
        <x:f>IF(COUNTA(AC159:AN159)=0,"",IFERROR((AM159+AN159)/IF(AJ159&gt;0,AJ159,IF(AD159&gt;0,AD159,AC159)),""))</x:f>
      </x:c>
      <x:c r="AW159" s="29"/>
    </x:row>
    <x:row r="160">
      <x:c r="A160" s="29"/>
      <x:c r="B160" s="41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42"/>
      <x:c r="AA160" s="29"/>
      <x:c r="AB160" s="29"/>
      <x:c r="AC160" s="43"/>
      <x:c r="AD160" s="43"/>
      <x:c r="AE160" s="43"/>
      <x:c r="AF160" s="43"/>
      <x:c r="AG160" s="43"/>
      <x:c r="AH160" s="43"/>
      <x:c r="AI160" s="43"/>
      <x:c r="AJ160" s="43"/>
      <x:c r="AK160" s="43"/>
      <x:c r="AL160" s="43"/>
      <x:c r="AM160" s="43"/>
      <x:c r="AN160" s="43"/>
      <x:c r="AO160" s="44" t="str">
        <x:f>IF(COUNTA(AC160:AN160)=0,"",IFERROR(AD160/AC160,""))</x:f>
      </x:c>
      <x:c r="AP160" s="44" t="str">
        <x:f>IF(COUNTA(AC160:AN160)=0,"",IFERROR((AF160+AG160+AH160+AI160)/AC160,""))</x:f>
      </x:c>
      <x:c r="AQ160" s="44" t="str">
        <x:f>IF(COUNTA(AC160:AN160)=0,"",IFERROR(AJ160/IF(C160="X",AC160,AD160),""))</x:f>
      </x:c>
      <x:c r="AR160" s="44" t="str">
        <x:f>IF(COUNTA(AC160:AN160)=0,"",IFERROR((AG160+AH160)/AC160,""))</x:f>
      </x:c>
      <x:c r="AS160" s="44" t="str">
        <x:f>IF(COUNTA(AC160:AN160)=0,"",IFERROR(AI160/AC160,""))</x:f>
      </x:c>
      <x:c r="AT160" s="44" t="str">
        <x:f>IF(COUNTA(AC160:AN160)=0,"",IFERROR(AJ160/AC160,""))</x:f>
      </x:c>
      <x:c r="AU160" s="44" t="str">
        <x:f>IF(COUNTA(AC160:AN160)=0,"",IFERROR(AK160/AJ160,""))</x:f>
      </x:c>
      <x:c r="AV160" s="44" t="str">
        <x:f>IF(COUNTA(AC160:AN160)=0,"",IFERROR((AM160+AN160)/IF(AJ160&gt;0,AJ160,IF(AD160&gt;0,AD160,AC160)),""))</x:f>
      </x:c>
      <x:c r="AW160" s="29"/>
    </x:row>
    <x:row r="161">
      <x:c r="A161" s="29"/>
      <x:c r="B161" s="41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42"/>
      <x:c r="AA161" s="29"/>
      <x:c r="AB161" s="29"/>
      <x:c r="AC161" s="43"/>
      <x:c r="AD161" s="43"/>
      <x:c r="AE161" s="43"/>
      <x:c r="AF161" s="43"/>
      <x:c r="AG161" s="43"/>
      <x:c r="AH161" s="43"/>
      <x:c r="AI161" s="43"/>
      <x:c r="AJ161" s="43"/>
      <x:c r="AK161" s="43"/>
      <x:c r="AL161" s="43"/>
      <x:c r="AM161" s="43"/>
      <x:c r="AN161" s="43"/>
      <x:c r="AO161" s="44" t="str">
        <x:f>IF(COUNTA(AC161:AN161)=0,"",IFERROR(AD161/AC161,""))</x:f>
      </x:c>
      <x:c r="AP161" s="44" t="str">
        <x:f>IF(COUNTA(AC161:AN161)=0,"",IFERROR((AF161+AG161+AH161+AI161)/AC161,""))</x:f>
      </x:c>
      <x:c r="AQ161" s="44" t="str">
        <x:f>IF(COUNTA(AC161:AN161)=0,"",IFERROR(AJ161/IF(C161="X",AC161,AD161),""))</x:f>
      </x:c>
      <x:c r="AR161" s="44" t="str">
        <x:f>IF(COUNTA(AC161:AN161)=0,"",IFERROR((AG161+AH161)/AC161,""))</x:f>
      </x:c>
      <x:c r="AS161" s="44" t="str">
        <x:f>IF(COUNTA(AC161:AN161)=0,"",IFERROR(AI161/AC161,""))</x:f>
      </x:c>
      <x:c r="AT161" s="44" t="str">
        <x:f>IF(COUNTA(AC161:AN161)=0,"",IFERROR(AJ161/AC161,""))</x:f>
      </x:c>
      <x:c r="AU161" s="44" t="str">
        <x:f>IF(COUNTA(AC161:AN161)=0,"",IFERROR(AK161/AJ161,""))</x:f>
      </x:c>
      <x:c r="AV161" s="44" t="str">
        <x:f>IF(COUNTA(AC161:AN161)=0,"",IFERROR((AM161+AN161)/IF(AJ161&gt;0,AJ161,IF(AD161&gt;0,AD161,AC161)),""))</x:f>
      </x:c>
      <x:c r="AW161" s="29"/>
    </x:row>
    <x:row r="162">
      <x:c r="A162" s="29"/>
      <x:c r="B162" s="41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42"/>
      <x:c r="AA162" s="29"/>
      <x:c r="AB162" s="29"/>
      <x:c r="AC162" s="43"/>
      <x:c r="AD162" s="43"/>
      <x:c r="AE162" s="43"/>
      <x:c r="AF162" s="43"/>
      <x:c r="AG162" s="43"/>
      <x:c r="AH162" s="43"/>
      <x:c r="AI162" s="43"/>
      <x:c r="AJ162" s="43"/>
      <x:c r="AK162" s="43"/>
      <x:c r="AL162" s="43"/>
      <x:c r="AM162" s="43"/>
      <x:c r="AN162" s="43"/>
      <x:c r="AO162" s="44" t="str">
        <x:f>IF(COUNTA(AC162:AN162)=0,"",IFERROR(AD162/AC162,""))</x:f>
      </x:c>
      <x:c r="AP162" s="44" t="str">
        <x:f>IF(COUNTA(AC162:AN162)=0,"",IFERROR((AF162+AG162+AH162+AI162)/AC162,""))</x:f>
      </x:c>
      <x:c r="AQ162" s="44" t="str">
        <x:f>IF(COUNTA(AC162:AN162)=0,"",IFERROR(AJ162/IF(C162="X",AC162,AD162),""))</x:f>
      </x:c>
      <x:c r="AR162" s="44" t="str">
        <x:f>IF(COUNTA(AC162:AN162)=0,"",IFERROR((AG162+AH162)/AC162,""))</x:f>
      </x:c>
      <x:c r="AS162" s="44" t="str">
        <x:f>IF(COUNTA(AC162:AN162)=0,"",IFERROR(AI162/AC162,""))</x:f>
      </x:c>
      <x:c r="AT162" s="44" t="str">
        <x:f>IF(COUNTA(AC162:AN162)=0,"",IFERROR(AJ162/AC162,""))</x:f>
      </x:c>
      <x:c r="AU162" s="44" t="str">
        <x:f>IF(COUNTA(AC162:AN162)=0,"",IFERROR(AK162/AJ162,""))</x:f>
      </x:c>
      <x:c r="AV162" s="44" t="str">
        <x:f>IF(COUNTA(AC162:AN162)=0,"",IFERROR((AM162+AN162)/IF(AJ162&gt;0,AJ162,IF(AD162&gt;0,AD162,AC162)),""))</x:f>
      </x:c>
      <x:c r="AW162" s="29"/>
    </x:row>
    <x:row r="163">
      <x:c r="A163" s="29"/>
      <x:c r="B163" s="41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42"/>
      <x:c r="AA163" s="29"/>
      <x:c r="AB163" s="29"/>
      <x:c r="AC163" s="43"/>
      <x:c r="AD163" s="43"/>
      <x:c r="AE163" s="43"/>
      <x:c r="AF163" s="43"/>
      <x:c r="AG163" s="43"/>
      <x:c r="AH163" s="43"/>
      <x:c r="AI163" s="43"/>
      <x:c r="AJ163" s="43"/>
      <x:c r="AK163" s="43"/>
      <x:c r="AL163" s="43"/>
      <x:c r="AM163" s="43"/>
      <x:c r="AN163" s="43"/>
      <x:c r="AO163" s="44" t="str">
        <x:f>IF(COUNTA(AC163:AN163)=0,"",IFERROR(AD163/AC163,""))</x:f>
      </x:c>
      <x:c r="AP163" s="44" t="str">
        <x:f>IF(COUNTA(AC163:AN163)=0,"",IFERROR((AF163+AG163+AH163+AI163)/AC163,""))</x:f>
      </x:c>
      <x:c r="AQ163" s="44" t="str">
        <x:f>IF(COUNTA(AC163:AN163)=0,"",IFERROR(AJ163/IF(C163="X",AC163,AD163),""))</x:f>
      </x:c>
      <x:c r="AR163" s="44" t="str">
        <x:f>IF(COUNTA(AC163:AN163)=0,"",IFERROR((AG163+AH163)/AC163,""))</x:f>
      </x:c>
      <x:c r="AS163" s="44" t="str">
        <x:f>IF(COUNTA(AC163:AN163)=0,"",IFERROR(AI163/AC163,""))</x:f>
      </x:c>
      <x:c r="AT163" s="44" t="str">
        <x:f>IF(COUNTA(AC163:AN163)=0,"",IFERROR(AJ163/AC163,""))</x:f>
      </x:c>
      <x:c r="AU163" s="44" t="str">
        <x:f>IF(COUNTA(AC163:AN163)=0,"",IFERROR(AK163/AJ163,""))</x:f>
      </x:c>
      <x:c r="AV163" s="44" t="str">
        <x:f>IF(COUNTA(AC163:AN163)=0,"",IFERROR((AM163+AN163)/IF(AJ163&gt;0,AJ163,IF(AD163&gt;0,AD163,AC163)),""))</x:f>
      </x:c>
      <x:c r="AW163" s="29"/>
    </x:row>
    <x:row r="164">
      <x:c r="A164" s="29"/>
      <x:c r="B164" s="41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42"/>
      <x:c r="AA164" s="29"/>
      <x:c r="AB164" s="29"/>
      <x:c r="AC164" s="43"/>
      <x:c r="AD164" s="43"/>
      <x:c r="AE164" s="43"/>
      <x:c r="AF164" s="43"/>
      <x:c r="AG164" s="43"/>
      <x:c r="AH164" s="43"/>
      <x:c r="AI164" s="43"/>
      <x:c r="AJ164" s="43"/>
      <x:c r="AK164" s="43"/>
      <x:c r="AL164" s="43"/>
      <x:c r="AM164" s="43"/>
      <x:c r="AN164" s="43"/>
      <x:c r="AO164" s="44" t="str">
        <x:f>IF(COUNTA(AC164:AN164)=0,"",IFERROR(AD164/AC164,""))</x:f>
      </x:c>
      <x:c r="AP164" s="44" t="str">
        <x:f>IF(COUNTA(AC164:AN164)=0,"",IFERROR((AF164+AG164+AH164+AI164)/AC164,""))</x:f>
      </x:c>
      <x:c r="AQ164" s="44" t="str">
        <x:f>IF(COUNTA(AC164:AN164)=0,"",IFERROR(AJ164/IF(C164="X",AC164,AD164),""))</x:f>
      </x:c>
      <x:c r="AR164" s="44" t="str">
        <x:f>IF(COUNTA(AC164:AN164)=0,"",IFERROR((AG164+AH164)/AC164,""))</x:f>
      </x:c>
      <x:c r="AS164" s="44" t="str">
        <x:f>IF(COUNTA(AC164:AN164)=0,"",IFERROR(AI164/AC164,""))</x:f>
      </x:c>
      <x:c r="AT164" s="44" t="str">
        <x:f>IF(COUNTA(AC164:AN164)=0,"",IFERROR(AJ164/AC164,""))</x:f>
      </x:c>
      <x:c r="AU164" s="44" t="str">
        <x:f>IF(COUNTA(AC164:AN164)=0,"",IFERROR(AK164/AJ164,""))</x:f>
      </x:c>
      <x:c r="AV164" s="44" t="str">
        <x:f>IF(COUNTA(AC164:AN164)=0,"",IFERROR((AM164+AN164)/IF(AJ164&gt;0,AJ164,IF(AD164&gt;0,AD164,AC164)),""))</x:f>
      </x:c>
      <x:c r="AW164" s="29"/>
    </x:row>
    <x:row r="165">
      <x:c r="A165" s="29"/>
      <x:c r="B165" s="41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42"/>
      <x:c r="AA165" s="29"/>
      <x:c r="AB165" s="29"/>
      <x:c r="AC165" s="43"/>
      <x:c r="AD165" s="43"/>
      <x:c r="AE165" s="43"/>
      <x:c r="AF165" s="43"/>
      <x:c r="AG165" s="43"/>
      <x:c r="AH165" s="43"/>
      <x:c r="AI165" s="43"/>
      <x:c r="AJ165" s="43"/>
      <x:c r="AK165" s="43"/>
      <x:c r="AL165" s="43"/>
      <x:c r="AM165" s="43"/>
      <x:c r="AN165" s="43"/>
      <x:c r="AO165" s="44" t="str">
        <x:f>IF(COUNTA(AC165:AN165)=0,"",IFERROR(AD165/AC165,""))</x:f>
      </x:c>
      <x:c r="AP165" s="44" t="str">
        <x:f>IF(COUNTA(AC165:AN165)=0,"",IFERROR((AF165+AG165+AH165+AI165)/AC165,""))</x:f>
      </x:c>
      <x:c r="AQ165" s="44" t="str">
        <x:f>IF(COUNTA(AC165:AN165)=0,"",IFERROR(AJ165/IF(C165="X",AC165,AD165),""))</x:f>
      </x:c>
      <x:c r="AR165" s="44" t="str">
        <x:f>IF(COUNTA(AC165:AN165)=0,"",IFERROR((AG165+AH165)/AC165,""))</x:f>
      </x:c>
      <x:c r="AS165" s="44" t="str">
        <x:f>IF(COUNTA(AC165:AN165)=0,"",IFERROR(AI165/AC165,""))</x:f>
      </x:c>
      <x:c r="AT165" s="44" t="str">
        <x:f>IF(COUNTA(AC165:AN165)=0,"",IFERROR(AJ165/AC165,""))</x:f>
      </x:c>
      <x:c r="AU165" s="44" t="str">
        <x:f>IF(COUNTA(AC165:AN165)=0,"",IFERROR(AK165/AJ165,""))</x:f>
      </x:c>
      <x:c r="AV165" s="44" t="str">
        <x:f>IF(COUNTA(AC165:AN165)=0,"",IFERROR((AM165+AN165)/IF(AJ165&gt;0,AJ165,IF(AD165&gt;0,AD165,AC165)),""))</x:f>
      </x:c>
      <x:c r="AW165" s="29"/>
    </x:row>
    <x:row r="166">
      <x:c r="A166" s="29"/>
      <x:c r="B166" s="41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42"/>
      <x:c r="AA166" s="29"/>
      <x:c r="AB166" s="29"/>
      <x:c r="AC166" s="43"/>
      <x:c r="AD166" s="43"/>
      <x:c r="AE166" s="43"/>
      <x:c r="AF166" s="43"/>
      <x:c r="AG166" s="43"/>
      <x:c r="AH166" s="43"/>
      <x:c r="AI166" s="43"/>
      <x:c r="AJ166" s="43"/>
      <x:c r="AK166" s="43"/>
      <x:c r="AL166" s="43"/>
      <x:c r="AM166" s="43"/>
      <x:c r="AN166" s="43"/>
      <x:c r="AO166" s="44" t="str">
        <x:f>IF(COUNTA(AC166:AN166)=0,"",IFERROR(AD166/AC166,""))</x:f>
      </x:c>
      <x:c r="AP166" s="44" t="str">
        <x:f>IF(COUNTA(AC166:AN166)=0,"",IFERROR((AF166+AG166+AH166+AI166)/AC166,""))</x:f>
      </x:c>
      <x:c r="AQ166" s="44" t="str">
        <x:f>IF(COUNTA(AC166:AN166)=0,"",IFERROR(AJ166/IF(C166="X",AC166,AD166),""))</x:f>
      </x:c>
      <x:c r="AR166" s="44" t="str">
        <x:f>IF(COUNTA(AC166:AN166)=0,"",IFERROR((AG166+AH166)/AC166,""))</x:f>
      </x:c>
      <x:c r="AS166" s="44" t="str">
        <x:f>IF(COUNTA(AC166:AN166)=0,"",IFERROR(AI166/AC166,""))</x:f>
      </x:c>
      <x:c r="AT166" s="44" t="str">
        <x:f>IF(COUNTA(AC166:AN166)=0,"",IFERROR(AJ166/AC166,""))</x:f>
      </x:c>
      <x:c r="AU166" s="44" t="str">
        <x:f>IF(COUNTA(AC166:AN166)=0,"",IFERROR(AK166/AJ166,""))</x:f>
      </x:c>
      <x:c r="AV166" s="44" t="str">
        <x:f>IF(COUNTA(AC166:AN166)=0,"",IFERROR((AM166+AN166)/IF(AJ166&gt;0,AJ166,IF(AD166&gt;0,AD166,AC166)),""))</x:f>
      </x:c>
      <x:c r="AW166" s="29"/>
    </x:row>
    <x:row r="167">
      <x:c r="A167" s="29"/>
      <x:c r="B167" s="41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42"/>
      <x:c r="AA167" s="29"/>
      <x:c r="AB167" s="29"/>
      <x:c r="AC167" s="43"/>
      <x:c r="AD167" s="43"/>
      <x:c r="AE167" s="43"/>
      <x:c r="AF167" s="43"/>
      <x:c r="AG167" s="43"/>
      <x:c r="AH167" s="43"/>
      <x:c r="AI167" s="43"/>
      <x:c r="AJ167" s="43"/>
      <x:c r="AK167" s="43"/>
      <x:c r="AL167" s="43"/>
      <x:c r="AM167" s="43"/>
      <x:c r="AN167" s="43"/>
      <x:c r="AO167" s="44" t="str">
        <x:f>IF(COUNTA(AC167:AN167)=0,"",IFERROR(AD167/AC167,""))</x:f>
      </x:c>
      <x:c r="AP167" s="44" t="str">
        <x:f>IF(COUNTA(AC167:AN167)=0,"",IFERROR((AF167+AG167+AH167+AI167)/AC167,""))</x:f>
      </x:c>
      <x:c r="AQ167" s="44" t="str">
        <x:f>IF(COUNTA(AC167:AN167)=0,"",IFERROR(AJ167/IF(C167="X",AC167,AD167),""))</x:f>
      </x:c>
      <x:c r="AR167" s="44" t="str">
        <x:f>IF(COUNTA(AC167:AN167)=0,"",IFERROR((AG167+AH167)/AC167,""))</x:f>
      </x:c>
      <x:c r="AS167" s="44" t="str">
        <x:f>IF(COUNTA(AC167:AN167)=0,"",IFERROR(AI167/AC167,""))</x:f>
      </x:c>
      <x:c r="AT167" s="44" t="str">
        <x:f>IF(COUNTA(AC167:AN167)=0,"",IFERROR(AJ167/AC167,""))</x:f>
      </x:c>
      <x:c r="AU167" s="44" t="str">
        <x:f>IF(COUNTA(AC167:AN167)=0,"",IFERROR(AK167/AJ167,""))</x:f>
      </x:c>
      <x:c r="AV167" s="44" t="str">
        <x:f>IF(COUNTA(AC167:AN167)=0,"",IFERROR((AM167+AN167)/IF(AJ167&gt;0,AJ167,IF(AD167&gt;0,AD167,AC167)),""))</x:f>
      </x:c>
      <x:c r="AW167" s="29"/>
    </x:row>
    <x:row r="168">
      <x:c r="A168" s="29"/>
      <x:c r="B168" s="41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42"/>
      <x:c r="AA168" s="29"/>
      <x:c r="AB168" s="29"/>
      <x:c r="AC168" s="43"/>
      <x:c r="AD168" s="43"/>
      <x:c r="AE168" s="43"/>
      <x:c r="AF168" s="43"/>
      <x:c r="AG168" s="43"/>
      <x:c r="AH168" s="43"/>
      <x:c r="AI168" s="43"/>
      <x:c r="AJ168" s="43"/>
      <x:c r="AK168" s="43"/>
      <x:c r="AL168" s="43"/>
      <x:c r="AM168" s="43"/>
      <x:c r="AN168" s="43"/>
      <x:c r="AO168" s="44" t="str">
        <x:f>IF(COUNTA(AC168:AN168)=0,"",IFERROR(AD168/AC168,""))</x:f>
      </x:c>
      <x:c r="AP168" s="44" t="str">
        <x:f>IF(COUNTA(AC168:AN168)=0,"",IFERROR((AF168+AG168+AH168+AI168)/AC168,""))</x:f>
      </x:c>
      <x:c r="AQ168" s="44" t="str">
        <x:f>IF(COUNTA(AC168:AN168)=0,"",IFERROR(AJ168/IF(C168="X",AC168,AD168),""))</x:f>
      </x:c>
      <x:c r="AR168" s="44" t="str">
        <x:f>IF(COUNTA(AC168:AN168)=0,"",IFERROR((AG168+AH168)/AC168,""))</x:f>
      </x:c>
      <x:c r="AS168" s="44" t="str">
        <x:f>IF(COUNTA(AC168:AN168)=0,"",IFERROR(AI168/AC168,""))</x:f>
      </x:c>
      <x:c r="AT168" s="44" t="str">
        <x:f>IF(COUNTA(AC168:AN168)=0,"",IFERROR(AJ168/AC168,""))</x:f>
      </x:c>
      <x:c r="AU168" s="44" t="str">
        <x:f>IF(COUNTA(AC168:AN168)=0,"",IFERROR(AK168/AJ168,""))</x:f>
      </x:c>
      <x:c r="AV168" s="44" t="str">
        <x:f>IF(COUNTA(AC168:AN168)=0,"",IFERROR((AM168+AN168)/IF(AJ168&gt;0,AJ168,IF(AD168&gt;0,AD168,AC168)),""))</x:f>
      </x:c>
      <x:c r="AW168" s="29"/>
    </x:row>
    <x:row r="169">
      <x:c r="A169" s="29"/>
      <x:c r="B169" s="41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42"/>
      <x:c r="AA169" s="29"/>
      <x:c r="AB169" s="29"/>
      <x:c r="AC169" s="43"/>
      <x:c r="AD169" s="43"/>
      <x:c r="AE169" s="43"/>
      <x:c r="AF169" s="43"/>
      <x:c r="AG169" s="43"/>
      <x:c r="AH169" s="43"/>
      <x:c r="AI169" s="43"/>
      <x:c r="AJ169" s="43"/>
      <x:c r="AK169" s="43"/>
      <x:c r="AL169" s="43"/>
      <x:c r="AM169" s="43"/>
      <x:c r="AN169" s="43"/>
      <x:c r="AO169" s="44" t="str">
        <x:f>IF(COUNTA(AC169:AN169)=0,"",IFERROR(AD169/AC169,""))</x:f>
      </x:c>
      <x:c r="AP169" s="44" t="str">
        <x:f>IF(COUNTA(AC169:AN169)=0,"",IFERROR((AF169+AG169+AH169+AI169)/AC169,""))</x:f>
      </x:c>
      <x:c r="AQ169" s="44" t="str">
        <x:f>IF(COUNTA(AC169:AN169)=0,"",IFERROR(AJ169/IF(C169="X",AC169,AD169),""))</x:f>
      </x:c>
      <x:c r="AR169" s="44" t="str">
        <x:f>IF(COUNTA(AC169:AN169)=0,"",IFERROR((AG169+AH169)/AC169,""))</x:f>
      </x:c>
      <x:c r="AS169" s="44" t="str">
        <x:f>IF(COUNTA(AC169:AN169)=0,"",IFERROR(AI169/AC169,""))</x:f>
      </x:c>
      <x:c r="AT169" s="44" t="str">
        <x:f>IF(COUNTA(AC169:AN169)=0,"",IFERROR(AJ169/AC169,""))</x:f>
      </x:c>
      <x:c r="AU169" s="44" t="str">
        <x:f>IF(COUNTA(AC169:AN169)=0,"",IFERROR(AK169/AJ169,""))</x:f>
      </x:c>
      <x:c r="AV169" s="44" t="str">
        <x:f>IF(COUNTA(AC169:AN169)=0,"",IFERROR((AM169+AN169)/IF(AJ169&gt;0,AJ169,IF(AD169&gt;0,AD169,AC169)),""))</x:f>
      </x:c>
      <x:c r="AW169" s="29"/>
    </x:row>
    <x:row r="170">
      <x:c r="A170" s="29"/>
      <x:c r="B170" s="41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42"/>
      <x:c r="AA170" s="29"/>
      <x:c r="AB170" s="29"/>
      <x:c r="AC170" s="43"/>
      <x:c r="AD170" s="43"/>
      <x:c r="AE170" s="43"/>
      <x:c r="AF170" s="43"/>
      <x:c r="AG170" s="43"/>
      <x:c r="AH170" s="43"/>
      <x:c r="AI170" s="43"/>
      <x:c r="AJ170" s="43"/>
      <x:c r="AK170" s="43"/>
      <x:c r="AL170" s="43"/>
      <x:c r="AM170" s="43"/>
      <x:c r="AN170" s="43"/>
      <x:c r="AO170" s="44" t="str">
        <x:f>IF(COUNTA(AC170:AN170)=0,"",IFERROR(AD170/AC170,""))</x:f>
      </x:c>
      <x:c r="AP170" s="44" t="str">
        <x:f>IF(COUNTA(AC170:AN170)=0,"",IFERROR((AF170+AG170+AH170+AI170)/AC170,""))</x:f>
      </x:c>
      <x:c r="AQ170" s="44" t="str">
        <x:f>IF(COUNTA(AC170:AN170)=0,"",IFERROR(AJ170/IF(C170="X",AC170,AD170),""))</x:f>
      </x:c>
      <x:c r="AR170" s="44" t="str">
        <x:f>IF(COUNTA(AC170:AN170)=0,"",IFERROR((AG170+AH170)/AC170,""))</x:f>
      </x:c>
      <x:c r="AS170" s="44" t="str">
        <x:f>IF(COUNTA(AC170:AN170)=0,"",IFERROR(AI170/AC170,""))</x:f>
      </x:c>
      <x:c r="AT170" s="44" t="str">
        <x:f>IF(COUNTA(AC170:AN170)=0,"",IFERROR(AJ170/AC170,""))</x:f>
      </x:c>
      <x:c r="AU170" s="44" t="str">
        <x:f>IF(COUNTA(AC170:AN170)=0,"",IFERROR(AK170/AJ170,""))</x:f>
      </x:c>
      <x:c r="AV170" s="44" t="str">
        <x:f>IF(COUNTA(AC170:AN170)=0,"",IFERROR((AM170+AN170)/IF(AJ170&gt;0,AJ170,IF(AD170&gt;0,AD170,AC170)),""))</x:f>
      </x:c>
      <x:c r="AW170" s="29"/>
    </x:row>
    <x:row r="171">
      <x:c r="A171" s="29"/>
      <x:c r="B171" s="41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42"/>
      <x:c r="AA171" s="29"/>
      <x:c r="AB171" s="29"/>
      <x:c r="AC171" s="43"/>
      <x:c r="AD171" s="43"/>
      <x:c r="AE171" s="43"/>
      <x:c r="AF171" s="43"/>
      <x:c r="AG171" s="43"/>
      <x:c r="AH171" s="43"/>
      <x:c r="AI171" s="43"/>
      <x:c r="AJ171" s="43"/>
      <x:c r="AK171" s="43"/>
      <x:c r="AL171" s="43"/>
      <x:c r="AM171" s="43"/>
      <x:c r="AN171" s="43"/>
      <x:c r="AO171" s="44" t="str">
        <x:f>IF(COUNTA(AC171:AN171)=0,"",IFERROR(AD171/AC171,""))</x:f>
      </x:c>
      <x:c r="AP171" s="44" t="str">
        <x:f>IF(COUNTA(AC171:AN171)=0,"",IFERROR((AF171+AG171+AH171+AI171)/AC171,""))</x:f>
      </x:c>
      <x:c r="AQ171" s="44" t="str">
        <x:f>IF(COUNTA(AC171:AN171)=0,"",IFERROR(AJ171/IF(C171="X",AC171,AD171),""))</x:f>
      </x:c>
      <x:c r="AR171" s="44" t="str">
        <x:f>IF(COUNTA(AC171:AN171)=0,"",IFERROR((AG171+AH171)/AC171,""))</x:f>
      </x:c>
      <x:c r="AS171" s="44" t="str">
        <x:f>IF(COUNTA(AC171:AN171)=0,"",IFERROR(AI171/AC171,""))</x:f>
      </x:c>
      <x:c r="AT171" s="44" t="str">
        <x:f>IF(COUNTA(AC171:AN171)=0,"",IFERROR(AJ171/AC171,""))</x:f>
      </x:c>
      <x:c r="AU171" s="44" t="str">
        <x:f>IF(COUNTA(AC171:AN171)=0,"",IFERROR(AK171/AJ171,""))</x:f>
      </x:c>
      <x:c r="AV171" s="44" t="str">
        <x:f>IF(COUNTA(AC171:AN171)=0,"",IFERROR((AM171+AN171)/IF(AJ171&gt;0,AJ171,IF(AD171&gt;0,AD171,AC171)),""))</x:f>
      </x:c>
      <x:c r="AW171" s="29"/>
    </x:row>
    <x:row r="172">
      <x:c r="A172" s="29"/>
      <x:c r="B172" s="41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42"/>
      <x:c r="AA172" s="29"/>
      <x:c r="AB172" s="29"/>
      <x:c r="AC172" s="43"/>
      <x:c r="AD172" s="43"/>
      <x:c r="AE172" s="43"/>
      <x:c r="AF172" s="43"/>
      <x:c r="AG172" s="43"/>
      <x:c r="AH172" s="43"/>
      <x:c r="AI172" s="43"/>
      <x:c r="AJ172" s="43"/>
      <x:c r="AK172" s="43"/>
      <x:c r="AL172" s="43"/>
      <x:c r="AM172" s="43"/>
      <x:c r="AN172" s="43"/>
      <x:c r="AO172" s="44" t="str">
        <x:f>IF(COUNTA(AC172:AN172)=0,"",IFERROR(AD172/AC172,""))</x:f>
      </x:c>
      <x:c r="AP172" s="44" t="str">
        <x:f>IF(COUNTA(AC172:AN172)=0,"",IFERROR((AF172+AG172+AH172+AI172)/AC172,""))</x:f>
      </x:c>
      <x:c r="AQ172" s="44" t="str">
        <x:f>IF(COUNTA(AC172:AN172)=0,"",IFERROR(AJ172/IF(C172="X",AC172,AD172),""))</x:f>
      </x:c>
      <x:c r="AR172" s="44" t="str">
        <x:f>IF(COUNTA(AC172:AN172)=0,"",IFERROR((AG172+AH172)/AC172,""))</x:f>
      </x:c>
      <x:c r="AS172" s="44" t="str">
        <x:f>IF(COUNTA(AC172:AN172)=0,"",IFERROR(AI172/AC172,""))</x:f>
      </x:c>
      <x:c r="AT172" s="44" t="str">
        <x:f>IF(COUNTA(AC172:AN172)=0,"",IFERROR(AJ172/AC172,""))</x:f>
      </x:c>
      <x:c r="AU172" s="44" t="str">
        <x:f>IF(COUNTA(AC172:AN172)=0,"",IFERROR(AK172/AJ172,""))</x:f>
      </x:c>
      <x:c r="AV172" s="44" t="str">
        <x:f>IF(COUNTA(AC172:AN172)=0,"",IFERROR((AM172+AN172)/IF(AJ172&gt;0,AJ172,IF(AD172&gt;0,AD172,AC172)),""))</x:f>
      </x:c>
      <x:c r="AW172" s="29"/>
    </x:row>
    <x:row r="173">
      <x:c r="A173" s="29"/>
      <x:c r="B173" s="41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42"/>
      <x:c r="AA173" s="29"/>
      <x:c r="AB173" s="29"/>
      <x:c r="AC173" s="43"/>
      <x:c r="AD173" s="43"/>
      <x:c r="AE173" s="43"/>
      <x:c r="AF173" s="43"/>
      <x:c r="AG173" s="43"/>
      <x:c r="AH173" s="43"/>
      <x:c r="AI173" s="43"/>
      <x:c r="AJ173" s="43"/>
      <x:c r="AK173" s="43"/>
      <x:c r="AL173" s="43"/>
      <x:c r="AM173" s="43"/>
      <x:c r="AN173" s="43"/>
      <x:c r="AO173" s="44" t="str">
        <x:f>IF(COUNTA(AC173:AN173)=0,"",IFERROR(AD173/AC173,""))</x:f>
      </x:c>
      <x:c r="AP173" s="44" t="str">
        <x:f>IF(COUNTA(AC173:AN173)=0,"",IFERROR((AF173+AG173+AH173+AI173)/AC173,""))</x:f>
      </x:c>
      <x:c r="AQ173" s="44" t="str">
        <x:f>IF(COUNTA(AC173:AN173)=0,"",IFERROR(AJ173/IF(C173="X",AC173,AD173),""))</x:f>
      </x:c>
      <x:c r="AR173" s="44" t="str">
        <x:f>IF(COUNTA(AC173:AN173)=0,"",IFERROR((AG173+AH173)/AC173,""))</x:f>
      </x:c>
      <x:c r="AS173" s="44" t="str">
        <x:f>IF(COUNTA(AC173:AN173)=0,"",IFERROR(AI173/AC173,""))</x:f>
      </x:c>
      <x:c r="AT173" s="44" t="str">
        <x:f>IF(COUNTA(AC173:AN173)=0,"",IFERROR(AJ173/AC173,""))</x:f>
      </x:c>
      <x:c r="AU173" s="44" t="str">
        <x:f>IF(COUNTA(AC173:AN173)=0,"",IFERROR(AK173/AJ173,""))</x:f>
      </x:c>
      <x:c r="AV173" s="44" t="str">
        <x:f>IF(COUNTA(AC173:AN173)=0,"",IFERROR((AM173+AN173)/IF(AJ173&gt;0,AJ173,IF(AD173&gt;0,AD173,AC173)),""))</x:f>
      </x:c>
      <x:c r="AW173" s="29"/>
    </x:row>
    <x:row r="174">
      <x:c r="A174" s="29"/>
      <x:c r="B174" s="41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42"/>
      <x:c r="AA174" s="29"/>
      <x:c r="AB174" s="29"/>
      <x:c r="AC174" s="43"/>
      <x:c r="AD174" s="43"/>
      <x:c r="AE174" s="43"/>
      <x:c r="AF174" s="43"/>
      <x:c r="AG174" s="43"/>
      <x:c r="AH174" s="43"/>
      <x:c r="AI174" s="43"/>
      <x:c r="AJ174" s="43"/>
      <x:c r="AK174" s="43"/>
      <x:c r="AL174" s="43"/>
      <x:c r="AM174" s="43"/>
      <x:c r="AN174" s="43"/>
      <x:c r="AO174" s="44" t="str">
        <x:f>IF(COUNTA(AC174:AN174)=0,"",IFERROR(AD174/AC174,""))</x:f>
      </x:c>
      <x:c r="AP174" s="44" t="str">
        <x:f>IF(COUNTA(AC174:AN174)=0,"",IFERROR((AF174+AG174+AH174+AI174)/AC174,""))</x:f>
      </x:c>
      <x:c r="AQ174" s="44" t="str">
        <x:f>IF(COUNTA(AC174:AN174)=0,"",IFERROR(AJ174/IF(C174="X",AC174,AD174),""))</x:f>
      </x:c>
      <x:c r="AR174" s="44" t="str">
        <x:f>IF(COUNTA(AC174:AN174)=0,"",IFERROR((AG174+AH174)/AC174,""))</x:f>
      </x:c>
      <x:c r="AS174" s="44" t="str">
        <x:f>IF(COUNTA(AC174:AN174)=0,"",IFERROR(AI174/AC174,""))</x:f>
      </x:c>
      <x:c r="AT174" s="44" t="str">
        <x:f>IF(COUNTA(AC174:AN174)=0,"",IFERROR(AJ174/AC174,""))</x:f>
      </x:c>
      <x:c r="AU174" s="44" t="str">
        <x:f>IF(COUNTA(AC174:AN174)=0,"",IFERROR(AK174/AJ174,""))</x:f>
      </x:c>
      <x:c r="AV174" s="44" t="str">
        <x:f>IF(COUNTA(AC174:AN174)=0,"",IFERROR((AM174+AN174)/IF(AJ174&gt;0,AJ174,IF(AD174&gt;0,AD174,AC174)),""))</x:f>
      </x:c>
      <x:c r="AW174" s="29"/>
    </x:row>
    <x:row r="175">
      <x:c r="A175" s="29"/>
      <x:c r="B175" s="41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42"/>
      <x:c r="AA175" s="29"/>
      <x:c r="AB175" s="29"/>
      <x:c r="AC175" s="43"/>
      <x:c r="AD175" s="43"/>
      <x:c r="AE175" s="43"/>
      <x:c r="AF175" s="43"/>
      <x:c r="AG175" s="43"/>
      <x:c r="AH175" s="43"/>
      <x:c r="AI175" s="43"/>
      <x:c r="AJ175" s="43"/>
      <x:c r="AK175" s="43"/>
      <x:c r="AL175" s="43"/>
      <x:c r="AM175" s="43"/>
      <x:c r="AN175" s="43"/>
      <x:c r="AO175" s="44" t="str">
        <x:f>IF(COUNTA(AC175:AN175)=0,"",IFERROR(AD175/AC175,""))</x:f>
      </x:c>
      <x:c r="AP175" s="44" t="str">
        <x:f>IF(COUNTA(AC175:AN175)=0,"",IFERROR((AF175+AG175+AH175+AI175)/AC175,""))</x:f>
      </x:c>
      <x:c r="AQ175" s="44" t="str">
        <x:f>IF(COUNTA(AC175:AN175)=0,"",IFERROR(AJ175/IF(C175="X",AC175,AD175),""))</x:f>
      </x:c>
      <x:c r="AR175" s="44" t="str">
        <x:f>IF(COUNTA(AC175:AN175)=0,"",IFERROR((AG175+AH175)/AC175,""))</x:f>
      </x:c>
      <x:c r="AS175" s="44" t="str">
        <x:f>IF(COUNTA(AC175:AN175)=0,"",IFERROR(AI175/AC175,""))</x:f>
      </x:c>
      <x:c r="AT175" s="44" t="str">
        <x:f>IF(COUNTA(AC175:AN175)=0,"",IFERROR(AJ175/AC175,""))</x:f>
      </x:c>
      <x:c r="AU175" s="44" t="str">
        <x:f>IF(COUNTA(AC175:AN175)=0,"",IFERROR(AK175/AJ175,""))</x:f>
      </x:c>
      <x:c r="AV175" s="44" t="str">
        <x:f>IF(COUNTA(AC175:AN175)=0,"",IFERROR((AM175+AN175)/IF(AJ175&gt;0,AJ175,IF(AD175&gt;0,AD175,AC175)),""))</x:f>
      </x:c>
      <x:c r="AW175" s="29"/>
    </x:row>
    <x:row r="176">
      <x:c r="A176" s="29"/>
      <x:c r="B176" s="41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42"/>
      <x:c r="AA176" s="29"/>
      <x:c r="AB176" s="29"/>
      <x:c r="AC176" s="43"/>
      <x:c r="AD176" s="43"/>
      <x:c r="AE176" s="43"/>
      <x:c r="AF176" s="43"/>
      <x:c r="AG176" s="43"/>
      <x:c r="AH176" s="43"/>
      <x:c r="AI176" s="43"/>
      <x:c r="AJ176" s="43"/>
      <x:c r="AK176" s="43"/>
      <x:c r="AL176" s="43"/>
      <x:c r="AM176" s="43"/>
      <x:c r="AN176" s="43"/>
      <x:c r="AO176" s="44" t="str">
        <x:f>IF(COUNTA(AC176:AN176)=0,"",IFERROR(AD176/AC176,""))</x:f>
      </x:c>
      <x:c r="AP176" s="44" t="str">
        <x:f>IF(COUNTA(AC176:AN176)=0,"",IFERROR((AF176+AG176+AH176+AI176)/AC176,""))</x:f>
      </x:c>
      <x:c r="AQ176" s="44" t="str">
        <x:f>IF(COUNTA(AC176:AN176)=0,"",IFERROR(AJ176/IF(C176="X",AC176,AD176),""))</x:f>
      </x:c>
      <x:c r="AR176" s="44" t="str">
        <x:f>IF(COUNTA(AC176:AN176)=0,"",IFERROR((AG176+AH176)/AC176,""))</x:f>
      </x:c>
      <x:c r="AS176" s="44" t="str">
        <x:f>IF(COUNTA(AC176:AN176)=0,"",IFERROR(AI176/AC176,""))</x:f>
      </x:c>
      <x:c r="AT176" s="44" t="str">
        <x:f>IF(COUNTA(AC176:AN176)=0,"",IFERROR(AJ176/AC176,""))</x:f>
      </x:c>
      <x:c r="AU176" s="44" t="str">
        <x:f>IF(COUNTA(AC176:AN176)=0,"",IFERROR(AK176/AJ176,""))</x:f>
      </x:c>
      <x:c r="AV176" s="44" t="str">
        <x:f>IF(COUNTA(AC176:AN176)=0,"",IFERROR((AM176+AN176)/IF(AJ176&gt;0,AJ176,IF(AD176&gt;0,AD176,AC176)),""))</x:f>
      </x:c>
      <x:c r="AW176" s="29"/>
    </x:row>
    <x:row r="177">
      <x:c r="A177" s="29"/>
      <x:c r="B177" s="41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42"/>
      <x:c r="AA177" s="29"/>
      <x:c r="AB177" s="29"/>
      <x:c r="AC177" s="43"/>
      <x:c r="AD177" s="43"/>
      <x:c r="AE177" s="43"/>
      <x:c r="AF177" s="43"/>
      <x:c r="AG177" s="43"/>
      <x:c r="AH177" s="43"/>
      <x:c r="AI177" s="43"/>
      <x:c r="AJ177" s="43"/>
      <x:c r="AK177" s="43"/>
      <x:c r="AL177" s="43"/>
      <x:c r="AM177" s="43"/>
      <x:c r="AN177" s="43"/>
      <x:c r="AO177" s="44" t="str">
        <x:f>IF(COUNTA(AC177:AN177)=0,"",IFERROR(AD177/AC177,""))</x:f>
      </x:c>
      <x:c r="AP177" s="44" t="str">
        <x:f>IF(COUNTA(AC177:AN177)=0,"",IFERROR((AF177+AG177+AH177+AI177)/AC177,""))</x:f>
      </x:c>
      <x:c r="AQ177" s="44" t="str">
        <x:f>IF(COUNTA(AC177:AN177)=0,"",IFERROR(AJ177/IF(C177="X",AC177,AD177),""))</x:f>
      </x:c>
      <x:c r="AR177" s="44" t="str">
        <x:f>IF(COUNTA(AC177:AN177)=0,"",IFERROR((AG177+AH177)/AC177,""))</x:f>
      </x:c>
      <x:c r="AS177" s="44" t="str">
        <x:f>IF(COUNTA(AC177:AN177)=0,"",IFERROR(AI177/AC177,""))</x:f>
      </x:c>
      <x:c r="AT177" s="44" t="str">
        <x:f>IF(COUNTA(AC177:AN177)=0,"",IFERROR(AJ177/AC177,""))</x:f>
      </x:c>
      <x:c r="AU177" s="44" t="str">
        <x:f>IF(COUNTA(AC177:AN177)=0,"",IFERROR(AK177/AJ177,""))</x:f>
      </x:c>
      <x:c r="AV177" s="44" t="str">
        <x:f>IF(COUNTA(AC177:AN177)=0,"",IFERROR((AM177+AN177)/IF(AJ177&gt;0,AJ177,IF(AD177&gt;0,AD177,AC177)),""))</x:f>
      </x:c>
      <x:c r="AW177" s="29"/>
    </x:row>
    <x:row r="178">
      <x:c r="A178" s="29"/>
      <x:c r="B178" s="41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42"/>
      <x:c r="AA178" s="29"/>
      <x:c r="AB178" s="29"/>
      <x:c r="AC178" s="43"/>
      <x:c r="AD178" s="43"/>
      <x:c r="AE178" s="43"/>
      <x:c r="AF178" s="43"/>
      <x:c r="AG178" s="43"/>
      <x:c r="AH178" s="43"/>
      <x:c r="AI178" s="43"/>
      <x:c r="AJ178" s="43"/>
      <x:c r="AK178" s="43"/>
      <x:c r="AL178" s="43"/>
      <x:c r="AM178" s="43"/>
      <x:c r="AN178" s="43"/>
      <x:c r="AO178" s="44" t="str">
        <x:f>IF(COUNTA(AC178:AN178)=0,"",IFERROR(AD178/AC178,""))</x:f>
      </x:c>
      <x:c r="AP178" s="44" t="str">
        <x:f>IF(COUNTA(AC178:AN178)=0,"",IFERROR((AF178+AG178+AH178+AI178)/AC178,""))</x:f>
      </x:c>
      <x:c r="AQ178" s="44" t="str">
        <x:f>IF(COUNTA(AC178:AN178)=0,"",IFERROR(AJ178/IF(C178="X",AC178,AD178),""))</x:f>
      </x:c>
      <x:c r="AR178" s="44" t="str">
        <x:f>IF(COUNTA(AC178:AN178)=0,"",IFERROR((AG178+AH178)/AC178,""))</x:f>
      </x:c>
      <x:c r="AS178" s="44" t="str">
        <x:f>IF(COUNTA(AC178:AN178)=0,"",IFERROR(AI178/AC178,""))</x:f>
      </x:c>
      <x:c r="AT178" s="44" t="str">
        <x:f>IF(COUNTA(AC178:AN178)=0,"",IFERROR(AJ178/AC178,""))</x:f>
      </x:c>
      <x:c r="AU178" s="44" t="str">
        <x:f>IF(COUNTA(AC178:AN178)=0,"",IFERROR(AK178/AJ178,""))</x:f>
      </x:c>
      <x:c r="AV178" s="44" t="str">
        <x:f>IF(COUNTA(AC178:AN178)=0,"",IFERROR((AM178+AN178)/IF(AJ178&gt;0,AJ178,IF(AD178&gt;0,AD178,AC178)),""))</x:f>
      </x:c>
      <x:c r="AW178" s="29"/>
    </x:row>
    <x:row r="179">
      <x:c r="A179" s="29"/>
      <x:c r="B179" s="41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42"/>
      <x:c r="AA179" s="29"/>
      <x:c r="AB179" s="29"/>
      <x:c r="AC179" s="43"/>
      <x:c r="AD179" s="43"/>
      <x:c r="AE179" s="43"/>
      <x:c r="AF179" s="43"/>
      <x:c r="AG179" s="43"/>
      <x:c r="AH179" s="43"/>
      <x:c r="AI179" s="43"/>
      <x:c r="AJ179" s="43"/>
      <x:c r="AK179" s="43"/>
      <x:c r="AL179" s="43"/>
      <x:c r="AM179" s="43"/>
      <x:c r="AN179" s="43"/>
      <x:c r="AO179" s="44" t="str">
        <x:f>IF(COUNTA(AC179:AN179)=0,"",IFERROR(AD179/AC179,""))</x:f>
      </x:c>
      <x:c r="AP179" s="44" t="str">
        <x:f>IF(COUNTA(AC179:AN179)=0,"",IFERROR((AF179+AG179+AH179+AI179)/AC179,""))</x:f>
      </x:c>
      <x:c r="AQ179" s="44" t="str">
        <x:f>IF(COUNTA(AC179:AN179)=0,"",IFERROR(AJ179/IF(C179="X",AC179,AD179),""))</x:f>
      </x:c>
      <x:c r="AR179" s="44" t="str">
        <x:f>IF(COUNTA(AC179:AN179)=0,"",IFERROR((AG179+AH179)/AC179,""))</x:f>
      </x:c>
      <x:c r="AS179" s="44" t="str">
        <x:f>IF(COUNTA(AC179:AN179)=0,"",IFERROR(AI179/AC179,""))</x:f>
      </x:c>
      <x:c r="AT179" s="44" t="str">
        <x:f>IF(COUNTA(AC179:AN179)=0,"",IFERROR(AJ179/AC179,""))</x:f>
      </x:c>
      <x:c r="AU179" s="44" t="str">
        <x:f>IF(COUNTA(AC179:AN179)=0,"",IFERROR(AK179/AJ179,""))</x:f>
      </x:c>
      <x:c r="AV179" s="44" t="str">
        <x:f>IF(COUNTA(AC179:AN179)=0,"",IFERROR((AM179+AN179)/IF(AJ179&gt;0,AJ179,IF(AD179&gt;0,AD179,AC179)),""))</x:f>
      </x:c>
      <x:c r="AW179" s="29"/>
    </x:row>
    <x:row r="180">
      <x:c r="A180" s="29"/>
      <x:c r="B180" s="41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42"/>
      <x:c r="AA180" s="29"/>
      <x:c r="AB180" s="29"/>
      <x:c r="AC180" s="43"/>
      <x:c r="AD180" s="43"/>
      <x:c r="AE180" s="43"/>
      <x:c r="AF180" s="43"/>
      <x:c r="AG180" s="43"/>
      <x:c r="AH180" s="43"/>
      <x:c r="AI180" s="43"/>
      <x:c r="AJ180" s="43"/>
      <x:c r="AK180" s="43"/>
      <x:c r="AL180" s="43"/>
      <x:c r="AM180" s="43"/>
      <x:c r="AN180" s="43"/>
      <x:c r="AO180" s="44" t="str">
        <x:f>IF(COUNTA(AC180:AN180)=0,"",IFERROR(AD180/AC180,""))</x:f>
      </x:c>
      <x:c r="AP180" s="44" t="str">
        <x:f>IF(COUNTA(AC180:AN180)=0,"",IFERROR((AF180+AG180+AH180+AI180)/AC180,""))</x:f>
      </x:c>
      <x:c r="AQ180" s="44" t="str">
        <x:f>IF(COUNTA(AC180:AN180)=0,"",IFERROR(AJ180/IF(C180="X",AC180,AD180),""))</x:f>
      </x:c>
      <x:c r="AR180" s="44" t="str">
        <x:f>IF(COUNTA(AC180:AN180)=0,"",IFERROR((AG180+AH180)/AC180,""))</x:f>
      </x:c>
      <x:c r="AS180" s="44" t="str">
        <x:f>IF(COUNTA(AC180:AN180)=0,"",IFERROR(AI180/AC180,""))</x:f>
      </x:c>
      <x:c r="AT180" s="44" t="str">
        <x:f>IF(COUNTA(AC180:AN180)=0,"",IFERROR(AJ180/AC180,""))</x:f>
      </x:c>
      <x:c r="AU180" s="44" t="str">
        <x:f>IF(COUNTA(AC180:AN180)=0,"",IFERROR(AK180/AJ180,""))</x:f>
      </x:c>
      <x:c r="AV180" s="44" t="str">
        <x:f>IF(COUNTA(AC180:AN180)=0,"",IFERROR((AM180+AN180)/IF(AJ180&gt;0,AJ180,IF(AD180&gt;0,AD180,AC180)),""))</x:f>
      </x:c>
      <x:c r="AW180" s="29"/>
    </x:row>
    <x:row r="181">
      <x:c r="A181" s="29"/>
      <x:c r="B181" s="41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42"/>
      <x:c r="AA181" s="29"/>
      <x:c r="AB181" s="29"/>
      <x:c r="AC181" s="43"/>
      <x:c r="AD181" s="43"/>
      <x:c r="AE181" s="43"/>
      <x:c r="AF181" s="43"/>
      <x:c r="AG181" s="43"/>
      <x:c r="AH181" s="43"/>
      <x:c r="AI181" s="43"/>
      <x:c r="AJ181" s="43"/>
      <x:c r="AK181" s="43"/>
      <x:c r="AL181" s="43"/>
      <x:c r="AM181" s="43"/>
      <x:c r="AN181" s="43"/>
      <x:c r="AO181" s="44" t="str">
        <x:f>IF(COUNTA(AC181:AN181)=0,"",IFERROR(AD181/AC181,""))</x:f>
      </x:c>
      <x:c r="AP181" s="44" t="str">
        <x:f>IF(COUNTA(AC181:AN181)=0,"",IFERROR((AF181+AG181+AH181+AI181)/AC181,""))</x:f>
      </x:c>
      <x:c r="AQ181" s="44" t="str">
        <x:f>IF(COUNTA(AC181:AN181)=0,"",IFERROR(AJ181/IF(C181="X",AC181,AD181),""))</x:f>
      </x:c>
      <x:c r="AR181" s="44" t="str">
        <x:f>IF(COUNTA(AC181:AN181)=0,"",IFERROR((AG181+AH181)/AC181,""))</x:f>
      </x:c>
      <x:c r="AS181" s="44" t="str">
        <x:f>IF(COUNTA(AC181:AN181)=0,"",IFERROR(AI181/AC181,""))</x:f>
      </x:c>
      <x:c r="AT181" s="44" t="str">
        <x:f>IF(COUNTA(AC181:AN181)=0,"",IFERROR(AJ181/AC181,""))</x:f>
      </x:c>
      <x:c r="AU181" s="44" t="str">
        <x:f>IF(COUNTA(AC181:AN181)=0,"",IFERROR(AK181/AJ181,""))</x:f>
      </x:c>
      <x:c r="AV181" s="44" t="str">
        <x:f>IF(COUNTA(AC181:AN181)=0,"",IFERROR((AM181+AN181)/IF(AJ181&gt;0,AJ181,IF(AD181&gt;0,AD181,AC181)),""))</x:f>
      </x:c>
      <x:c r="AW181" s="29"/>
    </x:row>
    <x:row r="182">
      <x:c r="A182" s="29"/>
      <x:c r="B182" s="41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42"/>
      <x:c r="AA182" s="29"/>
      <x:c r="AB182" s="29"/>
      <x:c r="AC182" s="43"/>
      <x:c r="AD182" s="43"/>
      <x:c r="AE182" s="43"/>
      <x:c r="AF182" s="43"/>
      <x:c r="AG182" s="43"/>
      <x:c r="AH182" s="43"/>
      <x:c r="AI182" s="43"/>
      <x:c r="AJ182" s="43"/>
      <x:c r="AK182" s="43"/>
      <x:c r="AL182" s="43"/>
      <x:c r="AM182" s="43"/>
      <x:c r="AN182" s="43"/>
      <x:c r="AO182" s="44" t="str">
        <x:f>IF(COUNTA(AC182:AN182)=0,"",IFERROR(AD182/AC182,""))</x:f>
      </x:c>
      <x:c r="AP182" s="44" t="str">
        <x:f>IF(COUNTA(AC182:AN182)=0,"",IFERROR((AF182+AG182+AH182+AI182)/AC182,""))</x:f>
      </x:c>
      <x:c r="AQ182" s="44" t="str">
        <x:f>IF(COUNTA(AC182:AN182)=0,"",IFERROR(AJ182/IF(C182="X",AC182,AD182),""))</x:f>
      </x:c>
      <x:c r="AR182" s="44" t="str">
        <x:f>IF(COUNTA(AC182:AN182)=0,"",IFERROR((AG182+AH182)/AC182,""))</x:f>
      </x:c>
      <x:c r="AS182" s="44" t="str">
        <x:f>IF(COUNTA(AC182:AN182)=0,"",IFERROR(AI182/AC182,""))</x:f>
      </x:c>
      <x:c r="AT182" s="44" t="str">
        <x:f>IF(COUNTA(AC182:AN182)=0,"",IFERROR(AJ182/AC182,""))</x:f>
      </x:c>
      <x:c r="AU182" s="44" t="str">
        <x:f>IF(COUNTA(AC182:AN182)=0,"",IFERROR(AK182/AJ182,""))</x:f>
      </x:c>
      <x:c r="AV182" s="44" t="str">
        <x:f>IF(COUNTA(AC182:AN182)=0,"",IFERROR((AM182+AN182)/IF(AJ182&gt;0,AJ182,IF(AD182&gt;0,AD182,AC182)),""))</x:f>
      </x:c>
      <x:c r="AW182" s="29"/>
    </x:row>
    <x:row r="183">
      <x:c r="A183" s="29"/>
      <x:c r="B183" s="41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42"/>
      <x:c r="AA183" s="29"/>
      <x:c r="AB183" s="29"/>
      <x:c r="AC183" s="43"/>
      <x:c r="AD183" s="43"/>
      <x:c r="AE183" s="43"/>
      <x:c r="AF183" s="43"/>
      <x:c r="AG183" s="43"/>
      <x:c r="AH183" s="43"/>
      <x:c r="AI183" s="43"/>
      <x:c r="AJ183" s="43"/>
      <x:c r="AK183" s="43"/>
      <x:c r="AL183" s="43"/>
      <x:c r="AM183" s="43"/>
      <x:c r="AN183" s="43"/>
      <x:c r="AO183" s="44" t="str">
        <x:f>IF(COUNTA(AC183:AN183)=0,"",IFERROR(AD183/AC183,""))</x:f>
      </x:c>
      <x:c r="AP183" s="44" t="str">
        <x:f>IF(COUNTA(AC183:AN183)=0,"",IFERROR((AF183+AG183+AH183+AI183)/AC183,""))</x:f>
      </x:c>
      <x:c r="AQ183" s="44" t="str">
        <x:f>IF(COUNTA(AC183:AN183)=0,"",IFERROR(AJ183/IF(C183="X",AC183,AD183),""))</x:f>
      </x:c>
      <x:c r="AR183" s="44" t="str">
        <x:f>IF(COUNTA(AC183:AN183)=0,"",IFERROR((AG183+AH183)/AC183,""))</x:f>
      </x:c>
      <x:c r="AS183" s="44" t="str">
        <x:f>IF(COUNTA(AC183:AN183)=0,"",IFERROR(AI183/AC183,""))</x:f>
      </x:c>
      <x:c r="AT183" s="44" t="str">
        <x:f>IF(COUNTA(AC183:AN183)=0,"",IFERROR(AJ183/AC183,""))</x:f>
      </x:c>
      <x:c r="AU183" s="44" t="str">
        <x:f>IF(COUNTA(AC183:AN183)=0,"",IFERROR(AK183/AJ183,""))</x:f>
      </x:c>
      <x:c r="AV183" s="44" t="str">
        <x:f>IF(COUNTA(AC183:AN183)=0,"",IFERROR((AM183+AN183)/IF(AJ183&gt;0,AJ183,IF(AD183&gt;0,AD183,AC183)),""))</x:f>
      </x:c>
      <x:c r="AW183" s="29"/>
    </x:row>
    <x:row r="184">
      <x:c r="A184" s="29"/>
      <x:c r="B184" s="41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42"/>
      <x:c r="AA184" s="29"/>
      <x:c r="AB184" s="29"/>
      <x:c r="AC184" s="43"/>
      <x:c r="AD184" s="43"/>
      <x:c r="AE184" s="43"/>
      <x:c r="AF184" s="43"/>
      <x:c r="AG184" s="43"/>
      <x:c r="AH184" s="43"/>
      <x:c r="AI184" s="43"/>
      <x:c r="AJ184" s="43"/>
      <x:c r="AK184" s="43"/>
      <x:c r="AL184" s="43"/>
      <x:c r="AM184" s="43"/>
      <x:c r="AN184" s="43"/>
      <x:c r="AO184" s="44" t="str">
        <x:f>IF(COUNTA(AC184:AN184)=0,"",IFERROR(AD184/AC184,""))</x:f>
      </x:c>
      <x:c r="AP184" s="44" t="str">
        <x:f>IF(COUNTA(AC184:AN184)=0,"",IFERROR((AF184+AG184+AH184+AI184)/AC184,""))</x:f>
      </x:c>
      <x:c r="AQ184" s="44" t="str">
        <x:f>IF(COUNTA(AC184:AN184)=0,"",IFERROR(AJ184/IF(C184="X",AC184,AD184),""))</x:f>
      </x:c>
      <x:c r="AR184" s="44" t="str">
        <x:f>IF(COUNTA(AC184:AN184)=0,"",IFERROR((AG184+AH184)/AC184,""))</x:f>
      </x:c>
      <x:c r="AS184" s="44" t="str">
        <x:f>IF(COUNTA(AC184:AN184)=0,"",IFERROR(AI184/AC184,""))</x:f>
      </x:c>
      <x:c r="AT184" s="44" t="str">
        <x:f>IF(COUNTA(AC184:AN184)=0,"",IFERROR(AJ184/AC184,""))</x:f>
      </x:c>
      <x:c r="AU184" s="44" t="str">
        <x:f>IF(COUNTA(AC184:AN184)=0,"",IFERROR(AK184/AJ184,""))</x:f>
      </x:c>
      <x:c r="AV184" s="44" t="str">
        <x:f>IF(COUNTA(AC184:AN184)=0,"",IFERROR((AM184+AN184)/IF(AJ184&gt;0,AJ184,IF(AD184&gt;0,AD184,AC184)),""))</x:f>
      </x:c>
      <x:c r="AW184" s="29"/>
    </x:row>
    <x:row r="185">
      <x:c r="A185" s="29"/>
      <x:c r="B185" s="41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42"/>
      <x:c r="AA185" s="29"/>
      <x:c r="AB185" s="29"/>
      <x:c r="AC185" s="43"/>
      <x:c r="AD185" s="43"/>
      <x:c r="AE185" s="43"/>
      <x:c r="AF185" s="43"/>
      <x:c r="AG185" s="43"/>
      <x:c r="AH185" s="43"/>
      <x:c r="AI185" s="43"/>
      <x:c r="AJ185" s="43"/>
      <x:c r="AK185" s="43"/>
      <x:c r="AL185" s="43"/>
      <x:c r="AM185" s="43"/>
      <x:c r="AN185" s="43"/>
      <x:c r="AO185" s="44" t="str">
        <x:f>IF(COUNTA(AC185:AN185)=0,"",IFERROR(AD185/AC185,""))</x:f>
      </x:c>
      <x:c r="AP185" s="44" t="str">
        <x:f>IF(COUNTA(AC185:AN185)=0,"",IFERROR((AF185+AG185+AH185+AI185)/AC185,""))</x:f>
      </x:c>
      <x:c r="AQ185" s="44" t="str">
        <x:f>IF(COUNTA(AC185:AN185)=0,"",IFERROR(AJ185/IF(C185="X",AC185,AD185),""))</x:f>
      </x:c>
      <x:c r="AR185" s="44" t="str">
        <x:f>IF(COUNTA(AC185:AN185)=0,"",IFERROR((AG185+AH185)/AC185,""))</x:f>
      </x:c>
      <x:c r="AS185" s="44" t="str">
        <x:f>IF(COUNTA(AC185:AN185)=0,"",IFERROR(AI185/AC185,""))</x:f>
      </x:c>
      <x:c r="AT185" s="44" t="str">
        <x:f>IF(COUNTA(AC185:AN185)=0,"",IFERROR(AJ185/AC185,""))</x:f>
      </x:c>
      <x:c r="AU185" s="44" t="str">
        <x:f>IF(COUNTA(AC185:AN185)=0,"",IFERROR(AK185/AJ185,""))</x:f>
      </x:c>
      <x:c r="AV185" s="44" t="str">
        <x:f>IF(COUNTA(AC185:AN185)=0,"",IFERROR((AM185+AN185)/IF(AJ185&gt;0,AJ185,IF(AD185&gt;0,AD185,AC185)),""))</x:f>
      </x:c>
      <x:c r="AW185" s="29"/>
    </x:row>
    <x:row r="186">
      <x:c r="A186" s="29"/>
      <x:c r="B186" s="41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42"/>
      <x:c r="AA186" s="29"/>
      <x:c r="AB186" s="29"/>
      <x:c r="AC186" s="43"/>
      <x:c r="AD186" s="43"/>
      <x:c r="AE186" s="43"/>
      <x:c r="AF186" s="43"/>
      <x:c r="AG186" s="43"/>
      <x:c r="AH186" s="43"/>
      <x:c r="AI186" s="43"/>
      <x:c r="AJ186" s="43"/>
      <x:c r="AK186" s="43"/>
      <x:c r="AL186" s="43"/>
      <x:c r="AM186" s="43"/>
      <x:c r="AN186" s="43"/>
      <x:c r="AO186" s="44" t="str">
        <x:f>IF(COUNTA(AC186:AN186)=0,"",IFERROR(AD186/AC186,""))</x:f>
      </x:c>
      <x:c r="AP186" s="44" t="str">
        <x:f>IF(COUNTA(AC186:AN186)=0,"",IFERROR((AF186+AG186+AH186+AI186)/AC186,""))</x:f>
      </x:c>
      <x:c r="AQ186" s="44" t="str">
        <x:f>IF(COUNTA(AC186:AN186)=0,"",IFERROR(AJ186/IF(C186="X",AC186,AD186),""))</x:f>
      </x:c>
      <x:c r="AR186" s="44" t="str">
        <x:f>IF(COUNTA(AC186:AN186)=0,"",IFERROR((AG186+AH186)/AC186,""))</x:f>
      </x:c>
      <x:c r="AS186" s="44" t="str">
        <x:f>IF(COUNTA(AC186:AN186)=0,"",IFERROR(AI186/AC186,""))</x:f>
      </x:c>
      <x:c r="AT186" s="44" t="str">
        <x:f>IF(COUNTA(AC186:AN186)=0,"",IFERROR(AJ186/AC186,""))</x:f>
      </x:c>
      <x:c r="AU186" s="44" t="str">
        <x:f>IF(COUNTA(AC186:AN186)=0,"",IFERROR(AK186/AJ186,""))</x:f>
      </x:c>
      <x:c r="AV186" s="44" t="str">
        <x:f>IF(COUNTA(AC186:AN186)=0,"",IFERROR((AM186+AN186)/IF(AJ186&gt;0,AJ186,IF(AD186&gt;0,AD186,AC186)),""))</x:f>
      </x:c>
      <x:c r="AW186" s="29"/>
    </x:row>
    <x:row r="187">
      <x:c r="A187" s="29"/>
      <x:c r="B187" s="41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42"/>
      <x:c r="AA187" s="29"/>
      <x:c r="AB187" s="29"/>
      <x:c r="AC187" s="43"/>
      <x:c r="AD187" s="43"/>
      <x:c r="AE187" s="43"/>
      <x:c r="AF187" s="43"/>
      <x:c r="AG187" s="43"/>
      <x:c r="AH187" s="43"/>
      <x:c r="AI187" s="43"/>
      <x:c r="AJ187" s="43"/>
      <x:c r="AK187" s="43"/>
      <x:c r="AL187" s="43"/>
      <x:c r="AM187" s="43"/>
      <x:c r="AN187" s="43"/>
      <x:c r="AO187" s="44" t="str">
        <x:f>IF(COUNTA(AC187:AN187)=0,"",IFERROR(AD187/AC187,""))</x:f>
      </x:c>
      <x:c r="AP187" s="44" t="str">
        <x:f>IF(COUNTA(AC187:AN187)=0,"",IFERROR((AF187+AG187+AH187+AI187)/AC187,""))</x:f>
      </x:c>
      <x:c r="AQ187" s="44" t="str">
        <x:f>IF(COUNTA(AC187:AN187)=0,"",IFERROR(AJ187/IF(C187="X",AC187,AD187),""))</x:f>
      </x:c>
      <x:c r="AR187" s="44" t="str">
        <x:f>IF(COUNTA(AC187:AN187)=0,"",IFERROR((AG187+AH187)/AC187,""))</x:f>
      </x:c>
      <x:c r="AS187" s="44" t="str">
        <x:f>IF(COUNTA(AC187:AN187)=0,"",IFERROR(AI187/AC187,""))</x:f>
      </x:c>
      <x:c r="AT187" s="44" t="str">
        <x:f>IF(COUNTA(AC187:AN187)=0,"",IFERROR(AJ187/AC187,""))</x:f>
      </x:c>
      <x:c r="AU187" s="44" t="str">
        <x:f>IF(COUNTA(AC187:AN187)=0,"",IFERROR(AK187/AJ187,""))</x:f>
      </x:c>
      <x:c r="AV187" s="44" t="str">
        <x:f>IF(COUNTA(AC187:AN187)=0,"",IFERROR((AM187+AN187)/IF(AJ187&gt;0,AJ187,IF(AD187&gt;0,AD187,AC187)),""))</x:f>
      </x:c>
      <x:c r="AW187" s="29"/>
    </x:row>
    <x:row r="188">
      <x:c r="A188" s="29"/>
      <x:c r="B188" s="41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42"/>
      <x:c r="AA188" s="29"/>
      <x:c r="AB188" s="29"/>
      <x:c r="AC188" s="43"/>
      <x:c r="AD188" s="43"/>
      <x:c r="AE188" s="43"/>
      <x:c r="AF188" s="43"/>
      <x:c r="AG188" s="43"/>
      <x:c r="AH188" s="43"/>
      <x:c r="AI188" s="43"/>
      <x:c r="AJ188" s="43"/>
      <x:c r="AK188" s="43"/>
      <x:c r="AL188" s="43"/>
      <x:c r="AM188" s="43"/>
      <x:c r="AN188" s="43"/>
      <x:c r="AO188" s="44" t="str">
        <x:f>IF(COUNTA(AC188:AN188)=0,"",IFERROR(AD188/AC188,""))</x:f>
      </x:c>
      <x:c r="AP188" s="44" t="str">
        <x:f>IF(COUNTA(AC188:AN188)=0,"",IFERROR((AF188+AG188+AH188+AI188)/AC188,""))</x:f>
      </x:c>
      <x:c r="AQ188" s="44" t="str">
        <x:f>IF(COUNTA(AC188:AN188)=0,"",IFERROR(AJ188/IF(C188="X",AC188,AD188),""))</x:f>
      </x:c>
      <x:c r="AR188" s="44" t="str">
        <x:f>IF(COUNTA(AC188:AN188)=0,"",IFERROR((AG188+AH188)/AC188,""))</x:f>
      </x:c>
      <x:c r="AS188" s="44" t="str">
        <x:f>IF(COUNTA(AC188:AN188)=0,"",IFERROR(AI188/AC188,""))</x:f>
      </x:c>
      <x:c r="AT188" s="44" t="str">
        <x:f>IF(COUNTA(AC188:AN188)=0,"",IFERROR(AJ188/AC188,""))</x:f>
      </x:c>
      <x:c r="AU188" s="44" t="str">
        <x:f>IF(COUNTA(AC188:AN188)=0,"",IFERROR(AK188/AJ188,""))</x:f>
      </x:c>
      <x:c r="AV188" s="44" t="str">
        <x:f>IF(COUNTA(AC188:AN188)=0,"",IFERROR((AM188+AN188)/IF(AJ188&gt;0,AJ188,IF(AD188&gt;0,AD188,AC188)),""))</x:f>
      </x:c>
      <x:c r="AW188" s="29"/>
    </x:row>
    <x:row r="189">
      <x:c r="A189" s="29"/>
      <x:c r="B189" s="41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42"/>
      <x:c r="AA189" s="29"/>
      <x:c r="AB189" s="29"/>
      <x:c r="AC189" s="43"/>
      <x:c r="AD189" s="43"/>
      <x:c r="AE189" s="43"/>
      <x:c r="AF189" s="43"/>
      <x:c r="AG189" s="43"/>
      <x:c r="AH189" s="43"/>
      <x:c r="AI189" s="43"/>
      <x:c r="AJ189" s="43"/>
      <x:c r="AK189" s="43"/>
      <x:c r="AL189" s="43"/>
      <x:c r="AM189" s="43"/>
      <x:c r="AN189" s="43"/>
      <x:c r="AO189" s="44" t="str">
        <x:f>IF(COUNTA(AC189:AN189)=0,"",IFERROR(AD189/AC189,""))</x:f>
      </x:c>
      <x:c r="AP189" s="44" t="str">
        <x:f>IF(COUNTA(AC189:AN189)=0,"",IFERROR((AF189+AG189+AH189+AI189)/AC189,""))</x:f>
      </x:c>
      <x:c r="AQ189" s="44" t="str">
        <x:f>IF(COUNTA(AC189:AN189)=0,"",IFERROR(AJ189/IF(C189="X",AC189,AD189),""))</x:f>
      </x:c>
      <x:c r="AR189" s="44" t="str">
        <x:f>IF(COUNTA(AC189:AN189)=0,"",IFERROR((AG189+AH189)/AC189,""))</x:f>
      </x:c>
      <x:c r="AS189" s="44" t="str">
        <x:f>IF(COUNTA(AC189:AN189)=0,"",IFERROR(AI189/AC189,""))</x:f>
      </x:c>
      <x:c r="AT189" s="44" t="str">
        <x:f>IF(COUNTA(AC189:AN189)=0,"",IFERROR(AJ189/AC189,""))</x:f>
      </x:c>
      <x:c r="AU189" s="44" t="str">
        <x:f>IF(COUNTA(AC189:AN189)=0,"",IFERROR(AK189/AJ189,""))</x:f>
      </x:c>
      <x:c r="AV189" s="44" t="str">
        <x:f>IF(COUNTA(AC189:AN189)=0,"",IFERROR((AM189+AN189)/IF(AJ189&gt;0,AJ189,IF(AD189&gt;0,AD189,AC189)),""))</x:f>
      </x:c>
      <x:c r="AW189" s="29"/>
    </x:row>
    <x:row r="190">
      <x:c r="A190" s="29"/>
      <x:c r="B190" s="41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42"/>
      <x:c r="AA190" s="29"/>
      <x:c r="AB190" s="29"/>
      <x:c r="AC190" s="43"/>
      <x:c r="AD190" s="43"/>
      <x:c r="AE190" s="43"/>
      <x:c r="AF190" s="43"/>
      <x:c r="AG190" s="43"/>
      <x:c r="AH190" s="43"/>
      <x:c r="AI190" s="43"/>
      <x:c r="AJ190" s="43"/>
      <x:c r="AK190" s="43"/>
      <x:c r="AL190" s="43"/>
      <x:c r="AM190" s="43"/>
      <x:c r="AN190" s="43"/>
      <x:c r="AO190" s="44" t="str">
        <x:f>IF(COUNTA(AC190:AN190)=0,"",IFERROR(AD190/AC190,""))</x:f>
      </x:c>
      <x:c r="AP190" s="44" t="str">
        <x:f>IF(COUNTA(AC190:AN190)=0,"",IFERROR((AF190+AG190+AH190+AI190)/AC190,""))</x:f>
      </x:c>
      <x:c r="AQ190" s="44" t="str">
        <x:f>IF(COUNTA(AC190:AN190)=0,"",IFERROR(AJ190/IF(C190="X",AC190,AD190),""))</x:f>
      </x:c>
      <x:c r="AR190" s="44" t="str">
        <x:f>IF(COUNTA(AC190:AN190)=0,"",IFERROR((AG190+AH190)/AC190,""))</x:f>
      </x:c>
      <x:c r="AS190" s="44" t="str">
        <x:f>IF(COUNTA(AC190:AN190)=0,"",IFERROR(AI190/AC190,""))</x:f>
      </x:c>
      <x:c r="AT190" s="44" t="str">
        <x:f>IF(COUNTA(AC190:AN190)=0,"",IFERROR(AJ190/AC190,""))</x:f>
      </x:c>
      <x:c r="AU190" s="44" t="str">
        <x:f>IF(COUNTA(AC190:AN190)=0,"",IFERROR(AK190/AJ190,""))</x:f>
      </x:c>
      <x:c r="AV190" s="44" t="str">
        <x:f>IF(COUNTA(AC190:AN190)=0,"",IFERROR((AM190+AN190)/IF(AJ190&gt;0,AJ190,IF(AD190&gt;0,AD190,AC190)),""))</x:f>
      </x:c>
      <x:c r="AW190" s="29"/>
    </x:row>
    <x:row r="191">
      <x:c r="A191" s="29"/>
      <x:c r="B191" s="41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42"/>
      <x:c r="AA191" s="29"/>
      <x:c r="AB191" s="29"/>
      <x:c r="AC191" s="43"/>
      <x:c r="AD191" s="43"/>
      <x:c r="AE191" s="43"/>
      <x:c r="AF191" s="43"/>
      <x:c r="AG191" s="43"/>
      <x:c r="AH191" s="43"/>
      <x:c r="AI191" s="43"/>
      <x:c r="AJ191" s="43"/>
      <x:c r="AK191" s="43"/>
      <x:c r="AL191" s="43"/>
      <x:c r="AM191" s="43"/>
      <x:c r="AN191" s="43"/>
      <x:c r="AO191" s="44" t="str">
        <x:f>IF(COUNTA(AC191:AN191)=0,"",IFERROR(AD191/AC191,""))</x:f>
      </x:c>
      <x:c r="AP191" s="44" t="str">
        <x:f>IF(COUNTA(AC191:AN191)=0,"",IFERROR((AF191+AG191+AH191+AI191)/AC191,""))</x:f>
      </x:c>
      <x:c r="AQ191" s="44" t="str">
        <x:f>IF(COUNTA(AC191:AN191)=0,"",IFERROR(AJ191/IF(C191="X",AC191,AD191),""))</x:f>
      </x:c>
      <x:c r="AR191" s="44" t="str">
        <x:f>IF(COUNTA(AC191:AN191)=0,"",IFERROR((AG191+AH191)/AC191,""))</x:f>
      </x:c>
      <x:c r="AS191" s="44" t="str">
        <x:f>IF(COUNTA(AC191:AN191)=0,"",IFERROR(AI191/AC191,""))</x:f>
      </x:c>
      <x:c r="AT191" s="44" t="str">
        <x:f>IF(COUNTA(AC191:AN191)=0,"",IFERROR(AJ191/AC191,""))</x:f>
      </x:c>
      <x:c r="AU191" s="44" t="str">
        <x:f>IF(COUNTA(AC191:AN191)=0,"",IFERROR(AK191/AJ191,""))</x:f>
      </x:c>
      <x:c r="AV191" s="44" t="str">
        <x:f>IF(COUNTA(AC191:AN191)=0,"",IFERROR((AM191+AN191)/IF(AJ191&gt;0,AJ191,IF(AD191&gt;0,AD191,AC191)),""))</x:f>
      </x:c>
      <x:c r="AW191" s="29"/>
    </x:row>
    <x:row r="192">
      <x:c r="A192" s="29"/>
      <x:c r="B192" s="41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42"/>
      <x:c r="AA192" s="29"/>
      <x:c r="AB192" s="29"/>
      <x:c r="AC192" s="43"/>
      <x:c r="AD192" s="43"/>
      <x:c r="AE192" s="43"/>
      <x:c r="AF192" s="43"/>
      <x:c r="AG192" s="43"/>
      <x:c r="AH192" s="43"/>
      <x:c r="AI192" s="43"/>
      <x:c r="AJ192" s="43"/>
      <x:c r="AK192" s="43"/>
      <x:c r="AL192" s="43"/>
      <x:c r="AM192" s="43"/>
      <x:c r="AN192" s="43"/>
      <x:c r="AO192" s="44" t="str">
        <x:f>IF(COUNTA(AC192:AN192)=0,"",IFERROR(AD192/AC192,""))</x:f>
      </x:c>
      <x:c r="AP192" s="44" t="str">
        <x:f>IF(COUNTA(AC192:AN192)=0,"",IFERROR((AF192+AG192+AH192+AI192)/AC192,""))</x:f>
      </x:c>
      <x:c r="AQ192" s="44" t="str">
        <x:f>IF(COUNTA(AC192:AN192)=0,"",IFERROR(AJ192/IF(C192="X",AC192,AD192),""))</x:f>
      </x:c>
      <x:c r="AR192" s="44" t="str">
        <x:f>IF(COUNTA(AC192:AN192)=0,"",IFERROR((AG192+AH192)/AC192,""))</x:f>
      </x:c>
      <x:c r="AS192" s="44" t="str">
        <x:f>IF(COUNTA(AC192:AN192)=0,"",IFERROR(AI192/AC192,""))</x:f>
      </x:c>
      <x:c r="AT192" s="44" t="str">
        <x:f>IF(COUNTA(AC192:AN192)=0,"",IFERROR(AJ192/AC192,""))</x:f>
      </x:c>
      <x:c r="AU192" s="44" t="str">
        <x:f>IF(COUNTA(AC192:AN192)=0,"",IFERROR(AK192/AJ192,""))</x:f>
      </x:c>
      <x:c r="AV192" s="44" t="str">
        <x:f>IF(COUNTA(AC192:AN192)=0,"",IFERROR((AM192+AN192)/IF(AJ192&gt;0,AJ192,IF(AD192&gt;0,AD192,AC192)),""))</x:f>
      </x:c>
      <x:c r="AW192" s="29"/>
    </x:row>
    <x:row r="193">
      <x:c r="A193" s="29"/>
      <x:c r="B193" s="41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42"/>
      <x:c r="AA193" s="29"/>
      <x:c r="AB193" s="29"/>
      <x:c r="AC193" s="43"/>
      <x:c r="AD193" s="43"/>
      <x:c r="AE193" s="43"/>
      <x:c r="AF193" s="43"/>
      <x:c r="AG193" s="43"/>
      <x:c r="AH193" s="43"/>
      <x:c r="AI193" s="43"/>
      <x:c r="AJ193" s="43"/>
      <x:c r="AK193" s="43"/>
      <x:c r="AL193" s="43"/>
      <x:c r="AM193" s="43"/>
      <x:c r="AN193" s="43"/>
      <x:c r="AO193" s="44" t="str">
        <x:f>IF(COUNTA(AC193:AN193)=0,"",IFERROR(AD193/AC193,""))</x:f>
      </x:c>
      <x:c r="AP193" s="44" t="str">
        <x:f>IF(COUNTA(AC193:AN193)=0,"",IFERROR((AF193+AG193+AH193+AI193)/AC193,""))</x:f>
      </x:c>
      <x:c r="AQ193" s="44" t="str">
        <x:f>IF(COUNTA(AC193:AN193)=0,"",IFERROR(AJ193/IF(C193="X",AC193,AD193),""))</x:f>
      </x:c>
      <x:c r="AR193" s="44" t="str">
        <x:f>IF(COUNTA(AC193:AN193)=0,"",IFERROR((AG193+AH193)/AC193,""))</x:f>
      </x:c>
      <x:c r="AS193" s="44" t="str">
        <x:f>IF(COUNTA(AC193:AN193)=0,"",IFERROR(AI193/AC193,""))</x:f>
      </x:c>
      <x:c r="AT193" s="44" t="str">
        <x:f>IF(COUNTA(AC193:AN193)=0,"",IFERROR(AJ193/AC193,""))</x:f>
      </x:c>
      <x:c r="AU193" s="44" t="str">
        <x:f>IF(COUNTA(AC193:AN193)=0,"",IFERROR(AK193/AJ193,""))</x:f>
      </x:c>
      <x:c r="AV193" s="44" t="str">
        <x:f>IF(COUNTA(AC193:AN193)=0,"",IFERROR((AM193+AN193)/IF(AJ193&gt;0,AJ193,IF(AD193&gt;0,AD193,AC193)),""))</x:f>
      </x:c>
      <x:c r="AW193" s="29"/>
    </x:row>
    <x:row r="194">
      <x:c r="A194" s="29"/>
      <x:c r="B194" s="41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42"/>
      <x:c r="AA194" s="29"/>
      <x:c r="AB194" s="29"/>
      <x:c r="AC194" s="43"/>
      <x:c r="AD194" s="43"/>
      <x:c r="AE194" s="43"/>
      <x:c r="AF194" s="43"/>
      <x:c r="AG194" s="43"/>
      <x:c r="AH194" s="43"/>
      <x:c r="AI194" s="43"/>
      <x:c r="AJ194" s="43"/>
      <x:c r="AK194" s="43"/>
      <x:c r="AL194" s="43"/>
      <x:c r="AM194" s="43"/>
      <x:c r="AN194" s="43"/>
      <x:c r="AO194" s="44" t="str">
        <x:f>IF(COUNTA(AC194:AN194)=0,"",IFERROR(AD194/AC194,""))</x:f>
      </x:c>
      <x:c r="AP194" s="44" t="str">
        <x:f>IF(COUNTA(AC194:AN194)=0,"",IFERROR((AF194+AG194+AH194+AI194)/AC194,""))</x:f>
      </x:c>
      <x:c r="AQ194" s="44" t="str">
        <x:f>IF(COUNTA(AC194:AN194)=0,"",IFERROR(AJ194/IF(C194="X",AC194,AD194),""))</x:f>
      </x:c>
      <x:c r="AR194" s="44" t="str">
        <x:f>IF(COUNTA(AC194:AN194)=0,"",IFERROR((AG194+AH194)/AC194,""))</x:f>
      </x:c>
      <x:c r="AS194" s="44" t="str">
        <x:f>IF(COUNTA(AC194:AN194)=0,"",IFERROR(AI194/AC194,""))</x:f>
      </x:c>
      <x:c r="AT194" s="44" t="str">
        <x:f>IF(COUNTA(AC194:AN194)=0,"",IFERROR(AJ194/AC194,""))</x:f>
      </x:c>
      <x:c r="AU194" s="44" t="str">
        <x:f>IF(COUNTA(AC194:AN194)=0,"",IFERROR(AK194/AJ194,""))</x:f>
      </x:c>
      <x:c r="AV194" s="44" t="str">
        <x:f>IF(COUNTA(AC194:AN194)=0,"",IFERROR((AM194+AN194)/IF(AJ194&gt;0,AJ194,IF(AD194&gt;0,AD194,AC194)),""))</x:f>
      </x:c>
      <x:c r="AW194" s="29"/>
    </x:row>
    <x:row r="195">
      <x:c r="A195" s="29"/>
      <x:c r="B195" s="41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42"/>
      <x:c r="AA195" s="29"/>
      <x:c r="AB195" s="29"/>
      <x:c r="AC195" s="43"/>
      <x:c r="AD195" s="43"/>
      <x:c r="AE195" s="43"/>
      <x:c r="AF195" s="43"/>
      <x:c r="AG195" s="43"/>
      <x:c r="AH195" s="43"/>
      <x:c r="AI195" s="43"/>
      <x:c r="AJ195" s="43"/>
      <x:c r="AK195" s="43"/>
      <x:c r="AL195" s="43"/>
      <x:c r="AM195" s="43"/>
      <x:c r="AN195" s="43"/>
      <x:c r="AO195" s="44" t="str">
        <x:f>IF(COUNTA(AC195:AN195)=0,"",IFERROR(AD195/AC195,""))</x:f>
      </x:c>
      <x:c r="AP195" s="44" t="str">
        <x:f>IF(COUNTA(AC195:AN195)=0,"",IFERROR((AF195+AG195+AH195+AI195)/AC195,""))</x:f>
      </x:c>
      <x:c r="AQ195" s="44" t="str">
        <x:f>IF(COUNTA(AC195:AN195)=0,"",IFERROR(AJ195/IF(C195="X",AC195,AD195),""))</x:f>
      </x:c>
      <x:c r="AR195" s="44" t="str">
        <x:f>IF(COUNTA(AC195:AN195)=0,"",IFERROR((AG195+AH195)/AC195,""))</x:f>
      </x:c>
      <x:c r="AS195" s="44" t="str">
        <x:f>IF(COUNTA(AC195:AN195)=0,"",IFERROR(AI195/AC195,""))</x:f>
      </x:c>
      <x:c r="AT195" s="44" t="str">
        <x:f>IF(COUNTA(AC195:AN195)=0,"",IFERROR(AJ195/AC195,""))</x:f>
      </x:c>
      <x:c r="AU195" s="44" t="str">
        <x:f>IF(COUNTA(AC195:AN195)=0,"",IFERROR(AK195/AJ195,""))</x:f>
      </x:c>
      <x:c r="AV195" s="44" t="str">
        <x:f>IF(COUNTA(AC195:AN195)=0,"",IFERROR((AM195+AN195)/IF(AJ195&gt;0,AJ195,IF(AD195&gt;0,AD195,AC195)),""))</x:f>
      </x:c>
      <x:c r="AW195" s="29"/>
    </x:row>
    <x:row r="196">
      <x:c r="A196" s="29"/>
      <x:c r="B196" s="41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42"/>
      <x:c r="AA196" s="29"/>
      <x:c r="AB196" s="29"/>
      <x:c r="AC196" s="43"/>
      <x:c r="AD196" s="43"/>
      <x:c r="AE196" s="43"/>
      <x:c r="AF196" s="43"/>
      <x:c r="AG196" s="43"/>
      <x:c r="AH196" s="43"/>
      <x:c r="AI196" s="43"/>
      <x:c r="AJ196" s="43"/>
      <x:c r="AK196" s="43"/>
      <x:c r="AL196" s="43"/>
      <x:c r="AM196" s="43"/>
      <x:c r="AN196" s="43"/>
      <x:c r="AO196" s="44" t="str">
        <x:f>IF(COUNTA(AC196:AN196)=0,"",IFERROR(AD196/AC196,""))</x:f>
      </x:c>
      <x:c r="AP196" s="44" t="str">
        <x:f>IF(COUNTA(AC196:AN196)=0,"",IFERROR((AF196+AG196+AH196+AI196)/AC196,""))</x:f>
      </x:c>
      <x:c r="AQ196" s="44" t="str">
        <x:f>IF(COUNTA(AC196:AN196)=0,"",IFERROR(AJ196/IF(C196="X",AC196,AD196),""))</x:f>
      </x:c>
      <x:c r="AR196" s="44" t="str">
        <x:f>IF(COUNTA(AC196:AN196)=0,"",IFERROR((AG196+AH196)/AC196,""))</x:f>
      </x:c>
      <x:c r="AS196" s="44" t="str">
        <x:f>IF(COUNTA(AC196:AN196)=0,"",IFERROR(AI196/AC196,""))</x:f>
      </x:c>
      <x:c r="AT196" s="44" t="str">
        <x:f>IF(COUNTA(AC196:AN196)=0,"",IFERROR(AJ196/AC196,""))</x:f>
      </x:c>
      <x:c r="AU196" s="44" t="str">
        <x:f>IF(COUNTA(AC196:AN196)=0,"",IFERROR(AK196/AJ196,""))</x:f>
      </x:c>
      <x:c r="AV196" s="44" t="str">
        <x:f>IF(COUNTA(AC196:AN196)=0,"",IFERROR((AM196+AN196)/IF(AJ196&gt;0,AJ196,IF(AD196&gt;0,AD196,AC196)),""))</x:f>
      </x:c>
      <x:c r="AW196" s="29"/>
    </x:row>
    <x:row r="197">
      <x:c r="A197" s="29"/>
      <x:c r="B197" s="41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42"/>
      <x:c r="AA197" s="29"/>
      <x:c r="AB197" s="29"/>
      <x:c r="AC197" s="43"/>
      <x:c r="AD197" s="43"/>
      <x:c r="AE197" s="43"/>
      <x:c r="AF197" s="43"/>
      <x:c r="AG197" s="43"/>
      <x:c r="AH197" s="43"/>
      <x:c r="AI197" s="43"/>
      <x:c r="AJ197" s="43"/>
      <x:c r="AK197" s="43"/>
      <x:c r="AL197" s="43"/>
      <x:c r="AM197" s="43"/>
      <x:c r="AN197" s="43"/>
      <x:c r="AO197" s="44" t="str">
        <x:f>IF(COUNTA(AC197:AN197)=0,"",IFERROR(AD197/AC197,""))</x:f>
      </x:c>
      <x:c r="AP197" s="44" t="str">
        <x:f>IF(COUNTA(AC197:AN197)=0,"",IFERROR((AF197+AG197+AH197+AI197)/AC197,""))</x:f>
      </x:c>
      <x:c r="AQ197" s="44" t="str">
        <x:f>IF(COUNTA(AC197:AN197)=0,"",IFERROR(AJ197/IF(C197="X",AC197,AD197),""))</x:f>
      </x:c>
      <x:c r="AR197" s="44" t="str">
        <x:f>IF(COUNTA(AC197:AN197)=0,"",IFERROR((AG197+AH197)/AC197,""))</x:f>
      </x:c>
      <x:c r="AS197" s="44" t="str">
        <x:f>IF(COUNTA(AC197:AN197)=0,"",IFERROR(AI197/AC197,""))</x:f>
      </x:c>
      <x:c r="AT197" s="44" t="str">
        <x:f>IF(COUNTA(AC197:AN197)=0,"",IFERROR(AJ197/AC197,""))</x:f>
      </x:c>
      <x:c r="AU197" s="44" t="str">
        <x:f>IF(COUNTA(AC197:AN197)=0,"",IFERROR(AK197/AJ197,""))</x:f>
      </x:c>
      <x:c r="AV197" s="44" t="str">
        <x:f>IF(COUNTA(AC197:AN197)=0,"",IFERROR((AM197+AN197)/IF(AJ197&gt;0,AJ197,IF(AD197&gt;0,AD197,AC197)),""))</x:f>
      </x:c>
      <x:c r="AW197" s="29"/>
    </x:row>
    <x:row r="198">
      <x:c r="A198" s="29"/>
      <x:c r="B198" s="41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42"/>
      <x:c r="AA198" s="29"/>
      <x:c r="AB198" s="29"/>
      <x:c r="AC198" s="43"/>
      <x:c r="AD198" s="43"/>
      <x:c r="AE198" s="43"/>
      <x:c r="AF198" s="43"/>
      <x:c r="AG198" s="43"/>
      <x:c r="AH198" s="43"/>
      <x:c r="AI198" s="43"/>
      <x:c r="AJ198" s="43"/>
      <x:c r="AK198" s="43"/>
      <x:c r="AL198" s="43"/>
      <x:c r="AM198" s="43"/>
      <x:c r="AN198" s="43"/>
      <x:c r="AO198" s="44" t="str">
        <x:f>IF(COUNTA(AC198:AN198)=0,"",IFERROR(AD198/AC198,""))</x:f>
      </x:c>
      <x:c r="AP198" s="44" t="str">
        <x:f>IF(COUNTA(AC198:AN198)=0,"",IFERROR((AF198+AG198+AH198+AI198)/AC198,""))</x:f>
      </x:c>
      <x:c r="AQ198" s="44" t="str">
        <x:f>IF(COUNTA(AC198:AN198)=0,"",IFERROR(AJ198/IF(C198="X",AC198,AD198),""))</x:f>
      </x:c>
      <x:c r="AR198" s="44" t="str">
        <x:f>IF(COUNTA(AC198:AN198)=0,"",IFERROR((AG198+AH198)/AC198,""))</x:f>
      </x:c>
      <x:c r="AS198" s="44" t="str">
        <x:f>IF(COUNTA(AC198:AN198)=0,"",IFERROR(AI198/AC198,""))</x:f>
      </x:c>
      <x:c r="AT198" s="44" t="str">
        <x:f>IF(COUNTA(AC198:AN198)=0,"",IFERROR(AJ198/AC198,""))</x:f>
      </x:c>
      <x:c r="AU198" s="44" t="str">
        <x:f>IF(COUNTA(AC198:AN198)=0,"",IFERROR(AK198/AJ198,""))</x:f>
      </x:c>
      <x:c r="AV198" s="44" t="str">
        <x:f>IF(COUNTA(AC198:AN198)=0,"",IFERROR((AM198+AN198)/IF(AJ198&gt;0,AJ198,IF(AD198&gt;0,AD198,AC198)),""))</x:f>
      </x:c>
      <x:c r="AW198" s="29"/>
    </x:row>
    <x:row r="199">
      <x:c r="A199" s="29"/>
      <x:c r="B199" s="41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42"/>
      <x:c r="AA199" s="29"/>
      <x:c r="AB199" s="29"/>
      <x:c r="AC199" s="43"/>
      <x:c r="AD199" s="43"/>
      <x:c r="AE199" s="43"/>
      <x:c r="AF199" s="43"/>
      <x:c r="AG199" s="43"/>
      <x:c r="AH199" s="43"/>
      <x:c r="AI199" s="43"/>
      <x:c r="AJ199" s="43"/>
      <x:c r="AK199" s="43"/>
      <x:c r="AL199" s="43"/>
      <x:c r="AM199" s="43"/>
      <x:c r="AN199" s="43"/>
      <x:c r="AO199" s="44" t="str">
        <x:f>IF(COUNTA(AC199:AN199)=0,"",IFERROR(AD199/AC199,""))</x:f>
      </x:c>
      <x:c r="AP199" s="44" t="str">
        <x:f>IF(COUNTA(AC199:AN199)=0,"",IFERROR((AF199+AG199+AH199+AI199)/AC199,""))</x:f>
      </x:c>
      <x:c r="AQ199" s="44" t="str">
        <x:f>IF(COUNTA(AC199:AN199)=0,"",IFERROR(AJ199/IF(C199="X",AC199,AD199),""))</x:f>
      </x:c>
      <x:c r="AR199" s="44" t="str">
        <x:f>IF(COUNTA(AC199:AN199)=0,"",IFERROR((AG199+AH199)/AC199,""))</x:f>
      </x:c>
      <x:c r="AS199" s="44" t="str">
        <x:f>IF(COUNTA(AC199:AN199)=0,"",IFERROR(AI199/AC199,""))</x:f>
      </x:c>
      <x:c r="AT199" s="44" t="str">
        <x:f>IF(COUNTA(AC199:AN199)=0,"",IFERROR(AJ199/AC199,""))</x:f>
      </x:c>
      <x:c r="AU199" s="44" t="str">
        <x:f>IF(COUNTA(AC199:AN199)=0,"",IFERROR(AK199/AJ199,""))</x:f>
      </x:c>
      <x:c r="AV199" s="44" t="str">
        <x:f>IF(COUNTA(AC199:AN199)=0,"",IFERROR((AM199+AN199)/IF(AJ199&gt;0,AJ199,IF(AD199&gt;0,AD199,AC199)),""))</x:f>
      </x:c>
      <x:c r="AW199" s="29"/>
    </x:row>
    <x:row r="200">
      <x:c r="A200" s="29"/>
      <x:c r="B200" s="41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42"/>
      <x:c r="AA200" s="29"/>
      <x:c r="AB200" s="29"/>
      <x:c r="AC200" s="43"/>
      <x:c r="AD200" s="43"/>
      <x:c r="AE200" s="43"/>
      <x:c r="AF200" s="43"/>
      <x:c r="AG200" s="43"/>
      <x:c r="AH200" s="43"/>
      <x:c r="AI200" s="43"/>
      <x:c r="AJ200" s="43"/>
      <x:c r="AK200" s="43"/>
      <x:c r="AL200" s="43"/>
      <x:c r="AM200" s="43"/>
      <x:c r="AN200" s="43"/>
      <x:c r="AO200" s="44" t="str">
        <x:f>IF(COUNTA(AC200:AN200)=0,"",IFERROR(AD200/AC200,""))</x:f>
      </x:c>
      <x:c r="AP200" s="44" t="str">
        <x:f>IF(COUNTA(AC200:AN200)=0,"",IFERROR((AF200+AG200+AH200+AI200)/AC200,""))</x:f>
      </x:c>
      <x:c r="AQ200" s="44" t="str">
        <x:f>IF(COUNTA(AC200:AN200)=0,"",IFERROR(AJ200/IF(C200="X",AC200,AD200),""))</x:f>
      </x:c>
      <x:c r="AR200" s="44" t="str">
        <x:f>IF(COUNTA(AC200:AN200)=0,"",IFERROR((AG200+AH200)/AC200,""))</x:f>
      </x:c>
      <x:c r="AS200" s="44" t="str">
        <x:f>IF(COUNTA(AC200:AN200)=0,"",IFERROR(AI200/AC200,""))</x:f>
      </x:c>
      <x:c r="AT200" s="44" t="str">
        <x:f>IF(COUNTA(AC200:AN200)=0,"",IFERROR(AJ200/AC200,""))</x:f>
      </x:c>
      <x:c r="AU200" s="44" t="str">
        <x:f>IF(COUNTA(AC200:AN200)=0,"",IFERROR(AK200/AJ200,""))</x:f>
      </x:c>
      <x:c r="AV200" s="44" t="str">
        <x:f>IF(COUNTA(AC200:AN200)=0,"",IFERROR((AM200+AN200)/IF(AJ200&gt;0,AJ200,IF(AD200&gt;0,AD200,AC200)),""))</x:f>
      </x:c>
      <x:c r="AW200" s="29"/>
    </x:row>
    <x:row r="201">
      <x:c r="A201" s="29"/>
      <x:c r="B201" s="41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42"/>
      <x:c r="AA201" s="29"/>
      <x:c r="AB201" s="29"/>
      <x:c r="AC201" s="43"/>
      <x:c r="AD201" s="43"/>
      <x:c r="AE201" s="43"/>
      <x:c r="AF201" s="43"/>
      <x:c r="AG201" s="43"/>
      <x:c r="AH201" s="43"/>
      <x:c r="AI201" s="43"/>
      <x:c r="AJ201" s="43"/>
      <x:c r="AK201" s="43"/>
      <x:c r="AL201" s="43"/>
      <x:c r="AM201" s="43"/>
      <x:c r="AN201" s="43"/>
      <x:c r="AO201" s="44" t="str">
        <x:f>IF(COUNTA(AC201:AN201)=0,"",IFERROR(AD201/AC201,""))</x:f>
      </x:c>
      <x:c r="AP201" s="44" t="str">
        <x:f>IF(COUNTA(AC201:AN201)=0,"",IFERROR((AF201+AG201+AH201+AI201)/AC201,""))</x:f>
      </x:c>
      <x:c r="AQ201" s="44" t="str">
        <x:f>IF(COUNTA(AC201:AN201)=0,"",IFERROR(AJ201/IF(C201="X",AC201,AD201),""))</x:f>
      </x:c>
      <x:c r="AR201" s="44" t="str">
        <x:f>IF(COUNTA(AC201:AN201)=0,"",IFERROR((AG201+AH201)/AC201,""))</x:f>
      </x:c>
      <x:c r="AS201" s="44" t="str">
        <x:f>IF(COUNTA(AC201:AN201)=0,"",IFERROR(AI201/AC201,""))</x:f>
      </x:c>
      <x:c r="AT201" s="44" t="str">
        <x:f>IF(COUNTA(AC201:AN201)=0,"",IFERROR(AJ201/AC201,""))</x:f>
      </x:c>
      <x:c r="AU201" s="44" t="str">
        <x:f>IF(COUNTA(AC201:AN201)=0,"",IFERROR(AK201/AJ201,""))</x:f>
      </x:c>
      <x:c r="AV201" s="44" t="str">
        <x:f>IF(COUNTA(AC201:AN201)=0,"",IFERROR((AM201+AN201)/IF(AJ201&gt;0,AJ201,IF(AD201&gt;0,AD201,AC201)),""))</x:f>
      </x:c>
      <x:c r="AW201" s="29"/>
    </x:row>
  </x:sheetData>
  <x:conditionalFormatting sqref="AA2:AA201">
    <x:cfRule type="containsText" dxfId="0" priority="1" operator="containsText" text="完整"/>
    <x:cfRule type="containsText" dxfId="1" priority="2" operator="containsText" text="异常"/>
    <x:cfRule type="containsText" dxfId="2" priority="3" operator="containsText" text="不可归因"/>
  </x:conditionalFormatting>
  <x:dataValidations count="11">
    <x:dataValidation type="list" sqref="C2:C201">
      <x:formula1>"小红书,X"</x:formula1>
    </x:dataValidation>
    <x:dataValidation type="list" sqref="E2:E201">
      <x:formula1>"single_post,thread,carousel,video"</x:formula1>
    </x:dataValidation>
    <x:dataValidation type="list" sqref="F2:F201">
      <x:formula1>"主线,桥接,副线"</x:formula1>
    </x:dataValidation>
    <x:dataValidation type="list" sqref="H2:H201">
      <x:formula1>"问题未知,问题已知,方案已知,产品已知"</x:formula1>
    </x:dataValidation>
    <x:dataValidation type="list" sqref="I2:I201">
      <x:formula1>"认知,收藏/留存,精准互动,站外访问,产品意向"</x:formula1>
    </x:dataValidation>
    <x:dataValidation type="list" sqref="N2:N201">
      <x:formula1>"S1,S2,S3,S4,S5,S6,S7"</x:formula1>
    </x:dataValidation>
    <x:dataValidation type="list" sqref="O2:O201">
      <x:formula1>"C1,C2,C3,C4,C5"</x:formula1>
    </x:dataValidation>
    <x:dataValidation type="list" sqref="P2:P201">
      <x:formula1>"H1,H2,H3,H4,H5,H6,H7"</x:formula1>
    </x:dataValidation>
    <x:dataValidation type="list" sqref="Q2:Q201">
      <x:formula1>"A1,A2,A3,A4,A5"</x:formula1>
    </x:dataValidation>
    <x:dataValidation type="list" sqref="R2:R201">
      <x:formula1>"V1,V2,V3"</x:formula1>
    </x:dataValidation>
    <x:dataValidation type="list" sqref="AA2:AA201">
      <x:formula1>"计划中,已发布,待补数据,完整,异常,不可归因"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32" hidden="0" customWidth="1"/>
  </x:cols>
  <x:sheetData>
    <x:row r="1" ht="38" customHeight="1">
      <x:c r="A1" s="3" t="str">
        <x:v>Metric Map</x:v>
      </x:c>
    </x:row>
    <x:row r="2" ht="36" customHeight="1">
      <x:c r="A2" s="7" t="str">
        <x:v>同名指标在不同平台可能有不同定义。只在同平台、同账号和同目标内比较。</x:v>
      </x:c>
      <x:c r="B2" s="7" t="str">
        <x:v>同名指标在不同平台可能有不同定义。只在同平台、同账号和同目标内比较。</x:v>
      </x:c>
      <x:c r="C2" s="7" t="str">
        <x:v>同名指标在不同平台可能有不同定义。只在同平台、同账号和同目标内比较。</x:v>
      </x:c>
      <x:c r="D2" s="7" t="str">
        <x:v>同名指标在不同平台可能有不同定义。只在同平台、同账号和同目标内比较。</x:v>
      </x:c>
      <x:c r="E2" s="7" t="str">
        <x:v>同名指标在不同平台可能有不同定义。只在同平台、同账号和同目标内比较。</x:v>
      </x:c>
      <x:c r="F2" s="7" t="str">
        <x:v>同名指标在不同平台可能有不同定义。只在同平台、同账号和同目标内比较。</x:v>
      </x:c>
      <x:c r="G2" s="7" t="str">
        <x:v>同名指标在不同平台可能有不同定义。只在同平台、同账号和同目标内比较。</x:v>
      </x:c>
      <x:c r="H2" s="7" t="str">
        <x:v>同名指标在不同平台可能有不同定义。只在同平台、同账号和同目标内比较。</x:v>
      </x:c>
    </x:row>
    <x:row r="4" ht="34" customHeight="1">
      <x:c r="A4" s="13" t="str">
        <x:v>平台</x:v>
      </x:c>
      <x:c r="B4" s="28" t="str">
        <x:v>首要格式</x:v>
      </x:c>
      <x:c r="C4" s="28" t="str">
        <x:v>认知</x:v>
      </x:c>
      <x:c r="D4" s="28" t="str">
        <x:v>收藏/留存</x:v>
      </x:c>
      <x:c r="E4" s="28" t="str">
        <x:v>精准互动</x:v>
      </x:c>
      <x:c r="F4" s="28" t="str">
        <x:v>站外访问</x:v>
      </x:c>
      <x:c r="G4" s="28" t="str">
        <x:v>产品意向</x:v>
      </x:c>
      <x:c r="H4" s="14" t="str">
        <x:v>备注</x:v>
      </x:c>
    </x:row>
    <x:row r="5">
      <x:c r="A5" s="21" t="str">
        <x:v>小红书</x:v>
      </x:c>
      <x:c r="B5" s="21" t="str">
        <x:v>3:4 卡片</x:v>
      </x:c>
      <x:c r="C5" s="21" t="str">
        <x:v>曝光 + 阅读率</x:v>
      </x:c>
      <x:c r="D5" s="21" t="str">
        <x:v>收藏 / 阅读</x:v>
      </x:c>
      <x:c r="E5" s="21" t="str">
        <x:v>评论 / 阅读</x:v>
      </x:c>
      <x:c r="F5" s="21" t="str">
        <x:v>链接按平台可见口径</x:v>
      </x:c>
      <x:c r="G5" s="21" t="str">
        <x:v>问题/试用意向</x:v>
      </x:c>
      <x:c r="H5" s="21" t="str">
        <x:v>平台无字段留空</x:v>
      </x:c>
    </x:row>
    <x:row r="6">
      <x:c r="A6" s="21" t="str">
        <x:v>X</x:v>
      </x:c>
      <x:c r="B6" s="21" t="str">
        <x:v>单帖/线程 + 单图</x:v>
      </x:c>
      <x:c r="C6" s="21" t="str">
        <x:v>曝光 + 互动率</x:v>
      </x:c>
      <x:c r="D6" s="21" t="str">
        <x:v>书签 / 曝光</x:v>
      </x:c>
      <x:c r="E6" s="21" t="str">
        <x:v>(回复+转发)/曝光</x:v>
      </x:c>
      <x:c r="F6" s="21" t="str">
        <x:v>点击 / 曝光</x:v>
      </x:c>
      <x:c r="G6" s="21" t="str">
        <x:v>问题/试用意向</x:v>
      </x:c>
      <x:c r="H6" s="21" t="str">
        <x:v>未确认 Premium 时按 280 字主版</x:v>
      </x:c>
    </x:row>
    <x:row r="7">
      <x:c r="A7" s="21" t="str">
        <x:v>跨平台规则</x:v>
      </x:c>
      <x:c r="B7" s="21" t="str">
        <x:v>内容核心可共用</x:v>
      </x:c>
      <x:c r="C7" s="21" t="str">
        <x:v>不比较绝对值</x:v>
      </x:c>
      <x:c r="D7" s="21" t="str">
        <x:v>不比较绝对值</x:v>
      </x:c>
      <x:c r="E7" s="21" t="str">
        <x:v>不比较绝对值</x:v>
      </x:c>
      <x:c r="F7" s="21" t="str">
        <x:v>不比较绝对值</x:v>
      </x:c>
      <x:c r="G7" s="21" t="str">
        <x:v>不比较绝对值</x:v>
      </x:c>
      <x:c r="H7" s="21" t="str">
        <x:v>每个平台独立 post ID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42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8" customHeight="1">
      <x:c r="A1" s="3" t="str">
        <x:v>Template Library</x:v>
      </x:c>
    </x:row>
    <x:row r="2" ht="36" customHeight="1">
      <x:c r="A2" s="7" t="str">
        <x:v>S=内容，C=视觉，H=钩子，A=CTA；ID 跨平台复用，尺寸由平台适配器决定。</x:v>
      </x:c>
      <x:c r="B2" s="7" t="str">
        <x:v>S=内容，C=视觉，H=钩子，A=CTA；ID 跨平台复用，尺寸由平台适配器决定。</x:v>
      </x:c>
      <x:c r="C2" s="7" t="str">
        <x:v>S=内容，C=视觉，H=钩子，A=CTA；ID 跨平台复用，尺寸由平台适配器决定。</x:v>
      </x:c>
      <x:c r="D2" s="7" t="str">
        <x:v>S=内容，C=视觉，H=钩子，A=CTA；ID 跨平台复用，尺寸由平台适配器决定。</x:v>
      </x:c>
      <x:c r="E2" s="7" t="str">
        <x:v>S=内容，C=视觉，H=钩子，A=CTA；ID 跨平台复用，尺寸由平台适配器决定。</x:v>
      </x:c>
      <x:c r="F2" s="7" t="str">
        <x:v>S=内容，C=视觉，H=钩子，A=CTA；ID 跨平台复用，尺寸由平台适配器决定。</x:v>
      </x:c>
    </x:row>
    <x:row r="4" ht="34" customHeight="1">
      <x:c r="A4" s="13" t="str">
        <x:v>内容 ID</x:v>
      </x:c>
      <x:c r="B4" s="28" t="str">
        <x:v>名称</x:v>
      </x:c>
      <x:c r="C4" s="28" t="str">
        <x:v>结构</x:v>
      </x:c>
      <x:c r="D4" s="28" t="str">
        <x:v>优先平台</x:v>
      </x:c>
      <x:c r="E4" s="28" t="str">
        <x:v>目标</x:v>
      </x:c>
      <x:c r="F4" s="14" t="str">
        <x:v>风险</x:v>
      </x:c>
    </x:row>
    <x:row r="5">
      <x:c r="A5" s="21" t="str">
        <x:v>S1</x:v>
      </x:c>
      <x:c r="B5" s="21" t="str">
        <x:v>横向实测</x:v>
      </x:c>
      <x:c r="C5" s="21" t="str">
        <x:v>同题输入 → 标准 → 对比 → 取舍</x:v>
      </x:c>
      <x:c r="D5" s="21" t="str">
        <x:v>小红书/X</x:v>
      </x:c>
      <x:c r="E5" s="21" t="str">
        <x:v>认知/收藏</x:v>
      </x:c>
      <x:c r="F5" s="21" t="str">
        <x:v>标准不一致</x:v>
      </x:c>
    </x:row>
    <x:row r="6">
      <x:c r="A6" s="21" t="str">
        <x:v>S2</x:v>
      </x:c>
      <x:c r="B6" s="21" t="str">
        <x:v>可复制清单</x:v>
      </x:c>
      <x:c r="C6" s="21" t="str">
        <x:v>痛点 → 步骤 → 清单 → CTA</x:v>
      </x:c>
      <x:c r="D6" s="21" t="str">
        <x:v>小红书/X线程</x:v>
      </x:c>
      <x:c r="E6" s="21" t="str">
        <x:v>收藏</x:v>
      </x:c>
      <x:c r="F6" s="21" t="str">
        <x:v>像课件</x:v>
      </x:c>
    </x:row>
    <x:row r="7">
      <x:c r="A7" s="21" t="str">
        <x:v>S3</x:v>
      </x:c>
      <x:c r="B7" s="21" t="str">
        <x:v>前后诊断</x:v>
      </x:c>
      <x:c r="C7" s="21" t="str">
        <x:v>错例 → 原因 → 改后 → 检查表</x:v>
      </x:c>
      <x:c r="D7" s="21" t="str">
        <x:v>全平台</x:v>
      </x:c>
      <x:c r="E7" s="21" t="str">
        <x:v>收藏/讨论</x:v>
      </x:c>
      <x:c r="F7" s="21" t="str">
        <x:v>对比不真实</x:v>
      </x:c>
    </x:row>
    <x:row r="8">
      <x:c r="A8" s="21" t="str">
        <x:v>S4</x:v>
      </x:c>
      <x:c r="B8" s="21" t="str">
        <x:v>产品实验日记</x:v>
      </x:c>
      <x:c r="C8" s="21" t="str">
        <x:v>任务 → ARTi 输入 → 证据 → 优缺点</x:v>
      </x:c>
      <x:c r="D8" s="21" t="str">
        <x:v>全平台</x:v>
      </x:c>
      <x:c r="E8" s="21" t="str">
        <x:v>产品意向</x:v>
      </x:c>
      <x:c r="F8" s="21" t="str">
        <x:v>只夸产品</x:v>
      </x:c>
    </x:row>
    <x:row r="9">
      <x:c r="A9" s="21" t="str">
        <x:v>S5</x:v>
      </x:c>
      <x:c r="B9" s="21" t="str">
        <x:v>评论区共创</x:v>
      </x:c>
      <x:c r="C9" s="21" t="str">
        <x:v>问题 → 实测 → 回应 → 征集</x:v>
      </x:c>
      <x:c r="D9" s="21" t="str">
        <x:v>小红书/X</x:v>
      </x:c>
      <x:c r="E9" s="21" t="str">
        <x:v>精准互动</x:v>
      </x:c>
      <x:c r="F9" s="21" t="str">
        <x:v>伪造评论</x:v>
      </x:c>
    </x:row>
    <x:row r="10">
      <x:c r="A10" s="21" t="str">
        <x:v>S6</x:v>
      </x:c>
      <x:c r="B10" s="21" t="str">
        <x:v>单点观察</x:v>
      </x:c>
      <x:c r="C10" s="21" t="str">
        <x:v>判断 → 证据 → 含义 → 问题</x:v>
      </x:c>
      <x:c r="D10" s="21" t="str">
        <x:v>X</x:v>
      </x:c>
      <x:c r="E10" s="21" t="str">
        <x:v>认知/讨论</x:v>
      </x:c>
      <x:c r="F10" s="21" t="str">
        <x:v>只剩观点</x:v>
      </x:c>
    </x:row>
    <x:row r="11">
      <x:c r="A11" s="21" t="str">
        <x:v>S7</x:v>
      </x:c>
      <x:c r="B11" s="21" t="str">
        <x:v>产品证明</x:v>
      </x:c>
      <x:c r="C11" s="21" t="str">
        <x:v>问题 → UI/结果 → 解释 → 动作</x:v>
      </x:c>
      <x:c r="D11" s="21" t="str">
        <x:v>全平台</x:v>
      </x:c>
      <x:c r="E11" s="21" t="str">
        <x:v>访问/意向</x:v>
      </x:c>
      <x:c r="F11" s="21" t="str">
        <x:v>只展示功能</x:v>
      </x:c>
    </x:row>
    <x:row r="12">
      <x:c r="A12" s="21"/>
      <x:c r="B12" s="21"/>
      <x:c r="C12" s="21"/>
      <x:c r="D12" s="21"/>
      <x:c r="E12" s="21"/>
      <x:c r="F12" s="21"/>
    </x:row>
    <x:row r="13">
      <x:c r="A13" s="21"/>
      <x:c r="B13" s="21"/>
      <x:c r="C13" s="21"/>
      <x:c r="D13" s="21"/>
      <x:c r="E13" s="21"/>
      <x:c r="F13" s="21"/>
    </x:row>
    <x:row r="14" ht="34" customHeight="1">
      <x:c r="A14" s="13" t="str">
        <x:v>视觉 ID</x:v>
      </x:c>
      <x:c r="B14" s="28" t="str">
        <x:v>名称</x:v>
      </x:c>
      <x:c r="C14" s="28" t="str">
        <x:v>结构</x:v>
      </x:c>
      <x:c r="D14" s="28" t="str">
        <x:v>优先平台</x:v>
      </x:c>
      <x:c r="E14" s="28" t="str">
        <x:v>适用</x:v>
      </x:c>
      <x:c r="F14" s="14" t="str">
        <x:v>风险</x:v>
      </x:c>
    </x:row>
    <x:row r="15">
      <x:c r="A15" s="21" t="str">
        <x:v>C1</x:v>
      </x:c>
      <x:c r="B15" s="21" t="str">
        <x:v>结论档案</x:v>
      </x:c>
      <x:c r="C15" s="21" t="str">
        <x:v>大标题 + 行动钩子 + 编号</x:v>
      </x:c>
      <x:c r="D15" s="21" t="str">
        <x:v>小红书</x:v>
      </x:c>
      <x:c r="E15" s="21" t="str">
        <x:v>清单/诊断</x:v>
      </x:c>
      <x:c r="F15" s="21" t="str">
        <x:v>信息过多</x:v>
      </x:c>
    </x:row>
    <x:row r="16">
      <x:c r="A16" s="21" t="str">
        <x:v>C2</x:v>
      </x:c>
      <x:c r="B16" s="21" t="str">
        <x:v>对比矩阵</x:v>
      </x:c>
      <x:c r="C16" s="21" t="str">
        <x:v>对象 + 标准 + 差异</x:v>
      </x:c>
      <x:c r="D16" s="21" t="str">
        <x:v>小红书/X</x:v>
      </x:c>
      <x:c r="E16" s="21" t="str">
        <x:v>横评</x:v>
      </x:c>
      <x:c r="F16" s="21" t="str">
        <x:v>主结论弱</x:v>
      </x:c>
    </x:row>
    <x:row r="17">
      <x:c r="A17" s="21" t="str">
        <x:v>C3</x:v>
      </x:c>
      <x:c r="B17" s="21" t="str">
        <x:v>证据卡</x:v>
      </x:c>
      <x:c r="C17" s="21" t="str">
        <x:v>截图/数据 + 结论 + 来源</x:v>
      </x:c>
      <x:c r="D17" s="21" t="str">
        <x:v>全平台</x:v>
      </x:c>
      <x:c r="E17" s="21" t="str">
        <x:v>实测/共创</x:v>
      </x:c>
      <x:c r="F17" s="21" t="str">
        <x:v>证据太小</x:v>
      </x:c>
    </x:row>
    <x:row r="18">
      <x:c r="A18" s="21" t="str">
        <x:v>C4</x:v>
      </x:c>
      <x:c r="B18" s="21" t="str">
        <x:v>UI 特写</x:v>
      </x:c>
      <x:c r="C18" s="21" t="str">
        <x:v>界面局部 + 标注 + 解释</x:v>
      </x:c>
      <x:c r="D18" s="21" t="str">
        <x:v>X/全平台</x:v>
      </x:c>
      <x:c r="E18" s="21" t="str">
        <x:v>产品证明</x:v>
      </x:c>
      <x:c r="F18" s="21" t="str">
        <x:v>只讲功能</x:v>
      </x:c>
    </x:row>
    <x:row r="19">
      <x:c r="A19" s="21" t="str">
        <x:v>C5</x:v>
      </x:c>
      <x:c r="B19" s="21" t="str">
        <x:v>观点卡</x:v>
      </x:c>
      <x:c r="C19" s="21" t="str">
        <x:v>一句判断 + 小型证据</x:v>
      </x:c>
      <x:c r="D19" s="21" t="str">
        <x:v>X</x:v>
      </x:c>
      <x:c r="E19" s="21" t="str">
        <x:v>单点观察</x:v>
      </x:c>
      <x:c r="F19" s="21" t="str">
        <x:v>口号化</x:v>
      </x:c>
    </x:row>
    <x:row r="20">
      <x:c r="A20" s="21"/>
      <x:c r="B20" s="21"/>
      <x:c r="C20" s="21"/>
      <x:c r="D20" s="21"/>
      <x:c r="E20" s="21"/>
      <x:c r="F20" s="21"/>
    </x:row>
    <x:row r="21">
      <x:c r="A21" s="21"/>
      <x:c r="B21" s="21"/>
      <x:c r="C21" s="21"/>
      <x:c r="D21" s="21"/>
      <x:c r="E21" s="21"/>
      <x:c r="F21" s="21"/>
    </x:row>
    <x:row r="22" ht="34" customHeight="1">
      <x:c r="A22" s="13" t="str">
        <x:v>钩子 ID</x:v>
      </x:c>
      <x:c r="B22" s="28" t="str">
        <x:v>名称</x:v>
      </x:c>
      <x:c r="C22" s="28" t="str">
        <x:v>公式</x:v>
      </x:c>
      <x:c r="D22" s="14" t="str">
        <x:v>作用</x:v>
      </x:c>
      <x:c r="E22" s="21"/>
      <x:c r="F22" s="21"/>
    </x:row>
    <x:row r="23">
      <x:c r="A23" s="21" t="str">
        <x:v>H1</x:v>
      </x:c>
      <x:c r="B23" s="21" t="str">
        <x:v>身份冲突</x:v>
      </x:c>
      <x:c r="C23" s="21" t="str">
        <x:v>我是/我不懂 X，但只做 Y</x:v>
      </x:c>
      <x:c r="D23" s="21" t="str">
        <x:v>代入</x:v>
      </x:c>
      <x:c r="E23" s="21"/>
      <x:c r="F23" s="21"/>
    </x:row>
    <x:row r="24">
      <x:c r="A24" s="21" t="str">
        <x:v>H2</x:v>
      </x:c>
      <x:c r="B24" s="21" t="str">
        <x:v>数字清单</x:v>
      </x:c>
      <x:c r="C24" s="21" t="str">
        <x:v>痛点 + N 件事</x:v>
      </x:c>
      <x:c r="D24" s="21" t="str">
        <x:v>保存</x:v>
      </x:c>
      <x:c r="E24" s="21"/>
      <x:c r="F24" s="21"/>
    </x:row>
    <x:row r="25">
      <x:c r="A25" s="21" t="str">
        <x:v>H3</x:v>
      </x:c>
      <x:c r="B25" s="21" t="str">
        <x:v>前后差异</x:v>
      </x:c>
      <x:c r="C25" s="21" t="str">
        <x:v>同一任务，改一步后差多少</x:v>
      </x:c>
      <x:c r="D25" s="21" t="str">
        <x:v>好奇</x:v>
      </x:c>
      <x:c r="E25" s="21"/>
      <x:c r="F25" s="21"/>
    </x:row>
    <x:row r="26">
      <x:c r="A26" s="21" t="str">
        <x:v>H4</x:v>
      </x:c>
      <x:c r="B26" s="21" t="str">
        <x:v>对比悬念</x:v>
      </x:c>
      <x:c r="C26" s="21" t="str">
        <x:v>N 个对象，谁适合什么</x:v>
      </x:c>
      <x:c r="D26" s="21" t="str">
        <x:v>点击</x:v>
      </x:c>
      <x:c r="E26" s="21"/>
      <x:c r="F26" s="21"/>
    </x:row>
    <x:row r="27">
      <x:c r="A27" s="21" t="str">
        <x:v>H5</x:v>
      </x:c>
      <x:c r="B27" s="21" t="str">
        <x:v>反常识</x:v>
      </x:c>
      <x:c r="C27" s="21" t="str">
        <x:v>为什么停止常见动作</x:v>
      </x:c>
      <x:c r="D27" s="21" t="str">
        <x:v>观点</x:v>
      </x:c>
      <x:c r="E27" s="21"/>
      <x:c r="F27" s="21"/>
    </x:row>
    <x:row r="28">
      <x:c r="A28" s="21" t="str">
        <x:v>H6</x:v>
      </x:c>
      <x:c r="B28" s="21" t="str">
        <x:v>证据先行</x:v>
      </x:c>
      <x:c r="C28" s="21" t="str">
        <x:v>先给结果，再解释</x:v>
      </x:c>
      <x:c r="D28" s="21" t="str">
        <x:v>可信</x:v>
      </x:c>
      <x:c r="E28" s="21"/>
      <x:c r="F28" s="21"/>
    </x:row>
    <x:row r="29">
      <x:c r="A29" s="21" t="str">
        <x:v>H7</x:v>
      </x:c>
      <x:c r="B29" s="21" t="str">
        <x:v>明确问题</x:v>
      </x:c>
      <x:c r="C29" s="21" t="str">
        <x:v>用户原话 + 回答方向</x:v>
      </x:c>
      <x:c r="D29" s="21" t="str">
        <x:v>回复</x:v>
      </x:c>
      <x:c r="E29" s="21"/>
      <x:c r="F29" s="21"/>
    </x:row>
    <x:row r="30">
      <x:c r="A30" s="21"/>
      <x:c r="B30" s="21"/>
      <x:c r="C30" s="21"/>
      <x:c r="D30" s="21"/>
      <x:c r="E30" s="21"/>
      <x:c r="F30" s="21"/>
    </x:row>
    <x:row r="31">
      <x:c r="A31" s="21"/>
      <x:c r="B31" s="21"/>
      <x:c r="C31" s="21"/>
      <x:c r="D31" s="21"/>
      <x:c r="E31" s="21"/>
      <x:c r="F31" s="21"/>
    </x:row>
    <x:row r="32" ht="34" customHeight="1">
      <x:c r="A32" s="13" t="str">
        <x:v>CTA ID</x:v>
      </x:c>
      <x:c r="B32" s="28" t="str">
        <x:v>名称</x:v>
      </x:c>
      <x:c r="C32" s="28" t="str">
        <x:v>结构</x:v>
      </x:c>
      <x:c r="D32" s="14" t="str">
        <x:v>目标</x:v>
      </x:c>
      <x:c r="E32" s="21"/>
      <x:c r="F32" s="21"/>
    </x:row>
    <x:row r="33">
      <x:c r="A33" s="21" t="str">
        <x:v>A1</x:v>
      </x:c>
      <x:c r="B33" s="21" t="str">
        <x:v>低成本回复</x:v>
      </x:c>
      <x:c r="C33" s="21" t="str">
        <x:v>最想看/最卡在哪一步？</x:v>
      </x:c>
      <x:c r="D33" s="21" t="str">
        <x:v>精准互动</x:v>
      </x:c>
      <x:c r="E33" s="21"/>
      <x:c r="F33" s="21"/>
    </x:row>
    <x:row r="34">
      <x:c r="A34" s="21" t="str">
        <x:v>A2</x:v>
      </x:c>
      <x:c r="B34" s="21" t="str">
        <x:v>保存动作</x:v>
      </x:c>
      <x:c r="C34" s="21" t="str">
        <x:v>先存清单，下次照做</x:v>
      </x:c>
      <x:c r="D34" s="21" t="str">
        <x:v>收藏</x:v>
      </x:c>
      <x:c r="E34" s="21"/>
      <x:c r="F34" s="21"/>
    </x:row>
    <x:row r="35">
      <x:c r="A35" s="21" t="str">
        <x:v>A3</x:v>
      </x:c>
      <x:c r="B35" s="21" t="str">
        <x:v>下一篇共创</x:v>
      </x:c>
      <x:c r="C35" s="21" t="str">
        <x:v>留下对象，按同标准实测</x:v>
      </x:c>
      <x:c r="D35" s="21" t="str">
        <x:v>共创</x:v>
      </x:c>
      <x:c r="E35" s="21"/>
      <x:c r="F35" s="21"/>
    </x:row>
    <x:row r="36">
      <x:c r="A36" s="21" t="str">
        <x:v>A4</x:v>
      </x:c>
      <x:c r="B36" s="21" t="str">
        <x:v>产品探索</x:v>
      </x:c>
      <x:c r="C36" s="21" t="str">
        <x:v>查看主页说明/完整过程</x:v>
      </x:c>
      <x:c r="D36" s="21" t="str">
        <x:v>产品意向</x:v>
      </x:c>
      <x:c r="E36" s="21"/>
      <x:c r="F36" s="21"/>
    </x:row>
    <x:row r="37">
      <x:c r="A37" s="21" t="str">
        <x:v>A5</x:v>
      </x:c>
      <x:c r="B37" s="21" t="str">
        <x:v>观点讨论</x:v>
      </x:c>
      <x:c r="C37" s="21" t="str">
        <x:v>你同意哪部分？反例是什么？</x:v>
      </x:c>
      <x:c r="D37" s="21" t="str">
        <x:v>X</x:v>
      </x:c>
      <x:c r="E37" s="21"/>
      <x:c r="F37" s="21"/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3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3" t="str">
        <x:v>Experiment Plan</x:v>
      </x:c>
    </x:row>
    <x:row r="2" ht="36" customHeight="1">
      <x:c r="A2" s="7" t="str">
        <x:v>每个平台独立建立 B1–B4；块内保持主题难度、时段和账号阶段尽量一致。</x:v>
      </x:c>
      <x:c r="B2" s="7" t="str">
        <x:v>每个平台独立建立 B1–B4；块内保持主题难度、时段和账号阶段尽量一致。</x:v>
      </x:c>
      <x:c r="C2" s="7" t="str">
        <x:v>每个平台独立建立 B1–B4；块内保持主题难度、时段和账号阶段尽量一致。</x:v>
      </x:c>
      <x:c r="D2" s="7" t="str">
        <x:v>每个平台独立建立 B1–B4；块内保持主题难度、时段和账号阶段尽量一致。</x:v>
      </x:c>
      <x:c r="E2" s="7" t="str">
        <x:v>每个平台独立建立 B1–B4；块内保持主题难度、时段和账号阶段尽量一致。</x:v>
      </x:c>
      <x:c r="F2" s="7" t="str">
        <x:v>每个平台独立建立 B1–B4；块内保持主题难度、时段和账号阶段尽量一致。</x:v>
      </x:c>
      <x:c r="G2" s="7" t="str">
        <x:v>每个平台独立建立 B1–B4；块内保持主题难度、时段和账号阶段尽量一致。</x:v>
      </x:c>
      <x:c r="H2" s="7" t="str">
        <x:v>每个平台独立建立 B1–B4；块内保持主题难度、时段和账号阶段尽量一致。</x:v>
      </x:c>
      <x:c r="I2" s="7" t="str">
        <x:v>每个平台独立建立 B1–B4；块内保持主题难度、时段和账号阶段尽量一致。</x:v>
      </x:c>
      <x:c r="J2" s="7" t="str">
        <x:v>每个平台独立建立 B1–B4；块内保持主题难度、时段和账号阶段尽量一致。</x:v>
      </x:c>
    </x:row>
    <x:row r="4" ht="34" customHeight="1">
      <x:c r="A4" s="13" t="str">
        <x:v>平台</x:v>
      </x:c>
      <x:c r="B4" s="28" t="str">
        <x:v>时间块</x:v>
      </x:c>
      <x:c r="C4" s="28" t="str">
        <x:v>目标样本</x:v>
      </x:c>
      <x:c r="D4" s="28" t="str">
        <x:v>固定项</x:v>
      </x:c>
      <x:c r="E4" s="28" t="str">
        <x:v>唯一变化</x:v>
      </x:c>
      <x:c r="F4" s="28" t="str">
        <x:v>基线</x:v>
      </x:c>
      <x:c r="G4" s="28" t="str">
        <x:v>变体</x:v>
      </x:c>
      <x:c r="H4" s="28" t="str">
        <x:v>主指标</x:v>
      </x:c>
      <x:c r="I4" s="28" t="str">
        <x:v>护栏</x:v>
      </x:c>
      <x:c r="J4" s="14" t="str">
        <x:v>状态</x:v>
      </x:c>
    </x:row>
    <x:row r="5">
      <x:c r="A5" s="38" t="str">
        <x:v>小红书</x:v>
      </x:c>
      <x:c r="B5" s="38" t="str">
        <x:v>XHS-B1</x:v>
      </x:c>
      <x:c r="C5" s="48" t="n">
        <x:v>3</x:v>
      </x:c>
      <x:c r="D5" s="38" t="str">
        <x:v>支柱/格式/钩子/视觉/CTA</x:v>
      </x:c>
      <x:c r="E5" s="38" t="str">
        <x:v>无，建立基线</x:v>
      </x:c>
      <x:c r="F5" s="38" t="str"/>
      <x:c r="G5" s="38" t="str"/>
      <x:c r="H5" s="38" t="str">
        <x:v>收藏率</x:v>
      </x:c>
      <x:c r="I5" s="38" t="str">
        <x:v>评论率</x:v>
      </x:c>
      <x:c r="J5" s="38" t="str">
        <x:v>计划中</x:v>
      </x:c>
    </x:row>
    <x:row r="6">
      <x:c r="A6" s="38" t="str">
        <x:v>小红书</x:v>
      </x:c>
      <x:c r="B6" s="38" t="str">
        <x:v>XHS-B2</x:v>
      </x:c>
      <x:c r="C6" s="48" t="n">
        <x:v>3</x:v>
      </x:c>
      <x:c r="D6" s="38" t="str">
        <x:v>同 B1</x:v>
      </x:c>
      <x:c r="E6" s="38" t="str">
        <x:v>钩子</x:v>
      </x:c>
      <x:c r="F6" s="38" t="str">
        <x:v>H2</x:v>
      </x:c>
      <x:c r="G6" s="38" t="str">
        <x:v>H6</x:v>
      </x:c>
      <x:c r="H6" s="38" t="str">
        <x:v>收藏率</x:v>
      </x:c>
      <x:c r="I6" s="38" t="str">
        <x:v>评论率</x:v>
      </x:c>
      <x:c r="J6" s="38" t="str">
        <x:v>计划中</x:v>
      </x:c>
    </x:row>
    <x:row r="7">
      <x:c r="A7" s="38" t="str">
        <x:v>小红书</x:v>
      </x:c>
      <x:c r="B7" s="38" t="str">
        <x:v>XHS-B3</x:v>
      </x:c>
      <x:c r="C7" s="48" t="n">
        <x:v>3</x:v>
      </x:c>
      <x:c r="D7" s="38" t="str">
        <x:v>同 B2</x:v>
      </x:c>
      <x:c r="E7" s="38" t="str">
        <x:v>视觉</x:v>
      </x:c>
      <x:c r="F7" s="38" t="str">
        <x:v>C1</x:v>
      </x:c>
      <x:c r="G7" s="38" t="str">
        <x:v>C3</x:v>
      </x:c>
      <x:c r="H7" s="38" t="str">
        <x:v>阅读率</x:v>
      </x:c>
      <x:c r="I7" s="38" t="str">
        <x:v>收藏率</x:v>
      </x:c>
      <x:c r="J7" s="38" t="str">
        <x:v>计划中</x:v>
      </x:c>
    </x:row>
    <x:row r="8">
      <x:c r="A8" s="38" t="str">
        <x:v>小红书</x:v>
      </x:c>
      <x:c r="B8" s="38" t="str">
        <x:v>XHS-B4</x:v>
      </x:c>
      <x:c r="C8" s="48" t="n">
        <x:v>3</x:v>
      </x:c>
      <x:c r="D8" s="38" t="str">
        <x:v>同 B3</x:v>
      </x:c>
      <x:c r="E8" s="38" t="str">
        <x:v>CTA</x:v>
      </x:c>
      <x:c r="F8" s="38" t="str">
        <x:v>A2</x:v>
      </x:c>
      <x:c r="G8" s="38" t="str">
        <x:v>A1</x:v>
      </x:c>
      <x:c r="H8" s="38" t="str">
        <x:v>评论率</x:v>
      </x:c>
      <x:c r="I8" s="38" t="str">
        <x:v>收藏率</x:v>
      </x:c>
      <x:c r="J8" s="38" t="str">
        <x:v>计划中</x:v>
      </x:c>
    </x:row>
    <x:row r="9">
      <x:c r="A9" s="38" t="str">
        <x:v>X</x:v>
      </x:c>
      <x:c r="B9" s="38" t="str">
        <x:v>X-B1</x:v>
      </x:c>
      <x:c r="C9" s="48" t="n">
        <x:v>3</x:v>
      </x:c>
      <x:c r="D9" s="38" t="str">
        <x:v>支柱/格式/钩子/视觉/CTA</x:v>
      </x:c>
      <x:c r="E9" s="38" t="str">
        <x:v>无，建立基线</x:v>
      </x:c>
      <x:c r="F9" s="38" t="str"/>
      <x:c r="G9" s="38" t="str"/>
      <x:c r="H9" s="38" t="str">
        <x:v>互动率</x:v>
      </x:c>
      <x:c r="I9" s="38" t="str">
        <x:v>主页访问率</x:v>
      </x:c>
      <x:c r="J9" s="38" t="str">
        <x:v>计划中</x:v>
      </x:c>
    </x:row>
    <x:row r="10">
      <x:c r="A10" s="38" t="str">
        <x:v>X</x:v>
      </x:c>
      <x:c r="B10" s="38" t="str">
        <x:v>X-B2</x:v>
      </x:c>
      <x:c r="C10" s="48" t="n">
        <x:v>3</x:v>
      </x:c>
      <x:c r="D10" s="38" t="str">
        <x:v>同 B1</x:v>
      </x:c>
      <x:c r="E10" s="38" t="str">
        <x:v>钩子</x:v>
      </x:c>
      <x:c r="F10" s="38" t="str">
        <x:v>H6</x:v>
      </x:c>
      <x:c r="G10" s="38" t="str">
        <x:v>H5</x:v>
      </x:c>
      <x:c r="H10" s="38" t="str">
        <x:v>精准互动率</x:v>
      </x:c>
      <x:c r="I10" s="38" t="str">
        <x:v>主页访问率</x:v>
      </x:c>
      <x:c r="J10" s="38" t="str">
        <x:v>计划中</x:v>
      </x:c>
    </x:row>
    <x:row r="11">
      <x:c r="A11" s="38" t="str">
        <x:v>X</x:v>
      </x:c>
      <x:c r="B11" s="38" t="str">
        <x:v>X-B3</x:v>
      </x:c>
      <x:c r="C11" s="48" t="n">
        <x:v>3</x:v>
      </x:c>
      <x:c r="D11" s="38" t="str">
        <x:v>同 B2</x:v>
      </x:c>
      <x:c r="E11" s="38" t="str">
        <x:v>格式</x:v>
      </x:c>
      <x:c r="F11" s="38" t="str">
        <x:v>single_post</x:v>
      </x:c>
      <x:c r="G11" s="38" t="str">
        <x:v>thread</x:v>
      </x:c>
      <x:c r="H11" s="38" t="str">
        <x:v>互动率</x:v>
      </x:c>
      <x:c r="I11" s="38" t="str">
        <x:v>点击率</x:v>
      </x:c>
      <x:c r="J11" s="38" t="str">
        <x:v>计划中</x:v>
      </x:c>
    </x:row>
    <x:row r="12">
      <x:c r="A12" s="38" t="str">
        <x:v>X</x:v>
      </x:c>
      <x:c r="B12" s="38" t="str">
        <x:v>X-B4</x:v>
      </x:c>
      <x:c r="C12" s="48" t="n">
        <x:v>3</x:v>
      </x:c>
      <x:c r="D12" s="38" t="str">
        <x:v>同 B3</x:v>
      </x:c>
      <x:c r="E12" s="38" t="str">
        <x:v>CTA</x:v>
      </x:c>
      <x:c r="F12" s="38" t="str">
        <x:v>A5</x:v>
      </x:c>
      <x:c r="G12" s="38" t="str">
        <x:v>A4</x:v>
      </x:c>
      <x:c r="H12" s="38" t="str">
        <x:v>点击率</x:v>
      </x:c>
      <x:c r="I12" s="38" t="str">
        <x:v>互动率</x:v>
      </x:c>
      <x:c r="J12" s="38" t="str">
        <x:v>计划中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8" customHeight="1">
      <x:c r="A1" s="3" t="str">
        <x:v>Dashboard</x:v>
      </x:c>
    </x:row>
    <x:row r="2" ht="36" customHeight="1">
      <x:c r="A2" s="7" t="str">
        <x:v>只显示样本覆盖和平均率作为诊断；最终决策使用同组中位数、护栏和归因检查。</x:v>
      </x:c>
      <x:c r="B2" s="7" t="str">
        <x:v>只显示样本覆盖和平均率作为诊断；最终决策使用同组中位数、护栏和归因检查。</x:v>
      </x:c>
      <x:c r="C2" s="7" t="str">
        <x:v>只显示样本覆盖和平均率作为诊断；最终决策使用同组中位数、护栏和归因检查。</x:v>
      </x:c>
      <x:c r="D2" s="7" t="str">
        <x:v>只显示样本覆盖和平均率作为诊断；最终决策使用同组中位数、护栏和归因检查。</x:v>
      </x:c>
      <x:c r="E2" s="7" t="str">
        <x:v>只显示样本覆盖和平均率作为诊断；最终决策使用同组中位数、护栏和归因检查。</x:v>
      </x:c>
      <x:c r="F2" s="7" t="str">
        <x:v>只显示样本覆盖和平均率作为诊断；最终决策使用同组中位数、护栏和归因检查。</x:v>
      </x:c>
      <x:c r="G2" s="7" t="str">
        <x:v>只显示样本覆盖和平均率作为诊断；最终决策使用同组中位数、护栏和归因检查。</x:v>
      </x:c>
      <x:c r="H2" s="7" t="str">
        <x:v>只显示样本覆盖和平均率作为诊断；最终决策使用同组中位数、护栏和归因检查。</x:v>
      </x:c>
    </x:row>
    <x:row r="4" ht="34" customHeight="1">
      <x:c r="A4" s="13" t="str">
        <x:v>KPI</x:v>
      </x:c>
      <x:c r="B4" s="14" t="str">
        <x:v>值</x:v>
      </x:c>
      <x:c r="C4" s="21"/>
      <x:c r="D4" s="21"/>
      <x:c r="E4" s="21"/>
      <x:c r="F4" s="21"/>
      <x:c r="G4" s="21"/>
      <x:c r="H4" s="21"/>
    </x:row>
    <x:row r="5">
      <x:c r="A5" s="21" t="str">
        <x:v>已记录条数</x:v>
      </x:c>
      <x:c r="B5" s="21" t="n">
        <x:f>COUNTA('Experiment Log'!$A$2:$A$201)</x:f>
        <x:v>0</x:v>
      </x:c>
      <x:c r="C5" s="21"/>
      <x:c r="D5" s="21"/>
      <x:c r="E5" s="21"/>
      <x:c r="F5" s="21"/>
      <x:c r="G5" s="21"/>
      <x:c r="H5" s="21"/>
    </x:row>
    <x:row r="6">
      <x:c r="A6" s="21" t="str">
        <x:v>完整可比条数</x:v>
      </x:c>
      <x:c r="B6" s="21" t="n">
        <x:f>COUNTIF('Experiment Log'!$AA$2:$AA$201,"完整")</x:f>
        <x:v>0</x:v>
      </x:c>
      <x:c r="C6" s="21"/>
      <x:c r="D6" s="21"/>
      <x:c r="E6" s="21"/>
      <x:c r="F6" s="21"/>
      <x:c r="G6" s="21"/>
      <x:c r="H6" s="21"/>
    </x:row>
    <x:row r="7">
      <x:c r="A7" s="21" t="str">
        <x:v>异常/不可归因</x:v>
      </x:c>
      <x:c r="B7" s="21" t="n">
        <x:f>COUNTIF('Experiment Log'!$AA$2:$AA$201,"异常")+COUNTIF('Experiment Log'!$AA$2:$AA$201,"不可归因")</x:f>
        <x:v>0</x:v>
      </x:c>
      <x:c r="C7" s="21"/>
      <x:c r="D7" s="21"/>
      <x:c r="E7" s="21"/>
      <x:c r="F7" s="21"/>
      <x:c r="G7" s="21"/>
      <x:c r="H7" s="21"/>
    </x:row>
    <x:row r="8">
      <x:c r="A8" s="21" t="str">
        <x:v>平台数</x:v>
      </x:c>
      <x:c r="B8" s="21" t="n">
        <x:f>COUNTIF('Experiment Log'!$C$2:$C$201,"小红书")+COUNTIF('Experiment Log'!$C$2:$C$201,"X")</x:f>
        <x:v>0</x:v>
      </x:c>
      <x:c r="C8" s="21"/>
      <x:c r="D8" s="21"/>
      <x:c r="E8" s="21"/>
      <x:c r="F8" s="21"/>
      <x:c r="G8" s="21"/>
      <x:c r="H8" s="21"/>
    </x:row>
    <x:row r="9">
      <x:c r="A9" s="21"/>
      <x:c r="B9" s="21"/>
      <x:c r="C9" s="21"/>
      <x:c r="D9" s="21"/>
      <x:c r="E9" s="21"/>
      <x:c r="F9" s="21"/>
      <x:c r="G9" s="21"/>
      <x:c r="H9" s="21"/>
    </x:row>
    <x:row r="10">
      <x:c r="A10" s="21"/>
      <x:c r="B10" s="21"/>
      <x:c r="C10" s="21"/>
      <x:c r="D10" s="21"/>
      <x:c r="E10" s="21"/>
      <x:c r="F10" s="21"/>
      <x:c r="G10" s="21"/>
      <x:c r="H10" s="21"/>
    </x:row>
    <x:row r="11" ht="34" customHeight="1">
      <x:c r="A11" s="13" t="str">
        <x:v>平台</x:v>
      </x:c>
      <x:c r="B11" s="28" t="str">
        <x:v>记录数</x:v>
      </x:c>
      <x:c r="C11" s="28" t="str">
        <x:v>完整数</x:v>
      </x:c>
      <x:c r="D11" s="28" t="str">
        <x:v>平均互动率</x:v>
      </x:c>
      <x:c r="E11" s="28" t="str">
        <x:v>平均保存率</x:v>
      </x:c>
      <x:c r="F11" s="28" t="str">
        <x:v>平均点击率</x:v>
      </x:c>
      <x:c r="G11" s="28" t="str">
        <x:v>平均产品意向率</x:v>
      </x:c>
      <x:c r="H11" s="14" t="str">
        <x:v>置信提示</x:v>
      </x:c>
    </x:row>
    <x:row r="12">
      <x:c r="A12" s="21" t="str">
        <x:v>小红书</x:v>
      </x:c>
      <x:c r="B12" s="21" t="n">
        <x:f>COUNTIF('Experiment Log'!$C$2:$C$201,A12)</x:f>
        <x:v>0</x:v>
      </x:c>
      <x:c r="C12" s="21" t="n">
        <x:f>COUNTIFS('Experiment Log'!$C$2:$C$201,A12,'Experiment Log'!$AA$2:$AA$201,"完整")</x:f>
        <x:v>0</x:v>
      </x:c>
      <x:c r="D12" s="50" t="str">
        <x:f>IFERROR(AVERAGEIF('Experiment Log'!$C$2:$C$201,A12,'Experiment Log'!$AP$2:$AP$201),"")</x:f>
      </x:c>
      <x:c r="E12" s="50" t="str">
        <x:f>IFERROR(AVERAGEIF('Experiment Log'!$C$2:$C$201,A12,'Experiment Log'!$AQ$2:$AQ$201),"")</x:f>
      </x:c>
      <x:c r="F12" s="50" t="str">
        <x:f>IFERROR(AVERAGEIF('Experiment Log'!$C$2:$C$201,A12,'Experiment Log'!$AS$2:$AS$201),"")</x:f>
      </x:c>
      <x:c r="G12" s="50" t="str">
        <x:f>IFERROR(AVERAGEIF('Experiment Log'!$C$2:$C$201,A12,'Experiment Log'!$AV$2:$AV$201),"")</x:f>
      </x:c>
      <x:c r="H12" s="21" t="str">
        <x:f>IF(C12&lt;15,"低",IF(C12&lt;30,"中","较高"))</x:f>
        <x:v>低</x:v>
      </x:c>
    </x:row>
    <x:row r="13">
      <x:c r="A13" s="21" t="str">
        <x:v>X</x:v>
      </x:c>
      <x:c r="B13" s="21" t="n">
        <x:f>COUNTIF('Experiment Log'!$C$2:$C$201,A13)</x:f>
        <x:v>0</x:v>
      </x:c>
      <x:c r="C13" s="21" t="n">
        <x:f>COUNTIFS('Experiment Log'!$C$2:$C$201,A13,'Experiment Log'!$AA$2:$AA$201,"完整")</x:f>
        <x:v>0</x:v>
      </x:c>
      <x:c r="D13" s="50" t="str">
        <x:f>IFERROR(AVERAGEIF('Experiment Log'!$C$2:$C$201,A13,'Experiment Log'!$AP$2:$AP$201),"")</x:f>
      </x:c>
      <x:c r="E13" s="50" t="str">
        <x:f>IFERROR(AVERAGEIF('Experiment Log'!$C$2:$C$201,A13,'Experiment Log'!$AQ$2:$AQ$201),"")</x:f>
      </x:c>
      <x:c r="F13" s="50" t="str">
        <x:f>IFERROR(AVERAGEIF('Experiment Log'!$C$2:$C$201,A13,'Experiment Log'!$AS$2:$AS$201),"")</x:f>
      </x:c>
      <x:c r="G13" s="50" t="str">
        <x:f>IFERROR(AVERAGEIF('Experiment Log'!$C$2:$C$201,A13,'Experiment Log'!$AV$2:$AV$201),"")</x:f>
      </x:c>
      <x:c r="H13" s="21" t="str">
        <x:f>IF(C13&lt;15,"低",IF(C13&lt;30,"中","较高"))</x:f>
        <x:v>低</x:v>
      </x:c>
    </x:row>
    <x:row r="14">
      <x:c r="A14" s="21" t="str">
        <x:v>说明</x:v>
      </x:c>
      <x:c r="B14" s="21" t="str"/>
      <x:c r="C14" s="21" t="str"/>
      <x:c r="D14" s="50" t="str">
        <x:v>平均值只作诊断</x:v>
      </x:c>
      <x:c r="E14" s="50" t="str"/>
      <x:c r="F14" s="50" t="str"/>
      <x:c r="G14" s="50" t="str"/>
      <x:c r="H14" s="21" t="str">
        <x:v>&lt;15 低；15–29 中；30+ 较高</x:v>
      </x:c>
    </x:row>
    <x:row r="15">
      <x:c r="A15" s="21"/>
      <x:c r="B15" s="21"/>
      <x:c r="C15" s="21"/>
      <x:c r="D15" s="50"/>
      <x:c r="E15" s="50"/>
      <x:c r="F15" s="50"/>
      <x:c r="G15" s="50"/>
      <x:c r="H15" s="21"/>
    </x:row>
    <x:row r="16">
      <x:c r="A16" s="21"/>
      <x:c r="B16" s="21"/>
      <x:c r="C16" s="21"/>
      <x:c r="D16" s="21"/>
      <x:c r="E16" s="21"/>
      <x:c r="F16" s="21"/>
      <x:c r="G16" s="21"/>
      <x:c r="H16" s="21"/>
    </x:row>
    <x:row r="17">
      <x:c r="A17" s="21"/>
      <x:c r="B17" s="21"/>
      <x:c r="C17" s="21"/>
      <x:c r="D17" s="21"/>
      <x:c r="E17" s="21"/>
      <x:c r="F17" s="21"/>
      <x:c r="G17" s="21"/>
      <x:c r="H17" s="21"/>
    </x:row>
    <x:row r="18">
      <x:c r="A18" s="21"/>
      <x:c r="B18" s="21"/>
      <x:c r="C18" s="21"/>
      <x:c r="D18" s="21"/>
      <x:c r="E18" s="21"/>
      <x:c r="F18" s="21"/>
      <x:c r="G18" s="21"/>
      <x:c r="H18" s="21"/>
    </x:row>
    <x:row r="19">
      <x:c r="A19" s="22" t="str">
        <x:v>复盘顺序</x:v>
      </x:c>
      <x:c r="B19" s="23" t="str">
        <x:v>问题</x:v>
      </x:c>
      <x:c r="C19" s="23" t="str"/>
      <x:c r="D19" s="23" t="str"/>
      <x:c r="E19" s="23" t="str"/>
      <x:c r="F19" s="23" t="str"/>
      <x:c r="G19" s="23" t="str"/>
      <x:c r="H19" s="24" t="str"/>
    </x:row>
    <x:row r="20">
      <x:c r="A20" s="21" t="str">
        <x:v>1</x:v>
      </x:c>
      <x:c r="B20" s="21" t="str">
        <x:v>是否同平台、同账号、同目标、同内容线？</x:v>
      </x:c>
      <x:c r="C20" s="21" t="str"/>
      <x:c r="D20" s="21" t="str"/>
      <x:c r="E20" s="21" t="str"/>
      <x:c r="F20" s="21" t="str"/>
      <x:c r="G20" s="21" t="str"/>
      <x:c r="H20" s="21" t="str"/>
    </x:row>
    <x:row r="21">
      <x:c r="A21" s="21" t="str">
        <x:v>2</x:v>
      </x:c>
      <x:c r="B21" s="21" t="str">
        <x:v>是否只改变一个计划变量？</x:v>
      </x:c>
      <x:c r="C21" s="21" t="str"/>
      <x:c r="D21" s="21" t="str"/>
      <x:c r="E21" s="21" t="str"/>
      <x:c r="F21" s="21" t="str"/>
      <x:c r="G21" s="21" t="str"/>
      <x:c r="H21" s="21" t="str"/>
    </x:row>
    <x:row r="22">
      <x:c r="A22" s="21" t="str">
        <x:v>3</x:v>
      </x:c>
      <x:c r="B22" s="21" t="str">
        <x:v>主指标是否达到预设样本？</x:v>
      </x:c>
      <x:c r="C22" s="21" t="str"/>
      <x:c r="D22" s="21" t="str"/>
      <x:c r="E22" s="21" t="str"/>
      <x:c r="F22" s="21" t="str"/>
      <x:c r="G22" s="21" t="str"/>
      <x:c r="H22" s="21" t="str"/>
    </x:row>
    <x:row r="23">
      <x:c r="A23" s="21" t="str">
        <x:v>4</x:v>
      </x:c>
      <x:c r="B23" s="21" t="str">
        <x:v>护栏指标是否恶化？</x:v>
      </x:c>
      <x:c r="C23" s="21" t="str"/>
      <x:c r="D23" s="21" t="str"/>
      <x:c r="E23" s="21" t="str"/>
      <x:c r="F23" s="21" t="str"/>
      <x:c r="G23" s="21" t="str"/>
      <x:c r="H23" s="21" t="str"/>
    </x:row>
    <x:row r="24">
      <x:c r="A24" s="21" t="str">
        <x:v>5</x:v>
      </x:c>
      <x:c r="B24" s="21" t="str">
        <x:v>结论措辞是否与样本置信度匹配？</x:v>
      </x:c>
      <x:c r="C24" s="21" t="str"/>
      <x:c r="D24" s="21" t="str"/>
      <x:c r="E24" s="21" t="str"/>
      <x:c r="F24" s="21" t="str"/>
      <x:c r="G24" s="21" t="str"/>
      <x:c r="H24" s="21" t="str"/>
    </x:row>
  </x:sheetData>
  <x:mergeCells>
    <x:mergeCell ref="A1:H1"/>
    <x:mergeCell ref="A2:H2"/>
    <x:mergeCell ref="A19:H19"/>
    <x:mergeCell ref="B20:H20"/>
    <x:mergeCell ref="B21:H21"/>
    <x:mergeCell ref="B22:H22"/>
    <x:mergeCell ref="B23:H23"/>
    <x:mergeCell ref="B24:H24"/>
  </x:mergeCells>
  <x:pageMargins left="0.7" right="0.7" top="0.75" bottom="0.75" header="0.3" footer="0.3"/>
</x:worksheet>
</file>