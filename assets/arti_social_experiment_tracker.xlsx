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64df43c264f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59c4f969cf3480a"/>
    <x:sheet xmlns:r="http://schemas.openxmlformats.org/officeDocument/2006/relationships" name="Content Inputs" sheetId="2" r:id="R296ce3c250eb4ddb"/>
    <x:sheet xmlns:r="http://schemas.openxmlformats.org/officeDocument/2006/relationships" name="Experiment Log" sheetId="3" r:id="R53847d5bc5154735"/>
    <x:sheet xmlns:r="http://schemas.openxmlformats.org/officeDocument/2006/relationships" name="Metric Definitions" sheetId="4" r:id="Rf6482dbb82544e73"/>
    <x:sheet xmlns:r="http://schemas.openxmlformats.org/officeDocument/2006/relationships" name="Decision Rules" sheetId="5" r:id="Re2d3c7ab892a4268"/>
    <x:sheet xmlns:r="http://schemas.openxmlformats.org/officeDocument/2006/relationships" name="ARTi Dashboard" sheetId="6" r:id="R9fe6f9641e564975"/>
    <x:sheet xmlns:r="http://schemas.openxmlformats.org/officeDocument/2006/relationships" name="Template Library" sheetId="7" r:id="R221172f5726b4418"/>
    <x:sheet xmlns:r="http://schemas.openxmlformats.org/officeDocument/2006/relationships" name="Playbook" sheetId="8" r:id="Rad8583a1a06d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0.00%"/>
    <x:numFmt numFmtId="203" formatCode="0.0%"/>
    <x:numFmt numFmtId="204" formatCode="0.00"/>
  </x:numFmts>
  <x:fonts count="18">
    <x:font>
      <x:sz val="11"/>
      <x:name val="Carlito"/>
    </x:font>
    <x:font>
      <x:b/>
      <x:sz val="18"/>
      <x:color rgb="FFFFFDF0"/>
      <x:name val="Carlito"/>
    </x:font>
    <x:font>
      <x:sz val="10"/>
      <x:color rgb="FFC8C7C2"/>
      <x:name val="Carlito"/>
    </x:font>
    <x:font>
      <x:b/>
      <x:sz val="11"/>
      <x:color rgb="FF1A1710"/>
      <x:name val="Carlito"/>
    </x:font>
    <x:font>
      <x:b/>
      <x:sz val="11"/>
      <x:color rgb="FFFFFDF0"/>
      <x:name val="Carlito"/>
    </x:font>
    <x:font>
      <x:sz val="11"/>
      <x:color rgb="FF1A1710"/>
      <x:name val="Carlito"/>
    </x:font>
    <x:font>
      <x:sz val="11"/>
      <x:color rgb="FF6B665A"/>
      <x:name val="Carlito"/>
    </x:font>
    <x:font>
      <x:b/>
      <x:sz val="11"/>
      <x:name val="Carlito"/>
    </x:font>
    <x:font>
      <x:b/>
      <x:sz val="16"/>
      <x:color rgb="FF1A1710"/>
      <x:name val="Carlito"/>
    </x:font>
    <x:font>
      <x:b/>
      <x:sz val="18"/>
      <x:color rgb="FFFFFDF0"/>
      <x:name val="Aptos"/>
    </x:font>
    <x:font>
      <x:sz val="10"/>
      <x:color rgb="FFC8C7C2"/>
      <x:name val="Aptos"/>
    </x:font>
    <x:font>
      <x:sz val="11"/>
      <x:name val="Aptos"/>
    </x:font>
    <x:font>
      <x:b/>
      <x:sz val="11"/>
      <x:color rgb="FF1A1710"/>
      <x:name val="Aptos"/>
    </x:font>
    <x:font>
      <x:b/>
      <x:sz val="11"/>
      <x:color rgb="FFFFFDF0"/>
      <x:name val="Aptos"/>
    </x:font>
    <x:font>
      <x:sz val="11"/>
      <x:color rgb="FF6B665A"/>
      <x:name val="Aptos"/>
    </x:font>
    <x:font>
      <x:sz val="11"/>
      <x:color rgb="FF1A1710"/>
      <x:name val="Aptos"/>
    </x:font>
    <x:font>
      <x:b/>
      <x:sz val="11"/>
      <x:name val="Aptos"/>
    </x:font>
    <x:font>
      <x:b/>
      <x:sz val="16"/>
      <x:color rgb="FF1A171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41414"/>
      </x:patternFill>
    </x:fill>
    <x:fill>
      <x:patternFill patternType="solid">
        <x:fgColor rgb="FF1E1E1E"/>
      </x:patternFill>
    </x:fill>
    <x:fill>
      <x:patternFill patternType="solid">
        <x:fgColor rgb="FFFFECB5"/>
      </x:patternFill>
    </x:fill>
    <x:fill>
      <x:patternFill patternType="solid">
        <x:fgColor rgb="FFEBE7DF"/>
      </x:patternFill>
    </x:fill>
    <x:fill>
      <x:patternFill patternType="solid">
        <x:fgColor rgb="FFFFF3C9"/>
      </x:patternFill>
    </x:fill>
    <x:fill>
      <x:patternFill patternType="solid">
        <x:fgColor rgb="FFECECEC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946B1A"/>
      </x:left>
      <x:top style="thin">
        <x:color rgb="FF946B1A"/>
      </x:top>
      <x:bottom style="thin">
        <x:color rgb="FF946B1A"/>
      </x:bottom>
    </x:border>
    <x:border>
      <x:top style="thin">
        <x:color rgb="FF946B1A"/>
      </x:top>
      <x:bottom style="thin">
        <x:color rgb="FF946B1A"/>
      </x:bottom>
    </x:border>
    <x:border>
      <x:right style="thin">
        <x:color rgb="FF946B1A"/>
      </x:right>
      <x:top style="thin">
        <x:color rgb="FF946B1A"/>
      </x:top>
      <x:bottom style="thin">
        <x:color rgb="FF946B1A"/>
      </x:bottom>
    </x:border>
    <x:border>
      <x:left style="thin">
        <x:color rgb="FF141414"/>
      </x:left>
      <x:top style="thin">
        <x:color rgb="FF141414"/>
      </x:top>
      <x:bottom style="thin">
        <x:color rgb="FF141414"/>
      </x:bottom>
    </x:border>
    <x:border>
      <x:top style="thin">
        <x:color rgb="FF141414"/>
      </x:top>
      <x:bottom style="thin">
        <x:color rgb="FF141414"/>
      </x:bottom>
    </x:border>
    <x:border>
      <x:right style="thin">
        <x:color rgb="FF141414"/>
      </x:right>
      <x:top style="thin">
        <x:color rgb="FF141414"/>
      </x:top>
      <x:bottom style="thin">
        <x:color rgb="FF141414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5" xfId="0" applyNumberFormat="1" applyFont="1" applyFill="1" applyBorder="1"/>
    <x:xf numFmtId="0" fontId="4" fillId="2" borderId="6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wrapText="1"/>
    </x:xf>
    <x:xf numFmtId="0" fontId="4" fillId="2" borderId="6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4" fillId="2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/>
    </x:xf>
    <x:xf numFmtId="0" fontId="5" fillId="7" borderId="0" xfId="0" applyNumberFormat="1" applyFont="1" applyFill="1" applyBorder="1" applyAlignment="1">
      <x:alignment vertical="top"/>
    </x:xf>
    <x:xf numFmtId="0" fontId="6" fillId="7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vertical="top"/>
    </x:xf>
    <x:xf numFmtId="201" fontId="5" fillId="6" borderId="0" xfId="0" applyNumberFormat="1" applyFont="1" applyFill="1" applyBorder="1" applyAlignment="1">
      <x:alignment vertical="top"/>
    </x:xf>
    <x:xf numFmtId="202" fontId="5" fillId="6" borderId="0" xfId="0" applyNumberFormat="1" applyFont="1" applyFill="1" applyBorder="1" applyAlignment="1">
      <x:alignment vertical="top"/>
    </x:xf>
    <x:xf numFmtId="202" fontId="6" fillId="7" borderId="0" xfId="0" applyNumberFormat="1" applyFont="1" applyFill="1" applyBorder="1"/>
    <x:xf numFmtId="201" fontId="6" fillId="7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203" fontId="8" fillId="8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7" fillId="4" borderId="0" xfId="0" applyNumberFormat="1" applyFont="1" applyFill="1" applyBorder="1"/>
    <x:xf numFmtId="203" fontId="6" fillId="7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/>
    <x:xf numFmtId="0" fontId="12" fillId="4" borderId="2" xfId="0" applyNumberFormat="1" applyFont="1" applyFill="1" applyBorder="1"/>
    <x:xf numFmtId="0" fontId="12" fillId="4" borderId="3" xfId="0" applyNumberFormat="1" applyFont="1" applyFill="1" applyBorder="1"/>
    <x:xf numFmtId="0" fontId="11" fillId="0" borderId="0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wrapText="1"/>
    </x:xf>
    <x:xf numFmtId="0" fontId="13" fillId="2" borderId="4" xfId="0" applyNumberFormat="1" applyFont="1" applyFill="1" applyBorder="1" applyAlignment="1">
      <x:alignment vertical="center" wrapText="1"/>
    </x:xf>
    <x:xf numFmtId="0" fontId="13" fillId="2" borderId="5" xfId="0" applyNumberFormat="1" applyFont="1" applyFill="1" applyBorder="1" applyAlignment="1">
      <x:alignment vertical="center" wrapText="1"/>
    </x:xf>
    <x:xf numFmtId="0" fontId="13" fillId="2" borderId="6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/>
    <x:xf numFmtId="0" fontId="15" fillId="6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wrapText="1"/>
    </x:xf>
    <x:xf numFmtId="0" fontId="15" fillId="6" borderId="0" xfId="0" applyNumberFormat="1" applyFont="1" applyFill="1" applyBorder="1" applyAlignment="1">
      <x:alignment vertical="top"/>
    </x:xf>
    <x:xf numFmtId="200" fontId="15" fillId="6" borderId="0" xfId="0" applyNumberFormat="1" applyFont="1" applyFill="1" applyBorder="1" applyAlignment="1">
      <x:alignment vertical="top"/>
    </x:xf>
    <x:xf numFmtId="201" fontId="15" fillId="6" borderId="0" xfId="0" applyNumberFormat="1" applyFont="1" applyFill="1" applyBorder="1" applyAlignment="1">
      <x:alignment vertical="top"/>
    </x:xf>
    <x:xf numFmtId="0" fontId="14" fillId="7" borderId="0" xfId="0" applyNumberFormat="1" applyFont="1" applyFill="1" applyBorder="1" applyAlignment="1">
      <x:alignment vertical="top"/>
    </x:xf>
    <x:xf numFmtId="202" fontId="15" fillId="6" borderId="0" xfId="0" applyNumberFormat="1" applyFont="1" applyFill="1" applyBorder="1" applyAlignment="1">
      <x:alignment vertical="top"/>
    </x:xf>
    <x:xf numFmtId="202" fontId="14" fillId="7" borderId="0" xfId="0" applyNumberFormat="1" applyFont="1" applyFill="1" applyBorder="1"/>
    <x:xf numFmtId="201" fontId="14" fillId="7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6" fillId="5" borderId="0" xfId="0" applyNumberFormat="1" applyFont="1" applyFill="1" applyBorder="1" applyAlignment="1">
      <x:alignment wrapText="1"/>
    </x:xf>
    <x:xf numFmtId="0" fontId="17" fillId="8" borderId="0" xfId="0" applyNumberFormat="1" applyFont="1" applyFill="1" applyBorder="1" applyAlignment="1">
      <x:alignment horizontal="center"/>
    </x:xf>
    <x:xf numFmtId="203" fontId="17" fillId="8" borderId="0" xfId="0" applyNumberFormat="1" applyFont="1" applyFill="1" applyBorder="1" applyAlignment="1">
      <x:alignment horizontal="center"/>
    </x:xf>
    <x:xf numFmtId="203" fontId="11" fillId="0" borderId="0" xfId="0" applyNumberFormat="1" applyFont="1" applyFill="1" applyBorder="1"/>
    <x:xf numFmtId="204" fontId="11" fillId="0" borderId="0" xfId="0" applyNumberFormat="1" applyFont="1" applyFill="1" applyBorder="1"/>
    <x:xf numFmtId="0" fontId="16" fillId="4" borderId="0" xfId="0" applyNumberFormat="1" applyFont="1" applyFill="1" applyBorder="1"/>
    <x:xf numFmtId="203" fontId="14" fillId="7" borderId="0" xfId="0" applyNumberFormat="1" applyFont="1" applyFill="1" applyBorder="1"/>
  </x:cellXfs>
  <x:cellStyles count="1">
    <x:cellStyle name="Normal" xfId="0"/>
  </x:cellStyles>
  <x:dxfs count="8">
    <x:dxf>
      <x:font>
        <x:b/>
        <x:color rgb="FF12613B"/>
      </x:font>
      <x:fill>
        <x:patternFill patternType="solid">
          <x:bgColor rgb="FFDDF5E9"/>
        </x:patternFill>
      </x:fill>
    </x:dxf>
    <x:dxf>
      <x:font>
        <x:color rgb="FF234A8A"/>
      </x:font>
      <x:fill>
        <x:patternFill patternType="solid">
          <x:bgColor rgb="FFDDE8FF"/>
        </x:patternFill>
      </x:fill>
    </x:dxf>
    <x:dxf>
      <x:font>
        <x:b/>
        <x:color rgb="FF9C2D22"/>
      </x:font>
      <x:fill>
        <x:patternFill patternType="solid">
          <x:bgColor rgb="FFFBE1DE"/>
        </x:patternFill>
      </x:fill>
    </x:dxf>
    <x:dxf>
      <x:font>
        <x:color rgb="FF9C2D22"/>
      </x:font>
      <x:fill>
        <x:patternFill patternType="solid">
          <x:bgColor rgb="FFFBE1DE"/>
        </x:patternFill>
      </x:fill>
    </x:dxf>
    <x:dxf>
      <x:font>
        <x:b/>
        <x:color rgb="FF12613B"/>
      </x:font>
      <x:fill>
        <x:patternFill patternType="solid">
          <x:bgColor rgb="FFDDF5E9"/>
        </x:patternFill>
      </x:fill>
    </x:dxf>
    <x:dxf>
      <x:font>
        <x:color rgb="FF234A8A"/>
      </x:font>
      <x:fill>
        <x:patternFill patternType="solid">
          <x:bgColor rgb="FFDDE8FF"/>
        </x:patternFill>
      </x:fill>
    </x:dxf>
    <x:dxf>
      <x:font>
        <x:b/>
        <x:color rgb="FF9C2D22"/>
      </x:font>
      <x:fill>
        <x:patternFill patternType="solid">
          <x:bgColor rgb="FFFBE1DE"/>
        </x:patternFill>
      </x:fill>
    </x:dxf>
    <x:dxf>
      <x:font>
        <x:color rgb="FF9C2D22"/>
      </x:font>
      <x:fill>
        <x:patternFill patternType="solid">
          <x:bgColor rgb="FFFBE1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86b37184d49f8" /><Relationship Type="http://schemas.openxmlformats.org/officeDocument/2006/relationships/theme" Target="/xl/theme/theme1.xml" Id="Re3c82941dae44c2a" /><Relationship Type="http://schemas.openxmlformats.org/officeDocument/2006/relationships/sharedStrings" Target="/xl/sharedStrings.xml" Id="Rc6dd69a968cd4be4" /><Relationship Type="http://schemas.openxmlformats.org/officeDocument/2006/relationships/worksheet" Target="/xl/worksheets/sheet1.xml" Id="R559c4f969cf3480a" /><Relationship Type="http://schemas.openxmlformats.org/officeDocument/2006/relationships/worksheet" Target="/xl/worksheets/sheet2.xml" Id="R296ce3c250eb4ddb" /><Relationship Type="http://schemas.openxmlformats.org/officeDocument/2006/relationships/worksheet" Target="/xl/worksheets/sheet3.xml" Id="R53847d5bc5154735" /><Relationship Type="http://schemas.openxmlformats.org/officeDocument/2006/relationships/worksheet" Target="/xl/worksheets/sheet4.xml" Id="Rf6482dbb82544e73" /><Relationship Type="http://schemas.openxmlformats.org/officeDocument/2006/relationships/worksheet" Target="/xl/worksheets/sheet5.xml" Id="Re2d3c7ab892a4268" /><Relationship Type="http://schemas.openxmlformats.org/officeDocument/2006/relationships/worksheet" Target="/xl/worksheets/sheet6.xml" Id="R9fe6f9641e564975" /><Relationship Type="http://schemas.openxmlformats.org/officeDocument/2006/relationships/worksheet" Target="/xl/worksheets/sheet7.xml" Id="R221172f5726b4418" /><Relationship Type="http://schemas.openxmlformats.org/officeDocument/2006/relationships/worksheet" Target="/xl/worksheets/sheet8.xml" Id="Rad8583a1a06d4a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22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54" t="str">
        <x:v>ARTi Social Experiment System v2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2" ht="28" customHeight="1">
      <x:c r="A2" s="55" t="str">
        <x:v>内容生产与实验判断严格分离；所有结论来自真实发布数据。最后更新：2026-07-20</x:v>
      </x:c>
      <x:c r="B2" s="55"/>
      <x:c r="C2" s="55"/>
      <x:c r="D2" s="55"/>
      <x:c r="E2" s="55"/>
      <x:c r="F2" s="55"/>
      <x:c r="G2" s="55"/>
      <x:c r="H2" s="55"/>
      <x:c r="I2" s="55"/>
      <x:c r="J2" s="55"/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  <x:c r="J3" s="56"/>
    </x:row>
    <x:row r="4">
      <x:c r="A4" s="57" t="str">
        <x:v>create_content_package</x:v>
      </x:c>
      <x:c r="B4" s="58"/>
      <x:c r="C4" s="58"/>
      <x:c r="D4" s="58"/>
      <x:c r="E4" s="59"/>
      <x:c r="F4" s="57" t="str">
        <x:v>evaluate_experiment_result</x:v>
      </x:c>
      <x:c r="G4" s="58"/>
      <x:c r="H4" s="58"/>
      <x:c r="I4" s="58"/>
      <x:c r="J4" s="59"/>
    </x:row>
    <x:row r="5">
      <x:c r="A5" s="60" t="str">
        <x:v>1</x:v>
      </x:c>
      <x:c r="B5" s="60" t="str">
        <x:v>填 Content Inputs 六个结构化字段</x:v>
      </x:c>
      <x:c r="C5" s="60"/>
      <x:c r="D5" s="60"/>
      <x:c r="E5" s="60"/>
      <x:c r="F5" s="60" t="str">
        <x:v>1</x:v>
      </x:c>
      <x:c r="G5" s="60" t="str">
        <x:v>只填真实后台数据；缺失留空</x:v>
      </x:c>
      <x:c r="H5" s="60"/>
      <x:c r="I5" s="60"/>
      <x:c r="J5" s="60"/>
    </x:row>
    <x:row r="6">
      <x:c r="A6" s="60" t="str">
        <x:v>2</x:v>
      </x:c>
      <x:c r="B6" s="60" t="str">
        <x:v>选择 proof type，并单独记录 evidence flags / score</x:v>
      </x:c>
      <x:c r="C6" s="60"/>
      <x:c r="D6" s="60"/>
      <x:c r="E6" s="60"/>
      <x:c r="F6" s="60" t="str">
        <x:v>2</x:v>
      </x:c>
      <x:c r="G6" s="60" t="str">
        <x:v>先查 evidence 与 variable discipline</x:v>
      </x:c>
      <x:c r="H6" s="60"/>
      <x:c r="I6" s="60"/>
      <x:c r="J6" s="60"/>
    </x:row>
    <x:row r="7">
      <x:c r="A7" s="60" t="str">
        <x:v>3</x:v>
      </x:c>
      <x:c r="B7" s="60" t="str">
        <x:v>只设一个 hypothesis variable；其余固定</x:v>
      </x:c>
      <x:c r="C7" s="60"/>
      <x:c r="D7" s="60"/>
      <x:c r="E7" s="60"/>
      <x:c r="F7" s="60" t="str">
        <x:v>3</x:v>
      </x:c>
      <x:c r="G7" s="60" t="str">
        <x:v>按平台计算 success metrics</x:v>
      </x:c>
      <x:c r="H7" s="60"/>
      <x:c r="I7" s="60"/>
      <x:c r="J7" s="60"/>
    </x:row>
    <x:row r="8">
      <x:c r="A8" s="60" t="str">
        <x:v>4</x:v>
      </x:c>
      <x:c r="B8" s="60" t="str">
        <x:v>生成 content core，再分别适配 X / 小红书</x:v>
      </x:c>
      <x:c r="C8" s="60"/>
      <x:c r="D8" s="60"/>
      <x:c r="E8" s="60"/>
      <x:c r="F8" s="60" t="str">
        <x:v>4</x:v>
      </x:c>
      <x:c r="G8" s="60" t="str">
        <x:v>应用 hard decision rules</x:v>
      </x:c>
      <x:c r="H8" s="60"/>
      <x:c r="I8" s="60"/>
      <x:c r="J8" s="60"/>
    </x:row>
    <x:row r="9">
      <x:c r="A9" s="60" t="str">
        <x:v>5</x:v>
      </x:c>
      <x:c r="B9" s="60" t="str">
        <x:v>输出 evaluation_status = not_evaluated</x:v>
      </x:c>
      <x:c r="C9" s="60"/>
      <x:c r="D9" s="60"/>
      <x:c r="E9" s="60"/>
      <x:c r="F9" s="60" t="str">
        <x:v>5</x:v>
      </x:c>
      <x:c r="G9" s="60" t="str">
        <x:v>监测 pillar / proof / platform×CTA / purity / reuse</x:v>
      </x:c>
      <x:c r="H9" s="60"/>
      <x:c r="I9" s="60"/>
      <x:c r="J9" s="60"/>
    </x:row>
    <x:row r="10">
      <x:c r="A10" s="60" t="str">
        <x:v>禁止</x:v>
      </x:c>
      <x:c r="B10" s="60" t="str">
        <x:v>不读结果、不判 winner、不提升 baseline</x:v>
      </x:c>
      <x:c r="C10" s="60"/>
      <x:c r="D10" s="60"/>
      <x:c r="E10" s="60"/>
      <x:c r="F10" s="60" t="str">
        <x:v>禁止</x:v>
      </x:c>
      <x:c r="G10" s="60" t="str">
        <x:v>不在评估动作里顺手改写内容</x:v>
      </x:c>
      <x:c r="H10" s="60"/>
      <x:c r="I10" s="60"/>
      <x:c r="J10" s="60"/>
    </x:row>
    <x:row r="11">
      <x:c r="A11" s="56"/>
      <x:c r="B11" s="56"/>
      <x:c r="C11" s="56"/>
      <x:c r="D11" s="56"/>
      <x:c r="E11" s="56"/>
      <x:c r="F11" s="56"/>
      <x:c r="G11" s="56"/>
      <x:c r="H11" s="56"/>
      <x:c r="I11" s="56"/>
      <x:c r="J11" s="56"/>
    </x:row>
    <x:row r="12">
      <x:c r="A12" s="57" t="str">
        <x:v>胜利定义</x:v>
      </x:c>
      <x:c r="B12" s="58"/>
      <x:c r="C12" s="58"/>
      <x:c r="D12" s="58"/>
      <x:c r="E12" s="58"/>
      <x:c r="F12" s="58"/>
      <x:c r="G12" s="58"/>
      <x:c r="H12" s="58"/>
      <x:c r="I12" s="58"/>
      <x:c r="J12" s="59"/>
    </x:row>
    <x:row r="13">
      <x:c r="A13" s="56" t="str">
        <x:v>小红书</x:v>
      </x:c>
      <x:c r="B13" s="56" t="str">
        <x:v>收藏率</x:v>
      </x:c>
      <x:c r="C13" s="56" t="str">
        <x:v>完读/滑完</x:v>
      </x:c>
      <x:c r="D13" s="56" t="str">
        <x:v>私信意向</x:v>
      </x:c>
      <x:c r="E13" s="56" t="str">
        <x:v>主页访问</x:v>
      </x:c>
      <x:c r="F13" s="56"/>
      <x:c r="G13" s="56"/>
      <x:c r="H13" s="56"/>
      <x:c r="I13" s="56"/>
      <x:c r="J13" s="56"/>
    </x:row>
    <x:row r="14">
      <x:c r="A14" s="56" t="str">
        <x:v>X</x:v>
      </x:c>
      <x:c r="B14" s="56" t="str">
        <x:v>首屏后互动代理</x:v>
      </x:c>
      <x:c r="C14" s="56" t="str">
        <x:v>有效回复</x:v>
      </x:c>
      <x:c r="D14" s="56" t="str">
        <x:v>主页点击</x:v>
      </x:c>
      <x:c r="E14" s="56" t="str">
        <x:v>链接意向</x:v>
      </x:c>
      <x:c r="F14" s="56"/>
      <x:c r="G14" s="56"/>
      <x:c r="H14" s="56"/>
      <x:c r="I14" s="56"/>
      <x:c r="J14" s="56"/>
    </x:row>
    <x:row r="15">
      <x:c r="A15" s="56" t="str">
        <x:v>共同禁令</x:v>
      </x:c>
      <x:c r="B15" s="56" t="str">
        <x:v>不跨平台合并</x:v>
      </x:c>
      <x:c r="C15" s="56" t="str">
        <x:v>不拿点赞代替意向</x:v>
      </x:c>
      <x:c r="D15" s="56" t="str">
        <x:v>不把曝光当转化</x:v>
      </x:c>
      <x:c r="E15" s="56" t="str">
        <x:v>无 baseline 不判胜</x:v>
      </x:c>
      <x:c r="F15" s="56"/>
      <x:c r="G15" s="56"/>
      <x:c r="H15" s="56"/>
      <x:c r="I15" s="56"/>
      <x:c r="J15" s="56"/>
    </x:row>
    <x:row r="16">
      <x:c r="A16" s="56" t="str">
        <x:v>证据</x:v>
      </x:c>
      <x:c r="B16" s="56" t="str">
        <x:v>证据强度单列</x:v>
      </x:c>
      <x:c r="C16" s="56" t="str">
        <x:v>不参与胜率加权</x:v>
      </x:c>
      <x:c r="D16" s="56" t="str">
        <x:v>表现好 ≠ 证据强</x:v>
      </x:c>
      <x:c r="E16" s="56" t="str">
        <x:v>证据强 ≠ 表现好</x:v>
      </x:c>
      <x:c r="F16" s="56"/>
      <x:c r="G16" s="56"/>
      <x:c r="H16" s="56"/>
      <x:c r="I16" s="56"/>
      <x:c r="J16" s="56"/>
    </x:row>
    <x:row r="17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</x:row>
    <x:row r="18" ht="38" customHeight="1">
      <x:c r="A18" s="61" t="str">
        <x:v>硬动作：高曝光低转化 → 保留 hook 改 CTA｜高留存低互动 → 保留结构换讨论角度｜高互动低产品相关性 → 降权｜不可归因爆发 → watchlist</x:v>
      </x:c>
      <x:c r="B18" s="61"/>
      <x:c r="C18" s="61"/>
      <x:c r="D18" s="61"/>
      <x:c r="E18" s="61"/>
      <x:c r="F18" s="61"/>
      <x:c r="G18" s="61"/>
      <x:c r="H18" s="61"/>
      <x:c r="I18" s="61"/>
      <x:c r="J18" s="61"/>
    </x:row>
  </x:sheetData>
  <x:mergeCells>
    <x:mergeCell ref="A1:J1"/>
    <x:mergeCell ref="A2:J2"/>
    <x:mergeCell ref="A4:E4"/>
    <x:mergeCell ref="F4:J4"/>
    <x:mergeCell ref="B5:E5"/>
    <x:mergeCell ref="G5:J5"/>
    <x:mergeCell ref="B6:E6"/>
    <x:mergeCell ref="G6:J6"/>
    <x:mergeCell ref="B7:E7"/>
    <x:mergeCell ref="G7:J7"/>
    <x:mergeCell ref="B8:E8"/>
    <x:mergeCell ref="G8:J8"/>
    <x:mergeCell ref="B9:E9"/>
    <x:mergeCell ref="G9:J9"/>
    <x:mergeCell ref="B10:E10"/>
    <x:mergeCell ref="G10:J10"/>
    <x:mergeCell ref="A12:J12"/>
    <x:mergeCell ref="A18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42" hidden="0" customWidth="1"/>
    <x:col min="4" max="4" width="4" hidden="0" customWidth="1"/>
    <x:col min="5" max="5" width="28" hidden="0" customWidth="1"/>
    <x:col min="6" max="6" width="18" hidden="0" customWidth="1"/>
    <x:col min="7" max="7" width="3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54" t="str">
        <x:v>Content Inputs · create_content_package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2" ht="28" customHeight="1">
      <x:c r="A2" s="55" t="str">
        <x:v>这里只设计内容与假设。即使字段齐全，也必须保持 evaluation_status = not_evaluated。</x:v>
      </x:c>
      <x:c r="B2" s="55"/>
      <x:c r="C2" s="55"/>
      <x:c r="D2" s="55"/>
      <x:c r="E2" s="55"/>
      <x:c r="F2" s="55"/>
      <x:c r="G2" s="55"/>
      <x:c r="H2" s="55"/>
      <x:c r="I2" s="55"/>
      <x:c r="J2" s="55"/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  <x:c r="J3" s="56"/>
    </x:row>
    <x:row r="4" ht="26" customHeight="1">
      <x:c r="A4" s="62" t="str">
        <x:v>字段</x:v>
      </x:c>
      <x:c r="B4" s="63" t="str">
        <x:v>结构化输入</x:v>
      </x:c>
      <x:c r="C4" s="64" t="str">
        <x:v>说明</x:v>
      </x:c>
      <x:c r="D4" s="56"/>
      <x:c r="E4" s="62" t="str">
        <x:v>evidence_flags</x:v>
      </x:c>
      <x:c r="F4" s="63" t="str">
        <x:v>值</x:v>
      </x:c>
      <x:c r="G4" s="64" t="str">
        <x:v>判定</x:v>
      </x:c>
      <x:c r="H4" s="56"/>
      <x:c r="I4" s="56"/>
      <x:c r="J4" s="56"/>
    </x:row>
    <x:row r="5">
      <x:c r="A5" s="56" t="str">
        <x:v>action</x:v>
      </x:c>
      <x:c r="B5" s="65" t="str">
        <x:v>create_content_package</x:v>
      </x:c>
      <x:c r="C5" s="56" t="str">
        <x:v>固定动作</x:v>
      </x:c>
      <x:c r="D5" s="56"/>
      <x:c r="E5" s="56" t="str">
        <x:v>real_product_usage</x:v>
      </x:c>
      <x:c r="F5" s="66" t="str"/>
      <x:c r="G5" s="56" t="str">
        <x:v>真实使用过程</x:v>
      </x:c>
      <x:c r="H5" s="56"/>
      <x:c r="I5" s="56"/>
      <x:c r="J5" s="56"/>
    </x:row>
    <x:row r="6">
      <x:c r="A6" s="56" t="str">
        <x:v>package_id</x:v>
      </x:c>
      <x:c r="B6" s="66" t="str"/>
      <x:c r="C6" s="56" t="str">
        <x:v>ARTI-平台-日期-序号</x:v>
      </x:c>
      <x:c r="D6" s="56"/>
      <x:c r="E6" s="56" t="str">
        <x:v>screenshot_proof</x:v>
      </x:c>
      <x:c r="F6" s="66" t="str"/>
      <x:c r="G6" s="56" t="str">
        <x:v>可读 screenshot / result</x:v>
      </x:c>
      <x:c r="H6" s="56"/>
      <x:c r="I6" s="56"/>
      <x:c r="J6" s="56"/>
    </x:row>
    <x:row r="7">
      <x:c r="A7" s="56" t="str">
        <x:v>post_id</x:v>
      </x:c>
      <x:c r="B7" s="66" t="str"/>
      <x:c r="C7" s="56" t="str">
        <x:v>每个平台独立 ID</x:v>
      </x:c>
      <x:c r="D7" s="56"/>
      <x:c r="E7" s="56" t="str">
        <x:v>benchmark_data</x:v>
      </x:c>
      <x:c r="F7" s="66" t="str"/>
      <x:c r="G7" s="56" t="str">
        <x:v>有来源和方法的数据</x:v>
      </x:c>
      <x:c r="H7" s="56"/>
      <x:c r="I7" s="56"/>
      <x:c r="J7" s="56"/>
    </x:row>
    <x:row r="8">
      <x:c r="A8" s="56" t="str">
        <x:v>platform</x:v>
      </x:c>
      <x:c r="B8" s="66" t="str"/>
      <x:c r="C8" s="56" t="str">
        <x:v>xiaohongshu / x</x:v>
      </x:c>
      <x:c r="D8" s="56"/>
      <x:c r="E8" s="56" t="str">
        <x:v>subjective_opinion_only</x:v>
      </x:c>
      <x:c r="F8" s="66" t="str"/>
      <x:c r="G8" s="56" t="str">
        <x:v>只有主观看法</x:v>
      </x:c>
      <x:c r="H8" s="56"/>
      <x:c r="I8" s="56"/>
      <x:c r="J8" s="56"/>
    </x:row>
    <x:row r="9">
      <x:c r="A9" s="56" t="str">
        <x:v>pillar</x:v>
      </x:c>
      <x:c r="B9" s="66" t="str"/>
      <x:c r="C9" s="56" t="str">
        <x:v>五个 ARTi content pillars 之一</x:v>
      </x:c>
      <x:c r="D9" s="56"/>
      <x:c r="E9" s="56"/>
      <x:c r="F9" s="56"/>
      <x:c r="G9" s="56"/>
      <x:c r="H9" s="56"/>
      <x:c r="I9" s="56"/>
      <x:c r="J9" s="56"/>
    </x:row>
    <x:row r="10">
      <x:c r="A10" s="56" t="str">
        <x:v>audience_stage</x:v>
      </x:c>
      <x:c r="B10" s="66" t="str"/>
      <x:c r="C10" s="56" t="str">
        <x:v>problem_unaware → product_aware</x:v>
      </x:c>
      <x:c r="D10" s="56"/>
      <x:c r="E10" s="57" t="str">
        <x:v>证据分级</x:v>
      </x:c>
      <x:c r="F10" s="58"/>
      <x:c r="G10" s="58"/>
      <x:c r="H10" s="58"/>
      <x:c r="I10" s="58"/>
      <x:c r="J10" s="59"/>
    </x:row>
    <x:row r="11">
      <x:c r="A11" s="56" t="str">
        <x:v>proof_type</x:v>
      </x:c>
      <x:c r="B11" s="66" t="str"/>
      <x:c r="C11" s="56" t="str">
        <x:v>主证据类型</x:v>
      </x:c>
      <x:c r="D11" s="56"/>
      <x:c r="E11" s="56" t="n">
        <x:v>4</x:v>
      </x:c>
      <x:c r="F11" s="56" t="str">
        <x:v>benchmark/data 有来源与方法；或真实使用 + 可读截图</x:v>
      </x:c>
      <x:c r="G11" s="56"/>
      <x:c r="H11" s="56"/>
      <x:c r="I11" s="56"/>
      <x:c r="J11" s="56"/>
    </x:row>
    <x:row r="12">
      <x:c r="A12" s="56" t="str">
        <x:v>cta_type</x:v>
      </x:c>
      <x:c r="B12" s="66" t="str"/>
      <x:c r="C12" s="56" t="str">
        <x:v>希望用户采取的动作</x:v>
      </x:c>
      <x:c r="D12" s="56"/>
      <x:c r="E12" s="56" t="n">
        <x:v>3</x:v>
      </x:c>
      <x:c r="F12" s="56" t="str">
        <x:v>有上下文与来源的截图；或完整记录的真实使用</x:v>
      </x:c>
      <x:c r="G12" s="56"/>
      <x:c r="H12" s="56"/>
      <x:c r="I12" s="56"/>
      <x:c r="J12" s="56"/>
    </x:row>
    <x:row r="13">
      <x:c r="A13" s="56" t="str">
        <x:v>hypothesis_variable</x:v>
      </x:c>
      <x:c r="B13" s="66" t="str"/>
      <x:c r="C13" s="56" t="str">
        <x:v>唯一计划变量</x:v>
      </x:c>
      <x:c r="D13" s="56"/>
      <x:c r="E13" s="56" t="n">
        <x:v>2</x:v>
      </x:c>
      <x:c r="F13" s="56" t="str">
        <x:v>真实使用，但缺少完整 proof artifact</x:v>
      </x:c>
      <x:c r="G13" s="56"/>
      <x:c r="H13" s="56"/>
      <x:c r="I13" s="56"/>
      <x:c r="J13" s="56"/>
    </x:row>
    <x:row r="14">
      <x:c r="A14" s="56" t="str">
        <x:v>changed_variable_count</x:v>
      </x:c>
      <x:c r="B14" s="66" t="str"/>
      <x:c r="C14" s="56" t="str">
        <x:v>受控实验必须为 1</x:v>
      </x:c>
      <x:c r="D14" s="56"/>
      <x:c r="E14" s="56" t="n">
        <x:v>1</x:v>
      </x:c>
      <x:c r="F14" s="56" t="str">
        <x:v>subjective opinion only</x:v>
      </x:c>
      <x:c r="G14" s="56"/>
      <x:c r="H14" s="56"/>
      <x:c r="I14" s="56"/>
      <x:c r="J14" s="56"/>
    </x:row>
    <x:row r="15">
      <x:c r="A15" s="56" t="str">
        <x:v>variable_discipline</x:v>
      </x:c>
      <x:c r="B15" s="67" t="str">
        <x:f>IF(B14="","unknown",IF(B14=0,"baseline",IF(B14=1,"pure","mixed")))</x:f>
        <x:v>unknown</x:v>
      </x:c>
      <x:c r="C15" s="56" t="str">
        <x:v>公式：pure / mixed / baseline / unknown</x:v>
      </x:c>
      <x:c r="D15" s="56"/>
      <x:c r="E15" s="56"/>
      <x:c r="F15" s="56"/>
      <x:c r="G15" s="56"/>
      <x:c r="H15" s="56"/>
      <x:c r="I15" s="56"/>
      <x:c r="J15" s="56"/>
    </x:row>
    <x:row r="16">
      <x:c r="A16" s="56" t="str">
        <x:v>primary_metric</x:v>
      </x:c>
      <x:c r="B16" s="66" t="str"/>
      <x:c r="C16" s="56" t="str">
        <x:v>必须属于目标平台</x:v>
      </x:c>
      <x:c r="D16" s="56"/>
      <x:c r="E16" s="57" t="str">
        <x:v>输出合同</x:v>
      </x:c>
      <x:c r="F16" s="58"/>
      <x:c r="G16" s="58"/>
      <x:c r="H16" s="58"/>
      <x:c r="I16" s="58"/>
      <x:c r="J16" s="59"/>
    </x:row>
    <x:row r="17">
      <x:c r="A17" s="56" t="str">
        <x:v>guardrail_metric</x:v>
      </x:c>
      <x:c r="B17" s="66" t="str"/>
      <x:c r="C17" s="56" t="str">
        <x:v>不能明显恶化</x:v>
      </x:c>
      <x:c r="D17" s="56"/>
      <x:c r="E17" s="56" t="str">
        <x:v>content_package.json</x:v>
      </x:c>
      <x:c r="F17" s="56" t="str">
        <x:v>包含六个结构化字段与 not_evaluated</x:v>
      </x:c>
      <x:c r="G17" s="56"/>
      <x:c r="H17" s="56"/>
      <x:c r="I17" s="56"/>
      <x:c r="J17" s="56"/>
    </x:row>
    <x:row r="18">
      <x:c r="A18" s="56" t="str">
        <x:v>hypothesis</x:v>
      </x:c>
      <x:c r="B18" s="66" t="str"/>
      <x:c r="C18" s="56" t="str">
        <x:v>如果只改 X，预计 Y 提升，Z 不恶化</x:v>
      </x:c>
      <x:c r="D18" s="56"/>
      <x:c r="E18" s="56" t="str">
        <x:v>content_core.md</x:v>
      </x:c>
      <x:c r="F18" s="56" t="str">
        <x:v>平台无关事实、证据、限制与 CTA 意图</x:v>
      </x:c>
      <x:c r="G18" s="56"/>
      <x:c r="H18" s="56"/>
      <x:c r="I18" s="56"/>
      <x:c r="J18" s="56"/>
    </x:row>
    <x:row r="19">
      <x:c r="A19" s="56" t="str">
        <x:v>fixed_variables</x:v>
      </x:c>
      <x:c r="B19" s="66" t="str"/>
      <x:c r="C19" s="56" t="str">
        <x:v>列出保持不变的要素</x:v>
      </x:c>
      <x:c r="D19" s="56"/>
      <x:c r="E19" s="56" t="str">
        <x:v>platform/*.md</x:v>
      </x:c>
      <x:c r="F19" s="56" t="str">
        <x:v>只生成指定平台版本</x:v>
      </x:c>
      <x:c r="G19" s="56"/>
      <x:c r="H19" s="56"/>
      <x:c r="I19" s="56"/>
      <x:c r="J19" s="56"/>
    </x:row>
    <x:row r="20">
      <x:c r="A20" s="56" t="str">
        <x:v>source_reference</x:v>
      </x:c>
      <x:c r="B20" s="66" t="str"/>
      <x:c r="C20" s="56" t="str">
        <x:v>来源、输入、日期或方法</x:v>
      </x:c>
      <x:c r="D20" s="56"/>
      <x:c r="E20" s="56" t="str">
        <x:v>visual_spec.md</x:v>
      </x:c>
      <x:c r="F20" s="56" t="str">
        <x:v>需要视觉时生成；不改变内容核心</x:v>
      </x:c>
      <x:c r="G20" s="56"/>
      <x:c r="H20" s="56"/>
      <x:c r="I20" s="56"/>
      <x:c r="J20" s="56"/>
    </x:row>
    <x:row r="21">
      <x:c r="A21" s="56" t="str">
        <x:v>proof_artifact</x:v>
      </x:c>
      <x:c r="B21" s="66" t="str"/>
      <x:c r="C21" s="56" t="str">
        <x:v>截图路径 / URL / 输出记录</x:v>
      </x:c>
      <x:c r="D21" s="56"/>
      <x:c r="E21" s="56"/>
      <x:c r="F21" s="56"/>
      <x:c r="G21" s="56"/>
      <x:c r="H21" s="56"/>
      <x:c r="I21" s="56"/>
      <x:c r="J21" s="56"/>
    </x:row>
    <x:row r="22">
      <x:c r="A22" s="56" t="str">
        <x:v>evidence_strength_score</x:v>
      </x:c>
      <x:c r="B22" s="66" t="str"/>
      <x:c r="C22" s="56" t="str">
        <x:v>1–4，可信度不等于表现</x:v>
      </x:c>
      <x:c r="D22" s="56"/>
      <x:c r="E22" s="56"/>
      <x:c r="F22" s="56"/>
      <x:c r="G22" s="56"/>
      <x:c r="H22" s="56"/>
      <x:c r="I22" s="56"/>
      <x:c r="J22" s="56"/>
    </x:row>
    <x:row r="23">
      <x:c r="A23" s="56" t="str">
        <x:v>evaluation_status</x:v>
      </x:c>
      <x:c r="B23" s="65" t="str">
        <x:v>not_evaluated</x:v>
      </x:c>
      <x:c r="C23" s="56" t="str">
        <x:v>固定状态</x:v>
      </x:c>
      <x:c r="D23" s="56"/>
      <x:c r="E23" s="56"/>
      <x:c r="F23" s="56"/>
      <x:c r="G23" s="56"/>
      <x:c r="H23" s="56"/>
      <x:c r="I23" s="56"/>
      <x:c r="J23" s="56"/>
    </x:row>
  </x:sheetData>
  <x:mergeCells>
    <x:mergeCell ref="A1:J1"/>
    <x:mergeCell ref="A2:J2"/>
    <x:mergeCell ref="E10:J10"/>
    <x:mergeCell ref="E16:J16"/>
  </x:mergeCells>
  <x:dataValidations count="9">
    <x:dataValidation type="list" sqref="B8">
      <x:formula1>"xiaohongshu,x"</x:formula1>
    </x:dataValidation>
    <x:dataValidation type="list" sqref="B9">
      <x:formula1>"ai_tool_benchmark,ai_workflow,research_education,arti_product_test,audience_cocreation"</x:formula1>
    </x:dataValidation>
    <x:dataValidation type="list" sqref="B10">
      <x:formula1>"problem_unaware,problem_aware,solution_aware,product_aware"</x:formula1>
    </x:dataValidation>
    <x:dataValidation type="list" sqref="B11">
      <x:formula1>"real_product_usage,screenshot_proof,benchmark_data,subjective_opinion_only"</x:formula1>
    </x:dataValidation>
    <x:dataValidation type="list" sqref="B12">
      <x:formula1>"save,discussion,profile_visit,dm,link_click,product_question,trial_intent"</x:formula1>
    </x:dataValidation>
    <x:dataValidation type="list" sqref="B13">
      <x:formula1>"hook,content_structure,visual,cta,format,posting_time,proof_type"</x:formula1>
    </x:dataValidation>
    <x:dataValidation type="whole" operator="between" sqref="B14">
      <x:formula1>0</x:formula1>
      <x:formula2>9</x:formula2>
    </x:dataValidation>
    <x:dataValidation type="whole" operator="between" sqref="B22">
      <x:formula1>1</x:formula1>
      <x:formula2>4</x:formula2>
    </x:dataValidation>
    <x:dataValidation type="list" sqref="F5:F8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6" hidden="0" customWidth="1"/>
    <x:col min="5" max="5" width="22" hidden="0" customWidth="1"/>
    <x:col min="6" max="6" width="18" hidden="0" customWidth="1"/>
    <x:col min="7" max="7" width="22" hidden="0" customWidth="1"/>
    <x:col min="8" max="8" width="12" hidden="0" customWidth="1"/>
    <x:col min="9" max="9" width="18" hidden="0" customWidth="1"/>
    <x:col min="10" max="10" width="20" hidden="0" customWidth="1"/>
    <x:col min="11" max="11" width="12" hidden="0" customWidth="1"/>
    <x:col min="12" max="12" width="17" hidden="0" customWidth="1"/>
    <x:col min="13" max="13" width="18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4" hidden="0" customWidth="1"/>
    <x:col min="19" max="19" width="14" hidden="0" customWidth="1"/>
    <x:col min="20" max="20" width="16" hidden="0" customWidth="1"/>
    <x:col min="21" max="21" width="12" hidden="0" customWidth="1"/>
    <x:col min="22" max="22" width="28" hidden="0" customWidth="1"/>
    <x:col min="23" max="23" width="28" hidden="0" customWidth="1"/>
    <x:col min="24" max="24" width="12" hidden="0" customWidth="1"/>
    <x:col min="25" max="25" width="12" hidden="0" customWidth="1"/>
    <x:col min="26" max="26" width="12" hidden="0" customWidth="1"/>
    <x:col min="27" max="27" width="14" hidden="0" customWidth="1"/>
    <x:col min="28" max="28" width="28" hidden="0" customWidth="1"/>
    <x:col min="29" max="29" width="28" hidden="0" customWidth="1"/>
    <x:col min="30" max="30" width="13" hidden="0" customWidth="1"/>
    <x:col min="31" max="31" width="13" hidden="0" customWidth="1"/>
    <x:col min="32" max="32" width="12" hidden="0" customWidth="1"/>
    <x:col min="33" max="33" width="16" hidden="0" customWidth="1"/>
    <x:col min="34" max="34" width="11" hidden="0" customWidth="1"/>
    <x:col min="35" max="35" width="12" hidden="0" customWidth="1"/>
    <x:col min="36" max="36" width="18" hidden="0" customWidth="1"/>
    <x:col min="37" max="37" width="12" hidden="0" customWidth="1"/>
    <x:col min="38" max="38" width="12" hidden="0" customWidth="1"/>
    <x:col min="39" max="39" width="14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8" hidden="0" customWidth="1"/>
    <x:col min="45" max="45" width="16" hidden="0" customWidth="1"/>
    <x:col min="46" max="46" width="16" hidden="0" customWidth="1"/>
    <x:col min="47" max="47" width="16" hidden="0" customWidth="1"/>
    <x:col min="48" max="48" width="15" hidden="0" customWidth="1"/>
    <x:col min="49" max="49" width="16" hidden="0" customWidth="1"/>
    <x:col min="50" max="50" width="16" hidden="0" customWidth="1"/>
    <x:col min="51" max="51" width="16" hidden="0" customWidth="1"/>
    <x:col min="52" max="52" width="19" hidden="0" customWidth="1"/>
    <x:col min="53" max="53" width="15" hidden="0" customWidth="1"/>
    <x:col min="54" max="54" width="17" hidden="0" customWidth="1"/>
    <x:col min="55" max="55" width="18" hidden="0" customWidth="1"/>
    <x:col min="56" max="56" width="16" hidden="0" customWidth="1"/>
    <x:col min="57" max="57" width="17" hidden="0" customWidth="1"/>
    <x:col min="58" max="58" width="20" hidden="0" customWidth="1"/>
    <x:col min="59" max="59" width="22" hidden="0" customWidth="1"/>
    <x:col min="60" max="60" width="18" hidden="0" customWidth="1"/>
    <x:col min="61" max="61" width="17" hidden="0" customWidth="1"/>
    <x:col min="62" max="62" width="17" hidden="0" customWidth="1"/>
    <x:col min="63" max="63" width="14" hidden="0" customWidth="1"/>
    <x:col min="64" max="64" width="20" hidden="0" customWidth="1"/>
    <x:col min="65" max="65" width="18" hidden="0" customWidth="1"/>
    <x:col min="66" max="66" width="14" hidden="0" customWidth="1"/>
    <x:col min="67" max="67" width="18" hidden="0" customWidth="1"/>
    <x:col min="68" max="68" width="14" hidden="0" customWidth="1"/>
    <x:col min="69" max="69" width="13" hidden="0" customWidth="1"/>
    <x:col min="70" max="70" width="15" hidden="0" customWidth="1"/>
    <x:col min="71" max="71" width="15" hidden="0" customWidth="1"/>
    <x:col min="72" max="72" width="15" hidden="0" customWidth="1"/>
    <x:col min="73" max="73" width="19" hidden="0" customWidth="1"/>
    <x:col min="74" max="74" width="13" hidden="0" customWidth="1"/>
    <x:col min="75" max="75" width="15" hidden="0" customWidth="1"/>
    <x:col min="76" max="76" width="15" hidden="0" customWidth="1"/>
    <x:col min="77" max="77" width="15" hidden="0" customWidth="1"/>
    <x:col min="78" max="78" width="19" hidden="0" customWidth="1"/>
    <x:col min="79" max="79" width="18" hidden="0" customWidth="1"/>
    <x:col min="80" max="80" width="16" hidden="0" customWidth="1"/>
    <x:col min="81" max="81" width="38" hidden="0" customWidth="1"/>
    <x:col min="82" max="82" width="34" hidden="0" customWidth="1"/>
  </x:cols>
  <x:sheetData>
    <x:row r="1" ht="26" customHeight="1">
      <x:c r="A1" s="62" t="str">
        <x:v>post_id</x:v>
      </x:c>
      <x:c r="B1" s="63" t="str">
        <x:v>publish_date</x:v>
      </x:c>
      <x:c r="C1" s="63" t="str">
        <x:v>platform</x:v>
      </x:c>
      <x:c r="D1" s="63" t="str">
        <x:v>account</x:v>
      </x:c>
      <x:c r="E1" s="63" t="str">
        <x:v>pillar</x:v>
      </x:c>
      <x:c r="F1" s="63" t="str">
        <x:v>audience_stage</x:v>
      </x:c>
      <x:c r="G1" s="63" t="str">
        <x:v>proof_type</x:v>
      </x:c>
      <x:c r="H1" s="63" t="str">
        <x:v>evidence_strength_score</x:v>
      </x:c>
      <x:c r="I1" s="63" t="str">
        <x:v>cta_type</x:v>
      </x:c>
      <x:c r="J1" s="63" t="str">
        <x:v>hypothesis_variable</x:v>
      </x:c>
      <x:c r="K1" s="63" t="str">
        <x:v>changed_variable_count</x:v>
      </x:c>
      <x:c r="L1" s="63" t="str">
        <x:v>variable_discipline</x:v>
      </x:c>
      <x:c r="M1" s="63" t="str">
        <x:v>template_id</x:v>
      </x:c>
      <x:c r="N1" s="63" t="str">
        <x:v>content_template</x:v>
      </x:c>
      <x:c r="O1" s="63" t="str">
        <x:v>visual_template</x:v>
      </x:c>
      <x:c r="P1" s="63" t="str">
        <x:v>hook_template</x:v>
      </x:c>
      <x:c r="Q1" s="63" t="str">
        <x:v>cta_template</x:v>
      </x:c>
      <x:c r="R1" s="63" t="str">
        <x:v>format</x:v>
      </x:c>
      <x:c r="S1" s="63" t="str">
        <x:v>test_block</x:v>
      </x:c>
      <x:c r="T1" s="63" t="str">
        <x:v>status</x:v>
      </x:c>
      <x:c r="U1" s="63" t="str">
        <x:v>anomaly_flag</x:v>
      </x:c>
      <x:c r="V1" s="63" t="str">
        <x:v>source_reference</x:v>
      </x:c>
      <x:c r="W1" s="63" t="str">
        <x:v>proof_artifact</x:v>
      </x:c>
      <x:c r="X1" s="63" t="str">
        <x:v>real_product_usage</x:v>
      </x:c>
      <x:c r="Y1" s="63" t="str">
        <x:v>screenshot_proof</x:v>
      </x:c>
      <x:c r="Z1" s="63" t="str">
        <x:v>benchmark_data</x:v>
      </x:c>
      <x:c r="AA1" s="63" t="str">
        <x:v>subjective_opinion_only</x:v>
      </x:c>
      <x:c r="AB1" s="63" t="str">
        <x:v>primary_metric</x:v>
      </x:c>
      <x:c r="AC1" s="63" t="str">
        <x:v>guardrail_metric</x:v>
      </x:c>
      <x:c r="AD1" s="63" t="str">
        <x:v>impressions_24h</x:v>
      </x:c>
      <x:c r="AE1" s="63" t="str">
        <x:v>views_24h</x:v>
      </x:c>
      <x:c r="AF1" s="63" t="str">
        <x:v>saves_24h</x:v>
      </x:c>
      <x:c r="AG1" s="63" t="str">
        <x:v>completed_views_24h</x:v>
      </x:c>
      <x:c r="AH1" s="63" t="str">
        <x:v>likes_24h</x:v>
      </x:c>
      <x:c r="AI1" s="63" t="str">
        <x:v>comments_24h</x:v>
      </x:c>
      <x:c r="AJ1" s="63" t="str">
        <x:v>qualified_replies_72h</x:v>
      </x:c>
      <x:c r="AK1" s="63" t="str">
        <x:v>reposts_24h</x:v>
      </x:c>
      <x:c r="AL1" s="63" t="str">
        <x:v>bookmarks_24h</x:v>
      </x:c>
      <x:c r="AM1" s="63" t="str">
        <x:v>engagements_24h</x:v>
      </x:c>
      <x:c r="AN1" s="63" t="str">
        <x:v>profile_visits_24h</x:v>
      </x:c>
      <x:c r="AO1" s="63" t="str">
        <x:v>profile_clicks_24h</x:v>
      </x:c>
      <x:c r="AP1" s="63" t="str">
        <x:v>link_intents_24h</x:v>
      </x:c>
      <x:c r="AQ1" s="63" t="str">
        <x:v>dm_intents_72h</x:v>
      </x:c>
      <x:c r="AR1" s="63" t="str">
        <x:v>product_questions_72h</x:v>
      </x:c>
      <x:c r="AS1" s="63" t="str">
        <x:v>trial_intents_72h</x:v>
      </x:c>
      <x:c r="AT1" s="63" t="str">
        <x:v>baseline_primary_value</x:v>
      </x:c>
      <x:c r="AU1" s="63" t="str">
        <x:v>baseline_guardrail_value</x:v>
      </x:c>
      <x:c r="AV1" s="63" t="str">
        <x:v>baseline_reach_value</x:v>
      </x:c>
      <x:c r="AW1" s="63" t="str">
        <x:v>baseline_retention_value</x:v>
      </x:c>
      <x:c r="AX1" s="63" t="str">
        <x:v>baseline_interaction_value</x:v>
      </x:c>
      <x:c r="AY1" s="63" t="str">
        <x:v>baseline_conversion_value</x:v>
      </x:c>
      <x:c r="AZ1" s="63" t="str">
        <x:v>baseline_product_relevance_value</x:v>
      </x:c>
      <x:c r="BA1" s="63" t="str">
        <x:v>xhs_save_rate</x:v>
      </x:c>
      <x:c r="BB1" s="63" t="str">
        <x:v>xhs_completion_rate</x:v>
      </x:c>
      <x:c r="BC1" s="63" t="str">
        <x:v>xhs_profile_visit_rate</x:v>
      </x:c>
      <x:c r="BD1" s="63" t="str">
        <x:v>xhs_dm_intent_rate</x:v>
      </x:c>
      <x:c r="BE1" s="63" t="str">
        <x:v>xhs_discussion_rate</x:v>
      </x:c>
      <x:c r="BF1" s="63" t="str">
        <x:v>xhs_product_relevance_rate</x:v>
      </x:c>
      <x:c r="BG1" s="63" t="str">
        <x:v>x_first_screen_engaged_rate_proxy</x:v>
      </x:c>
      <x:c r="BH1" s="63" t="str">
        <x:v>x_qualified_reply_rate</x:v>
      </x:c>
      <x:c r="BI1" s="63" t="str">
        <x:v>x_profile_click_rate</x:v>
      </x:c>
      <x:c r="BJ1" s="63" t="str">
        <x:v>x_link_intent_rate</x:v>
      </x:c>
      <x:c r="BK1" s="63" t="str">
        <x:v>x_bookmark_rate</x:v>
      </x:c>
      <x:c r="BL1" s="63" t="str">
        <x:v>x_product_relevance_rate</x:v>
      </x:c>
      <x:c r="BM1" s="63" t="str">
        <x:v>primary_metric_value</x:v>
      </x:c>
      <x:c r="BN1" s="63" t="str">
        <x:v>primary_lift</x:v>
      </x:c>
      <x:c r="BO1" s="63" t="str">
        <x:v>guardrail_metric_value</x:v>
      </x:c>
      <x:c r="BP1" s="63" t="str">
        <x:v>guardrail_lift</x:v>
      </x:c>
      <x:c r="BQ1" s="63" t="str">
        <x:v>reach_value</x:v>
      </x:c>
      <x:c r="BR1" s="63" t="str">
        <x:v>retention_value</x:v>
      </x:c>
      <x:c r="BS1" s="63" t="str">
        <x:v>interaction_value</x:v>
      </x:c>
      <x:c r="BT1" s="63" t="str">
        <x:v>conversion_value</x:v>
      </x:c>
      <x:c r="BU1" s="63" t="str">
        <x:v>product_relevance_value</x:v>
      </x:c>
      <x:c r="BV1" s="63" t="str">
        <x:v>reach_band</x:v>
      </x:c>
      <x:c r="BW1" s="63" t="str">
        <x:v>retention_band</x:v>
      </x:c>
      <x:c r="BX1" s="63" t="str">
        <x:v>interaction_band</x:v>
      </x:c>
      <x:c r="BY1" s="63" t="str">
        <x:v>conversion_band</x:v>
      </x:c>
      <x:c r="BZ1" s="63" t="str">
        <x:v>product_relevance_band</x:v>
      </x:c>
      <x:c r="CA1" s="63" t="str">
        <x:v>attribution_status</x:v>
      </x:c>
      <x:c r="CB1" s="63" t="str">
        <x:v>win_status</x:v>
      </x:c>
      <x:c r="CC1" s="63" t="str">
        <x:v>next_action_code</x:v>
      </x:c>
      <x:c r="CD1" s="64" t="str">
        <x:v>notes</x:v>
      </x:c>
    </x:row>
    <x:row r="2">
      <x:c r="A2" s="68"/>
      <x:c r="B2" s="69"/>
      <x:c r="C2" s="68"/>
      <x:c r="D2" s="68"/>
      <x:c r="E2" s="68"/>
      <x:c r="F2" s="68"/>
      <x:c r="G2" s="68"/>
      <x:c r="H2" s="70"/>
      <x:c r="I2" s="68"/>
      <x:c r="J2" s="68"/>
      <x:c r="K2" s="68"/>
      <x:c r="L2" s="71" t="str">
        <x:f>IF(K2="","unknown",IF(K2=0,"baseline",IF(K2=1,"pure","mixed")))</x:f>
        <x:v>unknown</x:v>
      </x:c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  <x:c r="AA2" s="68"/>
      <x:c r="AB2" s="68"/>
      <x:c r="AC2" s="68"/>
      <x:c r="AD2" s="70"/>
      <x:c r="AE2" s="70"/>
      <x:c r="AF2" s="70"/>
      <x:c r="AG2" s="70"/>
      <x:c r="AH2" s="70"/>
      <x:c r="AI2" s="70"/>
      <x:c r="AJ2" s="70"/>
      <x:c r="AK2" s="70"/>
      <x:c r="AL2" s="70"/>
      <x:c r="AM2" s="70"/>
      <x:c r="AN2" s="70"/>
      <x:c r="AO2" s="70"/>
      <x:c r="AP2" s="70"/>
      <x:c r="AQ2" s="70"/>
      <x:c r="AR2" s="70"/>
      <x:c r="AS2" s="70"/>
      <x:c r="AT2" s="72"/>
      <x:c r="AU2" s="72"/>
      <x:c r="AV2" s="72"/>
      <x:c r="AW2" s="72"/>
      <x:c r="AX2" s="72"/>
      <x:c r="AY2" s="72"/>
      <x:c r="AZ2" s="72"/>
      <x:c r="BA2" s="73" t="str">
        <x:f>IF(C2="xiaohongshu",IF(COUNT(AF2,AE2)&lt;2,"",IFERROR(AF2/AE2,"")),"")</x:f>
      </x:c>
      <x:c r="BB2" s="73" t="str">
        <x:f>IF(C2="xiaohongshu",IF(COUNT(AG2,AE2)&lt;2,"",IFERROR(AG2/AE2,"")),"")</x:f>
      </x:c>
      <x:c r="BC2" s="73" t="str">
        <x:f>IF(C2="xiaohongshu",IF(COUNT(AN2,AE2)&lt;2,"",IFERROR(AN2/AE2,"")),"")</x:f>
      </x:c>
      <x:c r="BD2" s="73" t="str">
        <x:f>IF(C2="xiaohongshu",IF(COUNT(AQ2,AE2)&lt;2,"",IFERROR(AQ2/AE2,"")),"")</x:f>
      </x:c>
      <x:c r="BE2" s="73" t="str">
        <x:f>IF(C2="xiaohongshu",IF(COUNT(AI2,AE2)&lt;2,"",IFERROR(AI2/AE2,"")),"")</x:f>
      </x:c>
      <x:c r="BF2" s="73" t="str">
        <x:f>IF(C2="xiaohongshu",IF(OR(COUNT(AE2)=0,COUNT(AR2,AS2)=0),"",IFERROR((AR2+AS2)/AE2,"")),"")</x:f>
      </x:c>
      <x:c r="BG2" s="73" t="str">
        <x:f>IF(C2="x",IF(COUNT(AD2)=0,"",IF(COUNT(AM2)=1,IFERROR(AM2/AD2,""),IF(COUNT(AH2,AI2,AK2,AL2)=0,"",IFERROR(SUM(AH2,AI2,AK2,AL2)/AD2,"")))),"")</x:f>
      </x:c>
      <x:c r="BH2" s="73" t="str">
        <x:f>IF(C2="x",IF(COUNT(AJ2,AD2)&lt;2,"",IFERROR(AJ2/AD2,"")),"")</x:f>
      </x:c>
      <x:c r="BI2" s="73" t="str">
        <x:f>IF(C2="x",IF(COUNT(AO2,AD2)&lt;2,"",IFERROR(AO2/AD2,"")),"")</x:f>
      </x:c>
      <x:c r="BJ2" s="73" t="str">
        <x:f>IF(C2="x",IF(COUNT(AP2,AD2)&lt;2,"",IFERROR(AP2/AD2,"")),"")</x:f>
      </x:c>
      <x:c r="BK2" s="73" t="str">
        <x:f>IF(C2="x",IF(COUNT(AL2,AD2)&lt;2,"",IFERROR(AL2/AD2,"")),"")</x:f>
      </x:c>
      <x:c r="BL2" s="73" t="str">
        <x:f>IF(C2="x",IF(OR(COUNT(AD2)=0,COUNT(AR2,AS2)=0),"",IFERROR((AR2+AS2)/AD2,"")),"")</x:f>
      </x:c>
      <x:c r="BM2" s="73" t="str">
        <x:f>IF(AB2="xhs_save_rate",BA2,IF(AB2="xhs_completion_rate",BB2,IF(AB2="xhs_profile_visit_rate",BC2,IF(AB2="xhs_dm_intent_rate",BD2,IF(AB2="xhs_discussion_rate",BE2,IF(AB2="xhs_product_relevance_rate",BF2,IF(AB2="x_first_screen_engaged_rate_proxy",BG2,IF(AB2="x_qualified_reply_rate",BH2,IF(AB2="x_profile_click_rate",BI2,IF(AB2="x_link_intent_rate",BJ2,IF(AB2="x_bookmark_rate",BK2,IF(AB2="x_product_relevance_rate",BL2,""))))))))))))</x:f>
      </x:c>
      <x:c r="BN2" s="73" t="str">
        <x:f>IFERROR(BM2/AT2-1,"")</x:f>
      </x:c>
      <x:c r="BO2" s="73" t="str">
        <x:f>IF(AC2="","",IF(AC2="xhs_save_rate",BA2,IF(AC2="xhs_completion_rate",BB2,IF(AC2="xhs_profile_visit_rate",BC2,IF(AC2="xhs_dm_intent_rate",BD2,IF(AC2="xhs_discussion_rate",BE2,IF(AC2="xhs_product_relevance_rate",BF2,IF(AC2="x_first_screen_engaged_rate_proxy",BG2,IF(AC2="x_qualified_reply_rate",BH2,IF(AC2="x_profile_click_rate",BI2,IF(AC2="x_link_intent_rate",BJ2,IF(AC2="x_bookmark_rate",BK2,IF(AC2="x_product_relevance_rate",BL2,"")))))))))))))</x:f>
      </x:c>
      <x:c r="BP2" s="73" t="str">
        <x:f>IFERROR(BO2/AU2-1,"")</x:f>
      </x:c>
      <x:c r="BQ2" s="74" t="str">
        <x:f>IF(COUNT(AD2)=0,"",AD2)</x:f>
      </x:c>
      <x:c r="BR2" s="73" t="str">
        <x:f>IF(C2="xiaohongshu",IF(COUNT(BA2,BB2)=2,AVERAGE(BA2,BB2),IF(COUNT(BA2)=1,BA2,BB2)),BK2)</x:f>
      </x:c>
      <x:c r="BS2" s="73" t="str">
        <x:f>IF(C2="xiaohongshu",BE2,BH2)</x:f>
      </x:c>
      <x:c r="BT2" s="73" t="str">
        <x:f>IF(C2="xiaohongshu",IF(I2="save",BA2,IF(I2="discussion",BE2,IF(I2="profile_visit",BC2,IF(I2="dm",BD2,IF(OR(I2="product_question",I2="trial_intent"),BF2,""))))),IF(I2="save",BK2,IF(I2="discussion",BH2,IF(OR(I2="profile_visit",I2="dm"),BI2,IF(I2="link_click",BJ2,IF(OR(I2="product_question",I2="trial_intent"),BL2,""))))))</x:f>
      </x:c>
      <x:c r="BU2" s="73" t="str">
        <x:f>IF(C2="xiaohongshu",BF2,BL2)</x:f>
      </x:c>
      <x:c r="BV2" s="65" t="str">
        <x:f>IF(COUNT(BQ2,AV2)&lt;2,"unknown",IF(BQ2/AV2-1&gt;=0.2,"high",IF(BQ2/AV2-1&lt;=-0.2,"low","normal")))</x:f>
        <x:v>unknown</x:v>
      </x:c>
      <x:c r="BW2" s="65" t="str">
        <x:f>IF(COUNT(BR2,AW2)&lt;2,"unknown",IF(BR2/AW2-1&gt;=0.2,"high",IF(BR2/AW2-1&lt;=-0.2,"low","normal")))</x:f>
        <x:v>unknown</x:v>
      </x:c>
      <x:c r="BX2" s="65" t="str">
        <x:f>IF(COUNT(BS2,AX2)&lt;2,"unknown",IF(BS2/AX2-1&gt;=0.2,"high",IF(BS2/AX2-1&lt;=-0.2,"low","normal")))</x:f>
        <x:v>unknown</x:v>
      </x:c>
      <x:c r="BY2" s="65" t="str">
        <x:f>IF(COUNT(BT2,AY2)&lt;2,"unknown",IF(BT2/AY2-1&gt;=0.2,"high",IF(BT2/AY2-1&lt;=-0.2,"low","normal")))</x:f>
        <x:v>unknown</x:v>
      </x:c>
      <x:c r="BZ2" s="65" t="str">
        <x:f>IF(COUNT(BU2,AZ2)&lt;2,"unknown",IF(BU2/AZ2-1&gt;=0.2,"high",IF(BU2/AZ2-1&lt;=-0.2,"low","normal")))</x:f>
        <x:v>unknown</x:v>
      </x:c>
      <x:c r="CA2" s="65" t="str">
        <x:f>IF(T2&lt;&gt;"complete","pending",IF(OR(L2&lt;&gt;"pure",U2="true",COUNT(BM2,AT2)&lt;2,AND(AC2&lt;&gt;"",COUNT(BO2,AU2)&lt;2)),"not_attributable","attributable"))</x:f>
        <x:v>pending</x:v>
      </x:c>
      <x:c r="CB2" s="65" t="str">
        <x:f>IF(T2&lt;&gt;"complete","not_evaluated",IF(COUNT(BM2,AT2)&lt;2,"insufficient_data",IF(AND(AC2&lt;&gt;"",COUNT(BP2)=1,BP2&lt;=-0.2),"guardrail_fail",IF(AND(CA2="not_attributable",OR(BV2="high",BN2&gt;=0.2)),"watchlist",IF(CA2&lt;&gt;"attributable","insufficient_data",IF(BN2&gt;=0.2,"win",IF(BN2&lt;=-0.2,"loss","inconclusive")))))))</x:f>
        <x:v>not_evaluated</x:v>
      </x:c>
      <x:c r="CC2" s="65" t="str">
        <x:f>IF(T2&lt;&gt;"complete","COLLECT_MORE_DATA",IF(COUNT(BM2,AT2)&lt;2,"FIX_TRACKING",IF(CB2="guardrail_fail","STOP_VARIANT_GUARDRAIL",IF(CB2="watchlist","WATCHLIST_ONLY",IF(AND(BV2="high",BY2="low"),"KEEP_HOOK_REWRITE_CTA",IF(AND(BW2="high",BX2="low"),"KEEP_STRUCTURE_CHANGE_DISCUSSION_ANGLE",IF(AND(BX2="high",BZ2="low"),"DOWNWEIGHT_TEMPLATE",IF(CB2="win","RETEST_WINNER",IF(CB2="loss","RETURN_TO_BASELINE","COLLECT_MORE_DATA")))))))))</x:f>
        <x:v>COLLECT_MORE_DATA</x:v>
      </x:c>
      <x:c r="CD2" s="75"/>
    </x:row>
    <x:row r="3">
      <x:c r="A3" s="68"/>
      <x:c r="B3" s="69"/>
      <x:c r="C3" s="68"/>
      <x:c r="D3" s="68"/>
      <x:c r="E3" s="68"/>
      <x:c r="F3" s="68"/>
      <x:c r="G3" s="68"/>
      <x:c r="H3" s="70"/>
      <x:c r="I3" s="68"/>
      <x:c r="J3" s="68"/>
      <x:c r="K3" s="68"/>
      <x:c r="L3" s="71" t="str">
        <x:f>IF(K3="","unknown",IF(K3=0,"baseline",IF(K3=1,"pure","mixed")))</x:f>
        <x:v>unknown</x:v>
      </x:c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  <x:c r="AA3" s="68"/>
      <x:c r="AB3" s="68"/>
      <x:c r="AC3" s="68"/>
      <x:c r="AD3" s="70"/>
      <x:c r="AE3" s="70"/>
      <x:c r="AF3" s="70"/>
      <x:c r="AG3" s="70"/>
      <x:c r="AH3" s="70"/>
      <x:c r="AI3" s="70"/>
      <x:c r="AJ3" s="70"/>
      <x:c r="AK3" s="70"/>
      <x:c r="AL3" s="70"/>
      <x:c r="AM3" s="70"/>
      <x:c r="AN3" s="70"/>
      <x:c r="AO3" s="70"/>
      <x:c r="AP3" s="70"/>
      <x:c r="AQ3" s="70"/>
      <x:c r="AR3" s="70"/>
      <x:c r="AS3" s="70"/>
      <x:c r="AT3" s="72"/>
      <x:c r="AU3" s="72"/>
      <x:c r="AV3" s="72"/>
      <x:c r="AW3" s="72"/>
      <x:c r="AX3" s="72"/>
      <x:c r="AY3" s="72"/>
      <x:c r="AZ3" s="72"/>
      <x:c r="BA3" s="73" t="str">
        <x:f>IF(C3="xiaohongshu",IF(COUNT(AF3,AE3)&lt;2,"",IFERROR(AF3/AE3,"")),"")</x:f>
      </x:c>
      <x:c r="BB3" s="73" t="str">
        <x:f>IF(C3="xiaohongshu",IF(COUNT(AG3,AE3)&lt;2,"",IFERROR(AG3/AE3,"")),"")</x:f>
      </x:c>
      <x:c r="BC3" s="73" t="str">
        <x:f>IF(C3="xiaohongshu",IF(COUNT(AN3,AE3)&lt;2,"",IFERROR(AN3/AE3,"")),"")</x:f>
      </x:c>
      <x:c r="BD3" s="73" t="str">
        <x:f>IF(C3="xiaohongshu",IF(COUNT(AQ3,AE3)&lt;2,"",IFERROR(AQ3/AE3,"")),"")</x:f>
      </x:c>
      <x:c r="BE3" s="73" t="str">
        <x:f>IF(C3="xiaohongshu",IF(COUNT(AI3,AE3)&lt;2,"",IFERROR(AI3/AE3,"")),"")</x:f>
      </x:c>
      <x:c r="BF3" s="73" t="str">
        <x:f>IF(C3="xiaohongshu",IF(OR(COUNT(AE3)=0,COUNT(AR3,AS3)=0),"",IFERROR((AR3+AS3)/AE3,"")),"")</x:f>
      </x:c>
      <x:c r="BG3" s="73" t="str">
        <x:f>IF(C3="x",IF(COUNT(AD3)=0,"",IF(COUNT(AM3)=1,IFERROR(AM3/AD3,""),IF(COUNT(AH3,AI3,AK3,AL3)=0,"",IFERROR(SUM(AH3,AI3,AK3,AL3)/AD3,"")))),"")</x:f>
      </x:c>
      <x:c r="BH3" s="73" t="str">
        <x:f>IF(C3="x",IF(COUNT(AJ3,AD3)&lt;2,"",IFERROR(AJ3/AD3,"")),"")</x:f>
      </x:c>
      <x:c r="BI3" s="73" t="str">
        <x:f>IF(C3="x",IF(COUNT(AO3,AD3)&lt;2,"",IFERROR(AO3/AD3,"")),"")</x:f>
      </x:c>
      <x:c r="BJ3" s="73" t="str">
        <x:f>IF(C3="x",IF(COUNT(AP3,AD3)&lt;2,"",IFERROR(AP3/AD3,"")),"")</x:f>
      </x:c>
      <x:c r="BK3" s="73" t="str">
        <x:f>IF(C3="x",IF(COUNT(AL3,AD3)&lt;2,"",IFERROR(AL3/AD3,"")),"")</x:f>
      </x:c>
      <x:c r="BL3" s="73" t="str">
        <x:f>IF(C3="x",IF(OR(COUNT(AD3)=0,COUNT(AR3,AS3)=0),"",IFERROR((AR3+AS3)/AD3,"")),"")</x:f>
      </x:c>
      <x:c r="BM3" s="73" t="str">
        <x:f>IF(AB3="xhs_save_rate",BA3,IF(AB3="xhs_completion_rate",BB3,IF(AB3="xhs_profile_visit_rate",BC3,IF(AB3="xhs_dm_intent_rate",BD3,IF(AB3="xhs_discussion_rate",BE3,IF(AB3="xhs_product_relevance_rate",BF3,IF(AB3="x_first_screen_engaged_rate_proxy",BG3,IF(AB3="x_qualified_reply_rate",BH3,IF(AB3="x_profile_click_rate",BI3,IF(AB3="x_link_intent_rate",BJ3,IF(AB3="x_bookmark_rate",BK3,IF(AB3="x_product_relevance_rate",BL3,""))))))))))))</x:f>
      </x:c>
      <x:c r="BN3" s="73" t="str">
        <x:f>IFERROR(BM3/AT3-1,"")</x:f>
      </x:c>
      <x:c r="BO3" s="73" t="str">
        <x:f>IF(AC3="","",IF(AC3="xhs_save_rate",BA3,IF(AC3="xhs_completion_rate",BB3,IF(AC3="xhs_profile_visit_rate",BC3,IF(AC3="xhs_dm_intent_rate",BD3,IF(AC3="xhs_discussion_rate",BE3,IF(AC3="xhs_product_relevance_rate",BF3,IF(AC3="x_first_screen_engaged_rate_proxy",BG3,IF(AC3="x_qualified_reply_rate",BH3,IF(AC3="x_profile_click_rate",BI3,IF(AC3="x_link_intent_rate",BJ3,IF(AC3="x_bookmark_rate",BK3,IF(AC3="x_product_relevance_rate",BL3,"")))))))))))))</x:f>
      </x:c>
      <x:c r="BP3" s="73" t="str">
        <x:f>IFERROR(BO3/AU3-1,"")</x:f>
      </x:c>
      <x:c r="BQ3" s="74" t="str">
        <x:f>IF(COUNT(AD3)=0,"",AD3)</x:f>
      </x:c>
      <x:c r="BR3" s="73" t="str">
        <x:f>IF(C3="xiaohongshu",IF(COUNT(BA3,BB3)=2,AVERAGE(BA3,BB3),IF(COUNT(BA3)=1,BA3,BB3)),BK3)</x:f>
      </x:c>
      <x:c r="BS3" s="73" t="str">
        <x:f>IF(C3="xiaohongshu",BE3,BH3)</x:f>
      </x:c>
      <x:c r="BT3" s="73" t="str">
        <x:f>IF(C3="xiaohongshu",IF(I3="save",BA3,IF(I3="discussion",BE3,IF(I3="profile_visit",BC3,IF(I3="dm",BD3,IF(OR(I3="product_question",I3="trial_intent"),BF3,""))))),IF(I3="save",BK3,IF(I3="discussion",BH3,IF(OR(I3="profile_visit",I3="dm"),BI3,IF(I3="link_click",BJ3,IF(OR(I3="product_question",I3="trial_intent"),BL3,""))))))</x:f>
      </x:c>
      <x:c r="BU3" s="73" t="str">
        <x:f>IF(C3="xiaohongshu",BF3,BL3)</x:f>
      </x:c>
      <x:c r="BV3" s="65" t="str">
        <x:f>IF(COUNT(BQ3,AV3)&lt;2,"unknown",IF(BQ3/AV3-1&gt;=0.2,"high",IF(BQ3/AV3-1&lt;=-0.2,"low","normal")))</x:f>
        <x:v>unknown</x:v>
      </x:c>
      <x:c r="BW3" s="65" t="str">
        <x:f>IF(COUNT(BR3,AW3)&lt;2,"unknown",IF(BR3/AW3-1&gt;=0.2,"high",IF(BR3/AW3-1&lt;=-0.2,"low","normal")))</x:f>
        <x:v>unknown</x:v>
      </x:c>
      <x:c r="BX3" s="65" t="str">
        <x:f>IF(COUNT(BS3,AX3)&lt;2,"unknown",IF(BS3/AX3-1&gt;=0.2,"high",IF(BS3/AX3-1&lt;=-0.2,"low","normal")))</x:f>
        <x:v>unknown</x:v>
      </x:c>
      <x:c r="BY3" s="65" t="str">
        <x:f>IF(COUNT(BT3,AY3)&lt;2,"unknown",IF(BT3/AY3-1&gt;=0.2,"high",IF(BT3/AY3-1&lt;=-0.2,"low","normal")))</x:f>
        <x:v>unknown</x:v>
      </x:c>
      <x:c r="BZ3" s="65" t="str">
        <x:f>IF(COUNT(BU3,AZ3)&lt;2,"unknown",IF(BU3/AZ3-1&gt;=0.2,"high",IF(BU3/AZ3-1&lt;=-0.2,"low","normal")))</x:f>
        <x:v>unknown</x:v>
      </x:c>
      <x:c r="CA3" s="65" t="str">
        <x:f>IF(T3&lt;&gt;"complete","pending",IF(OR(L3&lt;&gt;"pure",U3="true",COUNT(BM3,AT3)&lt;2,AND(AC3&lt;&gt;"",COUNT(BO3,AU3)&lt;2)),"not_attributable","attributable"))</x:f>
        <x:v>pending</x:v>
      </x:c>
      <x:c r="CB3" s="65" t="str">
        <x:f>IF(T3&lt;&gt;"complete","not_evaluated",IF(COUNT(BM3,AT3)&lt;2,"insufficient_data",IF(AND(AC3&lt;&gt;"",COUNT(BP3)=1,BP3&lt;=-0.2),"guardrail_fail",IF(AND(CA3="not_attributable",OR(BV3="high",BN3&gt;=0.2)),"watchlist",IF(CA3&lt;&gt;"attributable","insufficient_data",IF(BN3&gt;=0.2,"win",IF(BN3&lt;=-0.2,"loss","inconclusive")))))))</x:f>
        <x:v>not_evaluated</x:v>
      </x:c>
      <x:c r="CC3" s="65" t="str">
        <x:f>IF(T3&lt;&gt;"complete","COLLECT_MORE_DATA",IF(COUNT(BM3,AT3)&lt;2,"FIX_TRACKING",IF(CB3="guardrail_fail","STOP_VARIANT_GUARDRAIL",IF(CB3="watchlist","WATCHLIST_ONLY",IF(AND(BV3="high",BY3="low"),"KEEP_HOOK_REWRITE_CTA",IF(AND(BW3="high",BX3="low"),"KEEP_STRUCTURE_CHANGE_DISCUSSION_ANGLE",IF(AND(BX3="high",BZ3="low"),"DOWNWEIGHT_TEMPLATE",IF(CB3="win","RETEST_WINNER",IF(CB3="loss","RETURN_TO_BASELINE","COLLECT_MORE_DATA")))))))))</x:f>
        <x:v>COLLECT_MORE_DATA</x:v>
      </x:c>
      <x:c r="CD3" s="75"/>
    </x:row>
    <x:row r="4">
      <x:c r="A4" s="68"/>
      <x:c r="B4" s="69"/>
      <x:c r="C4" s="68"/>
      <x:c r="D4" s="68"/>
      <x:c r="E4" s="68"/>
      <x:c r="F4" s="68"/>
      <x:c r="G4" s="68"/>
      <x:c r="H4" s="70"/>
      <x:c r="I4" s="68"/>
      <x:c r="J4" s="68"/>
      <x:c r="K4" s="68"/>
      <x:c r="L4" s="71" t="str">
        <x:f>IF(K4="","unknown",IF(K4=0,"baseline",IF(K4=1,"pure","mixed")))</x:f>
        <x:v>unknown</x:v>
      </x:c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  <x:c r="X4" s="68"/>
      <x:c r="Y4" s="68"/>
      <x:c r="Z4" s="68"/>
      <x:c r="AA4" s="68"/>
      <x:c r="AB4" s="68"/>
      <x:c r="AC4" s="68"/>
      <x:c r="AD4" s="70"/>
      <x:c r="AE4" s="70"/>
      <x:c r="AF4" s="70"/>
      <x:c r="AG4" s="70"/>
      <x:c r="AH4" s="70"/>
      <x:c r="AI4" s="70"/>
      <x:c r="AJ4" s="70"/>
      <x:c r="AK4" s="70"/>
      <x:c r="AL4" s="70"/>
      <x:c r="AM4" s="70"/>
      <x:c r="AN4" s="70"/>
      <x:c r="AO4" s="70"/>
      <x:c r="AP4" s="70"/>
      <x:c r="AQ4" s="70"/>
      <x:c r="AR4" s="70"/>
      <x:c r="AS4" s="70"/>
      <x:c r="AT4" s="72"/>
      <x:c r="AU4" s="72"/>
      <x:c r="AV4" s="72"/>
      <x:c r="AW4" s="72"/>
      <x:c r="AX4" s="72"/>
      <x:c r="AY4" s="72"/>
      <x:c r="AZ4" s="72"/>
      <x:c r="BA4" s="73" t="str">
        <x:f>IF(C4="xiaohongshu",IF(COUNT(AF4,AE4)&lt;2,"",IFERROR(AF4/AE4,"")),"")</x:f>
      </x:c>
      <x:c r="BB4" s="73" t="str">
        <x:f>IF(C4="xiaohongshu",IF(COUNT(AG4,AE4)&lt;2,"",IFERROR(AG4/AE4,"")),"")</x:f>
      </x:c>
      <x:c r="BC4" s="73" t="str">
        <x:f>IF(C4="xiaohongshu",IF(COUNT(AN4,AE4)&lt;2,"",IFERROR(AN4/AE4,"")),"")</x:f>
      </x:c>
      <x:c r="BD4" s="73" t="str">
        <x:f>IF(C4="xiaohongshu",IF(COUNT(AQ4,AE4)&lt;2,"",IFERROR(AQ4/AE4,"")),"")</x:f>
      </x:c>
      <x:c r="BE4" s="73" t="str">
        <x:f>IF(C4="xiaohongshu",IF(COUNT(AI4,AE4)&lt;2,"",IFERROR(AI4/AE4,"")),"")</x:f>
      </x:c>
      <x:c r="BF4" s="73" t="str">
        <x:f>IF(C4="xiaohongshu",IF(OR(COUNT(AE4)=0,COUNT(AR4,AS4)=0),"",IFERROR((AR4+AS4)/AE4,"")),"")</x:f>
      </x:c>
      <x:c r="BG4" s="73" t="str">
        <x:f>IF(C4="x",IF(COUNT(AD4)=0,"",IF(COUNT(AM4)=1,IFERROR(AM4/AD4,""),IF(COUNT(AH4,AI4,AK4,AL4)=0,"",IFERROR(SUM(AH4,AI4,AK4,AL4)/AD4,"")))),"")</x:f>
      </x:c>
      <x:c r="BH4" s="73" t="str">
        <x:f>IF(C4="x",IF(COUNT(AJ4,AD4)&lt;2,"",IFERROR(AJ4/AD4,"")),"")</x:f>
      </x:c>
      <x:c r="BI4" s="73" t="str">
        <x:f>IF(C4="x",IF(COUNT(AO4,AD4)&lt;2,"",IFERROR(AO4/AD4,"")),"")</x:f>
      </x:c>
      <x:c r="BJ4" s="73" t="str">
        <x:f>IF(C4="x",IF(COUNT(AP4,AD4)&lt;2,"",IFERROR(AP4/AD4,"")),"")</x:f>
      </x:c>
      <x:c r="BK4" s="73" t="str">
        <x:f>IF(C4="x",IF(COUNT(AL4,AD4)&lt;2,"",IFERROR(AL4/AD4,"")),"")</x:f>
      </x:c>
      <x:c r="BL4" s="73" t="str">
        <x:f>IF(C4="x",IF(OR(COUNT(AD4)=0,COUNT(AR4,AS4)=0),"",IFERROR((AR4+AS4)/AD4,"")),"")</x:f>
      </x:c>
      <x:c r="BM4" s="73" t="str">
        <x:f>IF(AB4="xhs_save_rate",BA4,IF(AB4="xhs_completion_rate",BB4,IF(AB4="xhs_profile_visit_rate",BC4,IF(AB4="xhs_dm_intent_rate",BD4,IF(AB4="xhs_discussion_rate",BE4,IF(AB4="xhs_product_relevance_rate",BF4,IF(AB4="x_first_screen_engaged_rate_proxy",BG4,IF(AB4="x_qualified_reply_rate",BH4,IF(AB4="x_profile_click_rate",BI4,IF(AB4="x_link_intent_rate",BJ4,IF(AB4="x_bookmark_rate",BK4,IF(AB4="x_product_relevance_rate",BL4,""))))))))))))</x:f>
      </x:c>
      <x:c r="BN4" s="73" t="str">
        <x:f>IFERROR(BM4/AT4-1,"")</x:f>
      </x:c>
      <x:c r="BO4" s="73" t="str">
        <x:f>IF(AC4="","",IF(AC4="xhs_save_rate",BA4,IF(AC4="xhs_completion_rate",BB4,IF(AC4="xhs_profile_visit_rate",BC4,IF(AC4="xhs_dm_intent_rate",BD4,IF(AC4="xhs_discussion_rate",BE4,IF(AC4="xhs_product_relevance_rate",BF4,IF(AC4="x_first_screen_engaged_rate_proxy",BG4,IF(AC4="x_qualified_reply_rate",BH4,IF(AC4="x_profile_click_rate",BI4,IF(AC4="x_link_intent_rate",BJ4,IF(AC4="x_bookmark_rate",BK4,IF(AC4="x_product_relevance_rate",BL4,"")))))))))))))</x:f>
      </x:c>
      <x:c r="BP4" s="73" t="str">
        <x:f>IFERROR(BO4/AU4-1,"")</x:f>
      </x:c>
      <x:c r="BQ4" s="74" t="str">
        <x:f>IF(COUNT(AD4)=0,"",AD4)</x:f>
      </x:c>
      <x:c r="BR4" s="73" t="str">
        <x:f>IF(C4="xiaohongshu",IF(COUNT(BA4,BB4)=2,AVERAGE(BA4,BB4),IF(COUNT(BA4)=1,BA4,BB4)),BK4)</x:f>
      </x:c>
      <x:c r="BS4" s="73" t="str">
        <x:f>IF(C4="xiaohongshu",BE4,BH4)</x:f>
      </x:c>
      <x:c r="BT4" s="73" t="str">
        <x:f>IF(C4="xiaohongshu",IF(I4="save",BA4,IF(I4="discussion",BE4,IF(I4="profile_visit",BC4,IF(I4="dm",BD4,IF(OR(I4="product_question",I4="trial_intent"),BF4,""))))),IF(I4="save",BK4,IF(I4="discussion",BH4,IF(OR(I4="profile_visit",I4="dm"),BI4,IF(I4="link_click",BJ4,IF(OR(I4="product_question",I4="trial_intent"),BL4,""))))))</x:f>
      </x:c>
      <x:c r="BU4" s="73" t="str">
        <x:f>IF(C4="xiaohongshu",BF4,BL4)</x:f>
      </x:c>
      <x:c r="BV4" s="65" t="str">
        <x:f>IF(COUNT(BQ4,AV4)&lt;2,"unknown",IF(BQ4/AV4-1&gt;=0.2,"high",IF(BQ4/AV4-1&lt;=-0.2,"low","normal")))</x:f>
        <x:v>unknown</x:v>
      </x:c>
      <x:c r="BW4" s="65" t="str">
        <x:f>IF(COUNT(BR4,AW4)&lt;2,"unknown",IF(BR4/AW4-1&gt;=0.2,"high",IF(BR4/AW4-1&lt;=-0.2,"low","normal")))</x:f>
        <x:v>unknown</x:v>
      </x:c>
      <x:c r="BX4" s="65" t="str">
        <x:f>IF(COUNT(BS4,AX4)&lt;2,"unknown",IF(BS4/AX4-1&gt;=0.2,"high",IF(BS4/AX4-1&lt;=-0.2,"low","normal")))</x:f>
        <x:v>unknown</x:v>
      </x:c>
      <x:c r="BY4" s="65" t="str">
        <x:f>IF(COUNT(BT4,AY4)&lt;2,"unknown",IF(BT4/AY4-1&gt;=0.2,"high",IF(BT4/AY4-1&lt;=-0.2,"low","normal")))</x:f>
        <x:v>unknown</x:v>
      </x:c>
      <x:c r="BZ4" s="65" t="str">
        <x:f>IF(COUNT(BU4,AZ4)&lt;2,"unknown",IF(BU4/AZ4-1&gt;=0.2,"high",IF(BU4/AZ4-1&lt;=-0.2,"low","normal")))</x:f>
        <x:v>unknown</x:v>
      </x:c>
      <x:c r="CA4" s="65" t="str">
        <x:f>IF(T4&lt;&gt;"complete","pending",IF(OR(L4&lt;&gt;"pure",U4="true",COUNT(BM4,AT4)&lt;2,AND(AC4&lt;&gt;"",COUNT(BO4,AU4)&lt;2)),"not_attributable","attributable"))</x:f>
        <x:v>pending</x:v>
      </x:c>
      <x:c r="CB4" s="65" t="str">
        <x:f>IF(T4&lt;&gt;"complete","not_evaluated",IF(COUNT(BM4,AT4)&lt;2,"insufficient_data",IF(AND(AC4&lt;&gt;"",COUNT(BP4)=1,BP4&lt;=-0.2),"guardrail_fail",IF(AND(CA4="not_attributable",OR(BV4="high",BN4&gt;=0.2)),"watchlist",IF(CA4&lt;&gt;"attributable","insufficient_data",IF(BN4&gt;=0.2,"win",IF(BN4&lt;=-0.2,"loss","inconclusive")))))))</x:f>
        <x:v>not_evaluated</x:v>
      </x:c>
      <x:c r="CC4" s="65" t="str">
        <x:f>IF(T4&lt;&gt;"complete","COLLECT_MORE_DATA",IF(COUNT(BM4,AT4)&lt;2,"FIX_TRACKING",IF(CB4="guardrail_fail","STOP_VARIANT_GUARDRAIL",IF(CB4="watchlist","WATCHLIST_ONLY",IF(AND(BV4="high",BY4="low"),"KEEP_HOOK_REWRITE_CTA",IF(AND(BW4="high",BX4="low"),"KEEP_STRUCTURE_CHANGE_DISCUSSION_ANGLE",IF(AND(BX4="high",BZ4="low"),"DOWNWEIGHT_TEMPLATE",IF(CB4="win","RETEST_WINNER",IF(CB4="loss","RETURN_TO_BASELINE","COLLECT_MORE_DATA")))))))))</x:f>
        <x:v>COLLECT_MORE_DATA</x:v>
      </x:c>
      <x:c r="CD4" s="75"/>
    </x:row>
    <x:row r="5">
      <x:c r="A5" s="68"/>
      <x:c r="B5" s="69"/>
      <x:c r="C5" s="68"/>
      <x:c r="D5" s="68"/>
      <x:c r="E5" s="68"/>
      <x:c r="F5" s="68"/>
      <x:c r="G5" s="68"/>
      <x:c r="H5" s="70"/>
      <x:c r="I5" s="68"/>
      <x:c r="J5" s="68"/>
      <x:c r="K5" s="68"/>
      <x:c r="L5" s="71" t="str">
        <x:f>IF(K5="","unknown",IF(K5=0,"baseline",IF(K5=1,"pure","mixed")))</x:f>
        <x:v>unknown</x:v>
      </x:c>
      <x:c r="M5" s="68"/>
      <x:c r="N5" s="68"/>
      <x:c r="O5" s="68"/>
      <x:c r="P5" s="68"/>
      <x:c r="Q5" s="68"/>
      <x:c r="R5" s="68"/>
      <x:c r="S5" s="68"/>
      <x:c r="T5" s="68"/>
      <x:c r="U5" s="68"/>
      <x:c r="V5" s="68"/>
      <x:c r="W5" s="68"/>
      <x:c r="X5" s="68"/>
      <x:c r="Y5" s="68"/>
      <x:c r="Z5" s="68"/>
      <x:c r="AA5" s="68"/>
      <x:c r="AB5" s="68"/>
      <x:c r="AC5" s="68"/>
      <x:c r="AD5" s="70"/>
      <x:c r="AE5" s="70"/>
      <x:c r="AF5" s="70"/>
      <x:c r="AG5" s="70"/>
      <x:c r="AH5" s="70"/>
      <x:c r="AI5" s="70"/>
      <x:c r="AJ5" s="70"/>
      <x:c r="AK5" s="70"/>
      <x:c r="AL5" s="70"/>
      <x:c r="AM5" s="70"/>
      <x:c r="AN5" s="70"/>
      <x:c r="AO5" s="70"/>
      <x:c r="AP5" s="70"/>
      <x:c r="AQ5" s="70"/>
      <x:c r="AR5" s="70"/>
      <x:c r="AS5" s="70"/>
      <x:c r="AT5" s="72"/>
      <x:c r="AU5" s="72"/>
      <x:c r="AV5" s="72"/>
      <x:c r="AW5" s="72"/>
      <x:c r="AX5" s="72"/>
      <x:c r="AY5" s="72"/>
      <x:c r="AZ5" s="72"/>
      <x:c r="BA5" s="73" t="str">
        <x:f>IF(C5="xiaohongshu",IF(COUNT(AF5,AE5)&lt;2,"",IFERROR(AF5/AE5,"")),"")</x:f>
      </x:c>
      <x:c r="BB5" s="73" t="str">
        <x:f>IF(C5="xiaohongshu",IF(COUNT(AG5,AE5)&lt;2,"",IFERROR(AG5/AE5,"")),"")</x:f>
      </x:c>
      <x:c r="BC5" s="73" t="str">
        <x:f>IF(C5="xiaohongshu",IF(COUNT(AN5,AE5)&lt;2,"",IFERROR(AN5/AE5,"")),"")</x:f>
      </x:c>
      <x:c r="BD5" s="73" t="str">
        <x:f>IF(C5="xiaohongshu",IF(COUNT(AQ5,AE5)&lt;2,"",IFERROR(AQ5/AE5,"")),"")</x:f>
      </x:c>
      <x:c r="BE5" s="73" t="str">
        <x:f>IF(C5="xiaohongshu",IF(COUNT(AI5,AE5)&lt;2,"",IFERROR(AI5/AE5,"")),"")</x:f>
      </x:c>
      <x:c r="BF5" s="73" t="str">
        <x:f>IF(C5="xiaohongshu",IF(OR(COUNT(AE5)=0,COUNT(AR5,AS5)=0),"",IFERROR((AR5+AS5)/AE5,"")),"")</x:f>
      </x:c>
      <x:c r="BG5" s="73" t="str">
        <x:f>IF(C5="x",IF(COUNT(AD5)=0,"",IF(COUNT(AM5)=1,IFERROR(AM5/AD5,""),IF(COUNT(AH5,AI5,AK5,AL5)=0,"",IFERROR(SUM(AH5,AI5,AK5,AL5)/AD5,"")))),"")</x:f>
      </x:c>
      <x:c r="BH5" s="73" t="str">
        <x:f>IF(C5="x",IF(COUNT(AJ5,AD5)&lt;2,"",IFERROR(AJ5/AD5,"")),"")</x:f>
      </x:c>
      <x:c r="BI5" s="73" t="str">
        <x:f>IF(C5="x",IF(COUNT(AO5,AD5)&lt;2,"",IFERROR(AO5/AD5,"")),"")</x:f>
      </x:c>
      <x:c r="BJ5" s="73" t="str">
        <x:f>IF(C5="x",IF(COUNT(AP5,AD5)&lt;2,"",IFERROR(AP5/AD5,"")),"")</x:f>
      </x:c>
      <x:c r="BK5" s="73" t="str">
        <x:f>IF(C5="x",IF(COUNT(AL5,AD5)&lt;2,"",IFERROR(AL5/AD5,"")),"")</x:f>
      </x:c>
      <x:c r="BL5" s="73" t="str">
        <x:f>IF(C5="x",IF(OR(COUNT(AD5)=0,COUNT(AR5,AS5)=0),"",IFERROR((AR5+AS5)/AD5,"")),"")</x:f>
      </x:c>
      <x:c r="BM5" s="73" t="str">
        <x:f>IF(AB5="xhs_save_rate",BA5,IF(AB5="xhs_completion_rate",BB5,IF(AB5="xhs_profile_visit_rate",BC5,IF(AB5="xhs_dm_intent_rate",BD5,IF(AB5="xhs_discussion_rate",BE5,IF(AB5="xhs_product_relevance_rate",BF5,IF(AB5="x_first_screen_engaged_rate_proxy",BG5,IF(AB5="x_qualified_reply_rate",BH5,IF(AB5="x_profile_click_rate",BI5,IF(AB5="x_link_intent_rate",BJ5,IF(AB5="x_bookmark_rate",BK5,IF(AB5="x_product_relevance_rate",BL5,""))))))))))))</x:f>
      </x:c>
      <x:c r="BN5" s="73" t="str">
        <x:f>IFERROR(BM5/AT5-1,"")</x:f>
      </x:c>
      <x:c r="BO5" s="73" t="str">
        <x:f>IF(AC5="","",IF(AC5="xhs_save_rate",BA5,IF(AC5="xhs_completion_rate",BB5,IF(AC5="xhs_profile_visit_rate",BC5,IF(AC5="xhs_dm_intent_rate",BD5,IF(AC5="xhs_discussion_rate",BE5,IF(AC5="xhs_product_relevance_rate",BF5,IF(AC5="x_first_screen_engaged_rate_proxy",BG5,IF(AC5="x_qualified_reply_rate",BH5,IF(AC5="x_profile_click_rate",BI5,IF(AC5="x_link_intent_rate",BJ5,IF(AC5="x_bookmark_rate",BK5,IF(AC5="x_product_relevance_rate",BL5,"")))))))))))))</x:f>
      </x:c>
      <x:c r="BP5" s="73" t="str">
        <x:f>IFERROR(BO5/AU5-1,"")</x:f>
      </x:c>
      <x:c r="BQ5" s="74" t="str">
        <x:f>IF(COUNT(AD5)=0,"",AD5)</x:f>
      </x:c>
      <x:c r="BR5" s="73" t="str">
        <x:f>IF(C5="xiaohongshu",IF(COUNT(BA5,BB5)=2,AVERAGE(BA5,BB5),IF(COUNT(BA5)=1,BA5,BB5)),BK5)</x:f>
      </x:c>
      <x:c r="BS5" s="73" t="str">
        <x:f>IF(C5="xiaohongshu",BE5,BH5)</x:f>
      </x:c>
      <x:c r="BT5" s="73" t="str">
        <x:f>IF(C5="xiaohongshu",IF(I5="save",BA5,IF(I5="discussion",BE5,IF(I5="profile_visit",BC5,IF(I5="dm",BD5,IF(OR(I5="product_question",I5="trial_intent"),BF5,""))))),IF(I5="save",BK5,IF(I5="discussion",BH5,IF(OR(I5="profile_visit",I5="dm"),BI5,IF(I5="link_click",BJ5,IF(OR(I5="product_question",I5="trial_intent"),BL5,""))))))</x:f>
      </x:c>
      <x:c r="BU5" s="73" t="str">
        <x:f>IF(C5="xiaohongshu",BF5,BL5)</x:f>
      </x:c>
      <x:c r="BV5" s="65" t="str">
        <x:f>IF(COUNT(BQ5,AV5)&lt;2,"unknown",IF(BQ5/AV5-1&gt;=0.2,"high",IF(BQ5/AV5-1&lt;=-0.2,"low","normal")))</x:f>
        <x:v>unknown</x:v>
      </x:c>
      <x:c r="BW5" s="65" t="str">
        <x:f>IF(COUNT(BR5,AW5)&lt;2,"unknown",IF(BR5/AW5-1&gt;=0.2,"high",IF(BR5/AW5-1&lt;=-0.2,"low","normal")))</x:f>
        <x:v>unknown</x:v>
      </x:c>
      <x:c r="BX5" s="65" t="str">
        <x:f>IF(COUNT(BS5,AX5)&lt;2,"unknown",IF(BS5/AX5-1&gt;=0.2,"high",IF(BS5/AX5-1&lt;=-0.2,"low","normal")))</x:f>
        <x:v>unknown</x:v>
      </x:c>
      <x:c r="BY5" s="65" t="str">
        <x:f>IF(COUNT(BT5,AY5)&lt;2,"unknown",IF(BT5/AY5-1&gt;=0.2,"high",IF(BT5/AY5-1&lt;=-0.2,"low","normal")))</x:f>
        <x:v>unknown</x:v>
      </x:c>
      <x:c r="BZ5" s="65" t="str">
        <x:f>IF(COUNT(BU5,AZ5)&lt;2,"unknown",IF(BU5/AZ5-1&gt;=0.2,"high",IF(BU5/AZ5-1&lt;=-0.2,"low","normal")))</x:f>
        <x:v>unknown</x:v>
      </x:c>
      <x:c r="CA5" s="65" t="str">
        <x:f>IF(T5&lt;&gt;"complete","pending",IF(OR(L5&lt;&gt;"pure",U5="true",COUNT(BM5,AT5)&lt;2,AND(AC5&lt;&gt;"",COUNT(BO5,AU5)&lt;2)),"not_attributable","attributable"))</x:f>
        <x:v>pending</x:v>
      </x:c>
      <x:c r="CB5" s="65" t="str">
        <x:f>IF(T5&lt;&gt;"complete","not_evaluated",IF(COUNT(BM5,AT5)&lt;2,"insufficient_data",IF(AND(AC5&lt;&gt;"",COUNT(BP5)=1,BP5&lt;=-0.2),"guardrail_fail",IF(AND(CA5="not_attributable",OR(BV5="high",BN5&gt;=0.2)),"watchlist",IF(CA5&lt;&gt;"attributable","insufficient_data",IF(BN5&gt;=0.2,"win",IF(BN5&lt;=-0.2,"loss","inconclusive")))))))</x:f>
        <x:v>not_evaluated</x:v>
      </x:c>
      <x:c r="CC5" s="65" t="str">
        <x:f>IF(T5&lt;&gt;"complete","COLLECT_MORE_DATA",IF(COUNT(BM5,AT5)&lt;2,"FIX_TRACKING",IF(CB5="guardrail_fail","STOP_VARIANT_GUARDRAIL",IF(CB5="watchlist","WATCHLIST_ONLY",IF(AND(BV5="high",BY5="low"),"KEEP_HOOK_REWRITE_CTA",IF(AND(BW5="high",BX5="low"),"KEEP_STRUCTURE_CHANGE_DISCUSSION_ANGLE",IF(AND(BX5="high",BZ5="low"),"DOWNWEIGHT_TEMPLATE",IF(CB5="win","RETEST_WINNER",IF(CB5="loss","RETURN_TO_BASELINE","COLLECT_MORE_DATA")))))))))</x:f>
        <x:v>COLLECT_MORE_DATA</x:v>
      </x:c>
      <x:c r="CD5" s="75"/>
    </x:row>
    <x:row r="6">
      <x:c r="A6" s="68"/>
      <x:c r="B6" s="69"/>
      <x:c r="C6" s="68"/>
      <x:c r="D6" s="68"/>
      <x:c r="E6" s="68"/>
      <x:c r="F6" s="68"/>
      <x:c r="G6" s="68"/>
      <x:c r="H6" s="70"/>
      <x:c r="I6" s="68"/>
      <x:c r="J6" s="68"/>
      <x:c r="K6" s="68"/>
      <x:c r="L6" s="71" t="str">
        <x:f>IF(K6="","unknown",IF(K6=0,"baseline",IF(K6=1,"pure","mixed")))</x:f>
        <x:v>unknown</x:v>
      </x:c>
      <x:c r="M6" s="68"/>
      <x:c r="N6" s="68"/>
      <x:c r="O6" s="68"/>
      <x:c r="P6" s="68"/>
      <x:c r="Q6" s="68"/>
      <x:c r="R6" s="68"/>
      <x:c r="S6" s="68"/>
      <x:c r="T6" s="68"/>
      <x:c r="U6" s="68"/>
      <x:c r="V6" s="68"/>
      <x:c r="W6" s="68"/>
      <x:c r="X6" s="68"/>
      <x:c r="Y6" s="68"/>
      <x:c r="Z6" s="68"/>
      <x:c r="AA6" s="68"/>
      <x:c r="AB6" s="68"/>
      <x:c r="AC6" s="68"/>
      <x:c r="AD6" s="70"/>
      <x:c r="AE6" s="70"/>
      <x:c r="AF6" s="70"/>
      <x:c r="AG6" s="70"/>
      <x:c r="AH6" s="70"/>
      <x:c r="AI6" s="70"/>
      <x:c r="AJ6" s="70"/>
      <x:c r="AK6" s="70"/>
      <x:c r="AL6" s="70"/>
      <x:c r="AM6" s="70"/>
      <x:c r="AN6" s="70"/>
      <x:c r="AO6" s="70"/>
      <x:c r="AP6" s="70"/>
      <x:c r="AQ6" s="70"/>
      <x:c r="AR6" s="70"/>
      <x:c r="AS6" s="70"/>
      <x:c r="AT6" s="72"/>
      <x:c r="AU6" s="72"/>
      <x:c r="AV6" s="72"/>
      <x:c r="AW6" s="72"/>
      <x:c r="AX6" s="72"/>
      <x:c r="AY6" s="72"/>
      <x:c r="AZ6" s="72"/>
      <x:c r="BA6" s="73" t="str">
        <x:f>IF(C6="xiaohongshu",IF(COUNT(AF6,AE6)&lt;2,"",IFERROR(AF6/AE6,"")),"")</x:f>
      </x:c>
      <x:c r="BB6" s="73" t="str">
        <x:f>IF(C6="xiaohongshu",IF(COUNT(AG6,AE6)&lt;2,"",IFERROR(AG6/AE6,"")),"")</x:f>
      </x:c>
      <x:c r="BC6" s="73" t="str">
        <x:f>IF(C6="xiaohongshu",IF(COUNT(AN6,AE6)&lt;2,"",IFERROR(AN6/AE6,"")),"")</x:f>
      </x:c>
      <x:c r="BD6" s="73" t="str">
        <x:f>IF(C6="xiaohongshu",IF(COUNT(AQ6,AE6)&lt;2,"",IFERROR(AQ6/AE6,"")),"")</x:f>
      </x:c>
      <x:c r="BE6" s="73" t="str">
        <x:f>IF(C6="xiaohongshu",IF(COUNT(AI6,AE6)&lt;2,"",IFERROR(AI6/AE6,"")),"")</x:f>
      </x:c>
      <x:c r="BF6" s="73" t="str">
        <x:f>IF(C6="xiaohongshu",IF(OR(COUNT(AE6)=0,COUNT(AR6,AS6)=0),"",IFERROR((AR6+AS6)/AE6,"")),"")</x:f>
      </x:c>
      <x:c r="BG6" s="73" t="str">
        <x:f>IF(C6="x",IF(COUNT(AD6)=0,"",IF(COUNT(AM6)=1,IFERROR(AM6/AD6,""),IF(COUNT(AH6,AI6,AK6,AL6)=0,"",IFERROR(SUM(AH6,AI6,AK6,AL6)/AD6,"")))),"")</x:f>
      </x:c>
      <x:c r="BH6" s="73" t="str">
        <x:f>IF(C6="x",IF(COUNT(AJ6,AD6)&lt;2,"",IFERROR(AJ6/AD6,"")),"")</x:f>
      </x:c>
      <x:c r="BI6" s="73" t="str">
        <x:f>IF(C6="x",IF(COUNT(AO6,AD6)&lt;2,"",IFERROR(AO6/AD6,"")),"")</x:f>
      </x:c>
      <x:c r="BJ6" s="73" t="str">
        <x:f>IF(C6="x",IF(COUNT(AP6,AD6)&lt;2,"",IFERROR(AP6/AD6,"")),"")</x:f>
      </x:c>
      <x:c r="BK6" s="73" t="str">
        <x:f>IF(C6="x",IF(COUNT(AL6,AD6)&lt;2,"",IFERROR(AL6/AD6,"")),"")</x:f>
      </x:c>
      <x:c r="BL6" s="73" t="str">
        <x:f>IF(C6="x",IF(OR(COUNT(AD6)=0,COUNT(AR6,AS6)=0),"",IFERROR((AR6+AS6)/AD6,"")),"")</x:f>
      </x:c>
      <x:c r="BM6" s="73" t="str">
        <x:f>IF(AB6="xhs_save_rate",BA6,IF(AB6="xhs_completion_rate",BB6,IF(AB6="xhs_profile_visit_rate",BC6,IF(AB6="xhs_dm_intent_rate",BD6,IF(AB6="xhs_discussion_rate",BE6,IF(AB6="xhs_product_relevance_rate",BF6,IF(AB6="x_first_screen_engaged_rate_proxy",BG6,IF(AB6="x_qualified_reply_rate",BH6,IF(AB6="x_profile_click_rate",BI6,IF(AB6="x_link_intent_rate",BJ6,IF(AB6="x_bookmark_rate",BK6,IF(AB6="x_product_relevance_rate",BL6,""))))))))))))</x:f>
      </x:c>
      <x:c r="BN6" s="73" t="str">
        <x:f>IFERROR(BM6/AT6-1,"")</x:f>
      </x:c>
      <x:c r="BO6" s="73" t="str">
        <x:f>IF(AC6="","",IF(AC6="xhs_save_rate",BA6,IF(AC6="xhs_completion_rate",BB6,IF(AC6="xhs_profile_visit_rate",BC6,IF(AC6="xhs_dm_intent_rate",BD6,IF(AC6="xhs_discussion_rate",BE6,IF(AC6="xhs_product_relevance_rate",BF6,IF(AC6="x_first_screen_engaged_rate_proxy",BG6,IF(AC6="x_qualified_reply_rate",BH6,IF(AC6="x_profile_click_rate",BI6,IF(AC6="x_link_intent_rate",BJ6,IF(AC6="x_bookmark_rate",BK6,IF(AC6="x_product_relevance_rate",BL6,"")))))))))))))</x:f>
      </x:c>
      <x:c r="BP6" s="73" t="str">
        <x:f>IFERROR(BO6/AU6-1,"")</x:f>
      </x:c>
      <x:c r="BQ6" s="74" t="str">
        <x:f>IF(COUNT(AD6)=0,"",AD6)</x:f>
      </x:c>
      <x:c r="BR6" s="73" t="str">
        <x:f>IF(C6="xiaohongshu",IF(COUNT(BA6,BB6)=2,AVERAGE(BA6,BB6),IF(COUNT(BA6)=1,BA6,BB6)),BK6)</x:f>
      </x:c>
      <x:c r="BS6" s="73" t="str">
        <x:f>IF(C6="xiaohongshu",BE6,BH6)</x:f>
      </x:c>
      <x:c r="BT6" s="73" t="str">
        <x:f>IF(C6="xiaohongshu",IF(I6="save",BA6,IF(I6="discussion",BE6,IF(I6="profile_visit",BC6,IF(I6="dm",BD6,IF(OR(I6="product_question",I6="trial_intent"),BF6,""))))),IF(I6="save",BK6,IF(I6="discussion",BH6,IF(OR(I6="profile_visit",I6="dm"),BI6,IF(I6="link_click",BJ6,IF(OR(I6="product_question",I6="trial_intent"),BL6,""))))))</x:f>
      </x:c>
      <x:c r="BU6" s="73" t="str">
        <x:f>IF(C6="xiaohongshu",BF6,BL6)</x:f>
      </x:c>
      <x:c r="BV6" s="65" t="str">
        <x:f>IF(COUNT(BQ6,AV6)&lt;2,"unknown",IF(BQ6/AV6-1&gt;=0.2,"high",IF(BQ6/AV6-1&lt;=-0.2,"low","normal")))</x:f>
        <x:v>unknown</x:v>
      </x:c>
      <x:c r="BW6" s="65" t="str">
        <x:f>IF(COUNT(BR6,AW6)&lt;2,"unknown",IF(BR6/AW6-1&gt;=0.2,"high",IF(BR6/AW6-1&lt;=-0.2,"low","normal")))</x:f>
        <x:v>unknown</x:v>
      </x:c>
      <x:c r="BX6" s="65" t="str">
        <x:f>IF(COUNT(BS6,AX6)&lt;2,"unknown",IF(BS6/AX6-1&gt;=0.2,"high",IF(BS6/AX6-1&lt;=-0.2,"low","normal")))</x:f>
        <x:v>unknown</x:v>
      </x:c>
      <x:c r="BY6" s="65" t="str">
        <x:f>IF(COUNT(BT6,AY6)&lt;2,"unknown",IF(BT6/AY6-1&gt;=0.2,"high",IF(BT6/AY6-1&lt;=-0.2,"low","normal")))</x:f>
        <x:v>unknown</x:v>
      </x:c>
      <x:c r="BZ6" s="65" t="str">
        <x:f>IF(COUNT(BU6,AZ6)&lt;2,"unknown",IF(BU6/AZ6-1&gt;=0.2,"high",IF(BU6/AZ6-1&lt;=-0.2,"low","normal")))</x:f>
        <x:v>unknown</x:v>
      </x:c>
      <x:c r="CA6" s="65" t="str">
        <x:f>IF(T6&lt;&gt;"complete","pending",IF(OR(L6&lt;&gt;"pure",U6="true",COUNT(BM6,AT6)&lt;2,AND(AC6&lt;&gt;"",COUNT(BO6,AU6)&lt;2)),"not_attributable","attributable"))</x:f>
        <x:v>pending</x:v>
      </x:c>
      <x:c r="CB6" s="65" t="str">
        <x:f>IF(T6&lt;&gt;"complete","not_evaluated",IF(COUNT(BM6,AT6)&lt;2,"insufficient_data",IF(AND(AC6&lt;&gt;"",COUNT(BP6)=1,BP6&lt;=-0.2),"guardrail_fail",IF(AND(CA6="not_attributable",OR(BV6="high",BN6&gt;=0.2)),"watchlist",IF(CA6&lt;&gt;"attributable","insufficient_data",IF(BN6&gt;=0.2,"win",IF(BN6&lt;=-0.2,"loss","inconclusive")))))))</x:f>
        <x:v>not_evaluated</x:v>
      </x:c>
      <x:c r="CC6" s="65" t="str">
        <x:f>IF(T6&lt;&gt;"complete","COLLECT_MORE_DATA",IF(COUNT(BM6,AT6)&lt;2,"FIX_TRACKING",IF(CB6="guardrail_fail","STOP_VARIANT_GUARDRAIL",IF(CB6="watchlist","WATCHLIST_ONLY",IF(AND(BV6="high",BY6="low"),"KEEP_HOOK_REWRITE_CTA",IF(AND(BW6="high",BX6="low"),"KEEP_STRUCTURE_CHANGE_DISCUSSION_ANGLE",IF(AND(BX6="high",BZ6="low"),"DOWNWEIGHT_TEMPLATE",IF(CB6="win","RETEST_WINNER",IF(CB6="loss","RETURN_TO_BASELINE","COLLECT_MORE_DATA")))))))))</x:f>
        <x:v>COLLECT_MORE_DATA</x:v>
      </x:c>
      <x:c r="CD6" s="75"/>
    </x:row>
    <x:row r="7">
      <x:c r="A7" s="68"/>
      <x:c r="B7" s="69"/>
      <x:c r="C7" s="68"/>
      <x:c r="D7" s="68"/>
      <x:c r="E7" s="68"/>
      <x:c r="F7" s="68"/>
      <x:c r="G7" s="68"/>
      <x:c r="H7" s="70"/>
      <x:c r="I7" s="68"/>
      <x:c r="J7" s="68"/>
      <x:c r="K7" s="68"/>
      <x:c r="L7" s="71" t="str">
        <x:f>IF(K7="","unknown",IF(K7=0,"baseline",IF(K7=1,"pure","mixed")))</x:f>
        <x:v>unknown</x:v>
      </x:c>
      <x:c r="M7" s="68"/>
      <x:c r="N7" s="68"/>
      <x:c r="O7" s="68"/>
      <x:c r="P7" s="68"/>
      <x:c r="Q7" s="68"/>
      <x:c r="R7" s="68"/>
      <x:c r="S7" s="68"/>
      <x:c r="T7" s="68"/>
      <x:c r="U7" s="68"/>
      <x:c r="V7" s="68"/>
      <x:c r="W7" s="68"/>
      <x:c r="X7" s="68"/>
      <x:c r="Y7" s="68"/>
      <x:c r="Z7" s="68"/>
      <x:c r="AA7" s="68"/>
      <x:c r="AB7" s="68"/>
      <x:c r="AC7" s="68"/>
      <x:c r="AD7" s="70"/>
      <x:c r="AE7" s="70"/>
      <x:c r="AF7" s="70"/>
      <x:c r="AG7" s="70"/>
      <x:c r="AH7" s="70"/>
      <x:c r="AI7" s="70"/>
      <x:c r="AJ7" s="70"/>
      <x:c r="AK7" s="70"/>
      <x:c r="AL7" s="70"/>
      <x:c r="AM7" s="70"/>
      <x:c r="AN7" s="70"/>
      <x:c r="AO7" s="70"/>
      <x:c r="AP7" s="70"/>
      <x:c r="AQ7" s="70"/>
      <x:c r="AR7" s="70"/>
      <x:c r="AS7" s="70"/>
      <x:c r="AT7" s="72"/>
      <x:c r="AU7" s="72"/>
      <x:c r="AV7" s="72"/>
      <x:c r="AW7" s="72"/>
      <x:c r="AX7" s="72"/>
      <x:c r="AY7" s="72"/>
      <x:c r="AZ7" s="72"/>
      <x:c r="BA7" s="73" t="str">
        <x:f>IF(C7="xiaohongshu",IF(COUNT(AF7,AE7)&lt;2,"",IFERROR(AF7/AE7,"")),"")</x:f>
      </x:c>
      <x:c r="BB7" s="73" t="str">
        <x:f>IF(C7="xiaohongshu",IF(COUNT(AG7,AE7)&lt;2,"",IFERROR(AG7/AE7,"")),"")</x:f>
      </x:c>
      <x:c r="BC7" s="73" t="str">
        <x:f>IF(C7="xiaohongshu",IF(COUNT(AN7,AE7)&lt;2,"",IFERROR(AN7/AE7,"")),"")</x:f>
      </x:c>
      <x:c r="BD7" s="73" t="str">
        <x:f>IF(C7="xiaohongshu",IF(COUNT(AQ7,AE7)&lt;2,"",IFERROR(AQ7/AE7,"")),"")</x:f>
      </x:c>
      <x:c r="BE7" s="73" t="str">
        <x:f>IF(C7="xiaohongshu",IF(COUNT(AI7,AE7)&lt;2,"",IFERROR(AI7/AE7,"")),"")</x:f>
      </x:c>
      <x:c r="BF7" s="73" t="str">
        <x:f>IF(C7="xiaohongshu",IF(OR(COUNT(AE7)=0,COUNT(AR7,AS7)=0),"",IFERROR((AR7+AS7)/AE7,"")),"")</x:f>
      </x:c>
      <x:c r="BG7" s="73" t="str">
        <x:f>IF(C7="x",IF(COUNT(AD7)=0,"",IF(COUNT(AM7)=1,IFERROR(AM7/AD7,""),IF(COUNT(AH7,AI7,AK7,AL7)=0,"",IFERROR(SUM(AH7,AI7,AK7,AL7)/AD7,"")))),"")</x:f>
      </x:c>
      <x:c r="BH7" s="73" t="str">
        <x:f>IF(C7="x",IF(COUNT(AJ7,AD7)&lt;2,"",IFERROR(AJ7/AD7,"")),"")</x:f>
      </x:c>
      <x:c r="BI7" s="73" t="str">
        <x:f>IF(C7="x",IF(COUNT(AO7,AD7)&lt;2,"",IFERROR(AO7/AD7,"")),"")</x:f>
      </x:c>
      <x:c r="BJ7" s="73" t="str">
        <x:f>IF(C7="x",IF(COUNT(AP7,AD7)&lt;2,"",IFERROR(AP7/AD7,"")),"")</x:f>
      </x:c>
      <x:c r="BK7" s="73" t="str">
        <x:f>IF(C7="x",IF(COUNT(AL7,AD7)&lt;2,"",IFERROR(AL7/AD7,"")),"")</x:f>
      </x:c>
      <x:c r="BL7" s="73" t="str">
        <x:f>IF(C7="x",IF(OR(COUNT(AD7)=0,COUNT(AR7,AS7)=0),"",IFERROR((AR7+AS7)/AD7,"")),"")</x:f>
      </x:c>
      <x:c r="BM7" s="73" t="str">
        <x:f>IF(AB7="xhs_save_rate",BA7,IF(AB7="xhs_completion_rate",BB7,IF(AB7="xhs_profile_visit_rate",BC7,IF(AB7="xhs_dm_intent_rate",BD7,IF(AB7="xhs_discussion_rate",BE7,IF(AB7="xhs_product_relevance_rate",BF7,IF(AB7="x_first_screen_engaged_rate_proxy",BG7,IF(AB7="x_qualified_reply_rate",BH7,IF(AB7="x_profile_click_rate",BI7,IF(AB7="x_link_intent_rate",BJ7,IF(AB7="x_bookmark_rate",BK7,IF(AB7="x_product_relevance_rate",BL7,""))))))))))))</x:f>
      </x:c>
      <x:c r="BN7" s="73" t="str">
        <x:f>IFERROR(BM7/AT7-1,"")</x:f>
      </x:c>
      <x:c r="BO7" s="73" t="str">
        <x:f>IF(AC7="","",IF(AC7="xhs_save_rate",BA7,IF(AC7="xhs_completion_rate",BB7,IF(AC7="xhs_profile_visit_rate",BC7,IF(AC7="xhs_dm_intent_rate",BD7,IF(AC7="xhs_discussion_rate",BE7,IF(AC7="xhs_product_relevance_rate",BF7,IF(AC7="x_first_screen_engaged_rate_proxy",BG7,IF(AC7="x_qualified_reply_rate",BH7,IF(AC7="x_profile_click_rate",BI7,IF(AC7="x_link_intent_rate",BJ7,IF(AC7="x_bookmark_rate",BK7,IF(AC7="x_product_relevance_rate",BL7,"")))))))))))))</x:f>
      </x:c>
      <x:c r="BP7" s="73" t="str">
        <x:f>IFERROR(BO7/AU7-1,"")</x:f>
      </x:c>
      <x:c r="BQ7" s="74" t="str">
        <x:f>IF(COUNT(AD7)=0,"",AD7)</x:f>
      </x:c>
      <x:c r="BR7" s="73" t="str">
        <x:f>IF(C7="xiaohongshu",IF(COUNT(BA7,BB7)=2,AVERAGE(BA7,BB7),IF(COUNT(BA7)=1,BA7,BB7)),BK7)</x:f>
      </x:c>
      <x:c r="BS7" s="73" t="str">
        <x:f>IF(C7="xiaohongshu",BE7,BH7)</x:f>
      </x:c>
      <x:c r="BT7" s="73" t="str">
        <x:f>IF(C7="xiaohongshu",IF(I7="save",BA7,IF(I7="discussion",BE7,IF(I7="profile_visit",BC7,IF(I7="dm",BD7,IF(OR(I7="product_question",I7="trial_intent"),BF7,""))))),IF(I7="save",BK7,IF(I7="discussion",BH7,IF(OR(I7="profile_visit",I7="dm"),BI7,IF(I7="link_click",BJ7,IF(OR(I7="product_question",I7="trial_intent"),BL7,""))))))</x:f>
      </x:c>
      <x:c r="BU7" s="73" t="str">
        <x:f>IF(C7="xiaohongshu",BF7,BL7)</x:f>
      </x:c>
      <x:c r="BV7" s="65" t="str">
        <x:f>IF(COUNT(BQ7,AV7)&lt;2,"unknown",IF(BQ7/AV7-1&gt;=0.2,"high",IF(BQ7/AV7-1&lt;=-0.2,"low","normal")))</x:f>
        <x:v>unknown</x:v>
      </x:c>
      <x:c r="BW7" s="65" t="str">
        <x:f>IF(COUNT(BR7,AW7)&lt;2,"unknown",IF(BR7/AW7-1&gt;=0.2,"high",IF(BR7/AW7-1&lt;=-0.2,"low","normal")))</x:f>
        <x:v>unknown</x:v>
      </x:c>
      <x:c r="BX7" s="65" t="str">
        <x:f>IF(COUNT(BS7,AX7)&lt;2,"unknown",IF(BS7/AX7-1&gt;=0.2,"high",IF(BS7/AX7-1&lt;=-0.2,"low","normal")))</x:f>
        <x:v>unknown</x:v>
      </x:c>
      <x:c r="BY7" s="65" t="str">
        <x:f>IF(COUNT(BT7,AY7)&lt;2,"unknown",IF(BT7/AY7-1&gt;=0.2,"high",IF(BT7/AY7-1&lt;=-0.2,"low","normal")))</x:f>
        <x:v>unknown</x:v>
      </x:c>
      <x:c r="BZ7" s="65" t="str">
        <x:f>IF(COUNT(BU7,AZ7)&lt;2,"unknown",IF(BU7/AZ7-1&gt;=0.2,"high",IF(BU7/AZ7-1&lt;=-0.2,"low","normal")))</x:f>
        <x:v>unknown</x:v>
      </x:c>
      <x:c r="CA7" s="65" t="str">
        <x:f>IF(T7&lt;&gt;"complete","pending",IF(OR(L7&lt;&gt;"pure",U7="true",COUNT(BM7,AT7)&lt;2,AND(AC7&lt;&gt;"",COUNT(BO7,AU7)&lt;2)),"not_attributable","attributable"))</x:f>
        <x:v>pending</x:v>
      </x:c>
      <x:c r="CB7" s="65" t="str">
        <x:f>IF(T7&lt;&gt;"complete","not_evaluated",IF(COUNT(BM7,AT7)&lt;2,"insufficient_data",IF(AND(AC7&lt;&gt;"",COUNT(BP7)=1,BP7&lt;=-0.2),"guardrail_fail",IF(AND(CA7="not_attributable",OR(BV7="high",BN7&gt;=0.2)),"watchlist",IF(CA7&lt;&gt;"attributable","insufficient_data",IF(BN7&gt;=0.2,"win",IF(BN7&lt;=-0.2,"loss","inconclusive")))))))</x:f>
        <x:v>not_evaluated</x:v>
      </x:c>
      <x:c r="CC7" s="65" t="str">
        <x:f>IF(T7&lt;&gt;"complete","COLLECT_MORE_DATA",IF(COUNT(BM7,AT7)&lt;2,"FIX_TRACKING",IF(CB7="guardrail_fail","STOP_VARIANT_GUARDRAIL",IF(CB7="watchlist","WATCHLIST_ONLY",IF(AND(BV7="high",BY7="low"),"KEEP_HOOK_REWRITE_CTA",IF(AND(BW7="high",BX7="low"),"KEEP_STRUCTURE_CHANGE_DISCUSSION_ANGLE",IF(AND(BX7="high",BZ7="low"),"DOWNWEIGHT_TEMPLATE",IF(CB7="win","RETEST_WINNER",IF(CB7="loss","RETURN_TO_BASELINE","COLLECT_MORE_DATA")))))))))</x:f>
        <x:v>COLLECT_MORE_DATA</x:v>
      </x:c>
      <x:c r="CD7" s="75"/>
    </x:row>
    <x:row r="8">
      <x:c r="A8" s="68"/>
      <x:c r="B8" s="69"/>
      <x:c r="C8" s="68"/>
      <x:c r="D8" s="68"/>
      <x:c r="E8" s="68"/>
      <x:c r="F8" s="68"/>
      <x:c r="G8" s="68"/>
      <x:c r="H8" s="70"/>
      <x:c r="I8" s="68"/>
      <x:c r="J8" s="68"/>
      <x:c r="K8" s="68"/>
      <x:c r="L8" s="71" t="str">
        <x:f>IF(K8="","unknown",IF(K8=0,"baseline",IF(K8=1,"pure","mixed")))</x:f>
        <x:v>unknown</x:v>
      </x:c>
      <x:c r="M8" s="68"/>
      <x:c r="N8" s="68"/>
      <x:c r="O8" s="68"/>
      <x:c r="P8" s="68"/>
      <x:c r="Q8" s="68"/>
      <x:c r="R8" s="68"/>
      <x:c r="S8" s="68"/>
      <x:c r="T8" s="68"/>
      <x:c r="U8" s="68"/>
      <x:c r="V8" s="68"/>
      <x:c r="W8" s="68"/>
      <x:c r="X8" s="68"/>
      <x:c r="Y8" s="68"/>
      <x:c r="Z8" s="68"/>
      <x:c r="AA8" s="68"/>
      <x:c r="AB8" s="68"/>
      <x:c r="AC8" s="68"/>
      <x:c r="AD8" s="70"/>
      <x:c r="AE8" s="70"/>
      <x:c r="AF8" s="70"/>
      <x:c r="AG8" s="70"/>
      <x:c r="AH8" s="70"/>
      <x:c r="AI8" s="70"/>
      <x:c r="AJ8" s="70"/>
      <x:c r="AK8" s="70"/>
      <x:c r="AL8" s="70"/>
      <x:c r="AM8" s="70"/>
      <x:c r="AN8" s="70"/>
      <x:c r="AO8" s="70"/>
      <x:c r="AP8" s="70"/>
      <x:c r="AQ8" s="70"/>
      <x:c r="AR8" s="70"/>
      <x:c r="AS8" s="70"/>
      <x:c r="AT8" s="72"/>
      <x:c r="AU8" s="72"/>
      <x:c r="AV8" s="72"/>
      <x:c r="AW8" s="72"/>
      <x:c r="AX8" s="72"/>
      <x:c r="AY8" s="72"/>
      <x:c r="AZ8" s="72"/>
      <x:c r="BA8" s="73" t="str">
        <x:f>IF(C8="xiaohongshu",IF(COUNT(AF8,AE8)&lt;2,"",IFERROR(AF8/AE8,"")),"")</x:f>
      </x:c>
      <x:c r="BB8" s="73" t="str">
        <x:f>IF(C8="xiaohongshu",IF(COUNT(AG8,AE8)&lt;2,"",IFERROR(AG8/AE8,"")),"")</x:f>
      </x:c>
      <x:c r="BC8" s="73" t="str">
        <x:f>IF(C8="xiaohongshu",IF(COUNT(AN8,AE8)&lt;2,"",IFERROR(AN8/AE8,"")),"")</x:f>
      </x:c>
      <x:c r="BD8" s="73" t="str">
        <x:f>IF(C8="xiaohongshu",IF(COUNT(AQ8,AE8)&lt;2,"",IFERROR(AQ8/AE8,"")),"")</x:f>
      </x:c>
      <x:c r="BE8" s="73" t="str">
        <x:f>IF(C8="xiaohongshu",IF(COUNT(AI8,AE8)&lt;2,"",IFERROR(AI8/AE8,"")),"")</x:f>
      </x:c>
      <x:c r="BF8" s="73" t="str">
        <x:f>IF(C8="xiaohongshu",IF(OR(COUNT(AE8)=0,COUNT(AR8,AS8)=0),"",IFERROR((AR8+AS8)/AE8,"")),"")</x:f>
      </x:c>
      <x:c r="BG8" s="73" t="str">
        <x:f>IF(C8="x",IF(COUNT(AD8)=0,"",IF(COUNT(AM8)=1,IFERROR(AM8/AD8,""),IF(COUNT(AH8,AI8,AK8,AL8)=0,"",IFERROR(SUM(AH8,AI8,AK8,AL8)/AD8,"")))),"")</x:f>
      </x:c>
      <x:c r="BH8" s="73" t="str">
        <x:f>IF(C8="x",IF(COUNT(AJ8,AD8)&lt;2,"",IFERROR(AJ8/AD8,"")),"")</x:f>
      </x:c>
      <x:c r="BI8" s="73" t="str">
        <x:f>IF(C8="x",IF(COUNT(AO8,AD8)&lt;2,"",IFERROR(AO8/AD8,"")),"")</x:f>
      </x:c>
      <x:c r="BJ8" s="73" t="str">
        <x:f>IF(C8="x",IF(COUNT(AP8,AD8)&lt;2,"",IFERROR(AP8/AD8,"")),"")</x:f>
      </x:c>
      <x:c r="BK8" s="73" t="str">
        <x:f>IF(C8="x",IF(COUNT(AL8,AD8)&lt;2,"",IFERROR(AL8/AD8,"")),"")</x:f>
      </x:c>
      <x:c r="BL8" s="73" t="str">
        <x:f>IF(C8="x",IF(OR(COUNT(AD8)=0,COUNT(AR8,AS8)=0),"",IFERROR((AR8+AS8)/AD8,"")),"")</x:f>
      </x:c>
      <x:c r="BM8" s="73" t="str">
        <x:f>IF(AB8="xhs_save_rate",BA8,IF(AB8="xhs_completion_rate",BB8,IF(AB8="xhs_profile_visit_rate",BC8,IF(AB8="xhs_dm_intent_rate",BD8,IF(AB8="xhs_discussion_rate",BE8,IF(AB8="xhs_product_relevance_rate",BF8,IF(AB8="x_first_screen_engaged_rate_proxy",BG8,IF(AB8="x_qualified_reply_rate",BH8,IF(AB8="x_profile_click_rate",BI8,IF(AB8="x_link_intent_rate",BJ8,IF(AB8="x_bookmark_rate",BK8,IF(AB8="x_product_relevance_rate",BL8,""))))))))))))</x:f>
      </x:c>
      <x:c r="BN8" s="73" t="str">
        <x:f>IFERROR(BM8/AT8-1,"")</x:f>
      </x:c>
      <x:c r="BO8" s="73" t="str">
        <x:f>IF(AC8="","",IF(AC8="xhs_save_rate",BA8,IF(AC8="xhs_completion_rate",BB8,IF(AC8="xhs_profile_visit_rate",BC8,IF(AC8="xhs_dm_intent_rate",BD8,IF(AC8="xhs_discussion_rate",BE8,IF(AC8="xhs_product_relevance_rate",BF8,IF(AC8="x_first_screen_engaged_rate_proxy",BG8,IF(AC8="x_qualified_reply_rate",BH8,IF(AC8="x_profile_click_rate",BI8,IF(AC8="x_link_intent_rate",BJ8,IF(AC8="x_bookmark_rate",BK8,IF(AC8="x_product_relevance_rate",BL8,"")))))))))))))</x:f>
      </x:c>
      <x:c r="BP8" s="73" t="str">
        <x:f>IFERROR(BO8/AU8-1,"")</x:f>
      </x:c>
      <x:c r="BQ8" s="74" t="str">
        <x:f>IF(COUNT(AD8)=0,"",AD8)</x:f>
      </x:c>
      <x:c r="BR8" s="73" t="str">
        <x:f>IF(C8="xiaohongshu",IF(COUNT(BA8,BB8)=2,AVERAGE(BA8,BB8),IF(COUNT(BA8)=1,BA8,BB8)),BK8)</x:f>
      </x:c>
      <x:c r="BS8" s="73" t="str">
        <x:f>IF(C8="xiaohongshu",BE8,BH8)</x:f>
      </x:c>
      <x:c r="BT8" s="73" t="str">
        <x:f>IF(C8="xiaohongshu",IF(I8="save",BA8,IF(I8="discussion",BE8,IF(I8="profile_visit",BC8,IF(I8="dm",BD8,IF(OR(I8="product_question",I8="trial_intent"),BF8,""))))),IF(I8="save",BK8,IF(I8="discussion",BH8,IF(OR(I8="profile_visit",I8="dm"),BI8,IF(I8="link_click",BJ8,IF(OR(I8="product_question",I8="trial_intent"),BL8,""))))))</x:f>
      </x:c>
      <x:c r="BU8" s="73" t="str">
        <x:f>IF(C8="xiaohongshu",BF8,BL8)</x:f>
      </x:c>
      <x:c r="BV8" s="65" t="str">
        <x:f>IF(COUNT(BQ8,AV8)&lt;2,"unknown",IF(BQ8/AV8-1&gt;=0.2,"high",IF(BQ8/AV8-1&lt;=-0.2,"low","normal")))</x:f>
        <x:v>unknown</x:v>
      </x:c>
      <x:c r="BW8" s="65" t="str">
        <x:f>IF(COUNT(BR8,AW8)&lt;2,"unknown",IF(BR8/AW8-1&gt;=0.2,"high",IF(BR8/AW8-1&lt;=-0.2,"low","normal")))</x:f>
        <x:v>unknown</x:v>
      </x:c>
      <x:c r="BX8" s="65" t="str">
        <x:f>IF(COUNT(BS8,AX8)&lt;2,"unknown",IF(BS8/AX8-1&gt;=0.2,"high",IF(BS8/AX8-1&lt;=-0.2,"low","normal")))</x:f>
        <x:v>unknown</x:v>
      </x:c>
      <x:c r="BY8" s="65" t="str">
        <x:f>IF(COUNT(BT8,AY8)&lt;2,"unknown",IF(BT8/AY8-1&gt;=0.2,"high",IF(BT8/AY8-1&lt;=-0.2,"low","normal")))</x:f>
        <x:v>unknown</x:v>
      </x:c>
      <x:c r="BZ8" s="65" t="str">
        <x:f>IF(COUNT(BU8,AZ8)&lt;2,"unknown",IF(BU8/AZ8-1&gt;=0.2,"high",IF(BU8/AZ8-1&lt;=-0.2,"low","normal")))</x:f>
        <x:v>unknown</x:v>
      </x:c>
      <x:c r="CA8" s="65" t="str">
        <x:f>IF(T8&lt;&gt;"complete","pending",IF(OR(L8&lt;&gt;"pure",U8="true",COUNT(BM8,AT8)&lt;2,AND(AC8&lt;&gt;"",COUNT(BO8,AU8)&lt;2)),"not_attributable","attributable"))</x:f>
        <x:v>pending</x:v>
      </x:c>
      <x:c r="CB8" s="65" t="str">
        <x:f>IF(T8&lt;&gt;"complete","not_evaluated",IF(COUNT(BM8,AT8)&lt;2,"insufficient_data",IF(AND(AC8&lt;&gt;"",COUNT(BP8)=1,BP8&lt;=-0.2),"guardrail_fail",IF(AND(CA8="not_attributable",OR(BV8="high",BN8&gt;=0.2)),"watchlist",IF(CA8&lt;&gt;"attributable","insufficient_data",IF(BN8&gt;=0.2,"win",IF(BN8&lt;=-0.2,"loss","inconclusive")))))))</x:f>
        <x:v>not_evaluated</x:v>
      </x:c>
      <x:c r="CC8" s="65" t="str">
        <x:f>IF(T8&lt;&gt;"complete","COLLECT_MORE_DATA",IF(COUNT(BM8,AT8)&lt;2,"FIX_TRACKING",IF(CB8="guardrail_fail","STOP_VARIANT_GUARDRAIL",IF(CB8="watchlist","WATCHLIST_ONLY",IF(AND(BV8="high",BY8="low"),"KEEP_HOOK_REWRITE_CTA",IF(AND(BW8="high",BX8="low"),"KEEP_STRUCTURE_CHANGE_DISCUSSION_ANGLE",IF(AND(BX8="high",BZ8="low"),"DOWNWEIGHT_TEMPLATE",IF(CB8="win","RETEST_WINNER",IF(CB8="loss","RETURN_TO_BASELINE","COLLECT_MORE_DATA")))))))))</x:f>
        <x:v>COLLECT_MORE_DATA</x:v>
      </x:c>
      <x:c r="CD8" s="75"/>
    </x:row>
    <x:row r="9">
      <x:c r="A9" s="68"/>
      <x:c r="B9" s="69"/>
      <x:c r="C9" s="68"/>
      <x:c r="D9" s="68"/>
      <x:c r="E9" s="68"/>
      <x:c r="F9" s="68"/>
      <x:c r="G9" s="68"/>
      <x:c r="H9" s="70"/>
      <x:c r="I9" s="68"/>
      <x:c r="J9" s="68"/>
      <x:c r="K9" s="68"/>
      <x:c r="L9" s="71" t="str">
        <x:f>IF(K9="","unknown",IF(K9=0,"baseline",IF(K9=1,"pure","mixed")))</x:f>
        <x:v>unknown</x:v>
      </x:c>
      <x:c r="M9" s="68"/>
      <x:c r="N9" s="68"/>
      <x:c r="O9" s="68"/>
      <x:c r="P9" s="68"/>
      <x:c r="Q9" s="68"/>
      <x:c r="R9" s="68"/>
      <x:c r="S9" s="68"/>
      <x:c r="T9" s="68"/>
      <x:c r="U9" s="68"/>
      <x:c r="V9" s="68"/>
      <x:c r="W9" s="68"/>
      <x:c r="X9" s="68"/>
      <x:c r="Y9" s="68"/>
      <x:c r="Z9" s="68"/>
      <x:c r="AA9" s="68"/>
      <x:c r="AB9" s="68"/>
      <x:c r="AC9" s="68"/>
      <x:c r="AD9" s="70"/>
      <x:c r="AE9" s="70"/>
      <x:c r="AF9" s="70"/>
      <x:c r="AG9" s="70"/>
      <x:c r="AH9" s="70"/>
      <x:c r="AI9" s="70"/>
      <x:c r="AJ9" s="70"/>
      <x:c r="AK9" s="70"/>
      <x:c r="AL9" s="70"/>
      <x:c r="AM9" s="70"/>
      <x:c r="AN9" s="70"/>
      <x:c r="AO9" s="70"/>
      <x:c r="AP9" s="70"/>
      <x:c r="AQ9" s="70"/>
      <x:c r="AR9" s="70"/>
      <x:c r="AS9" s="70"/>
      <x:c r="AT9" s="72"/>
      <x:c r="AU9" s="72"/>
      <x:c r="AV9" s="72"/>
      <x:c r="AW9" s="72"/>
      <x:c r="AX9" s="72"/>
      <x:c r="AY9" s="72"/>
      <x:c r="AZ9" s="72"/>
      <x:c r="BA9" s="73" t="str">
        <x:f>IF(C9="xiaohongshu",IF(COUNT(AF9,AE9)&lt;2,"",IFERROR(AF9/AE9,"")),"")</x:f>
      </x:c>
      <x:c r="BB9" s="73" t="str">
        <x:f>IF(C9="xiaohongshu",IF(COUNT(AG9,AE9)&lt;2,"",IFERROR(AG9/AE9,"")),"")</x:f>
      </x:c>
      <x:c r="BC9" s="73" t="str">
        <x:f>IF(C9="xiaohongshu",IF(COUNT(AN9,AE9)&lt;2,"",IFERROR(AN9/AE9,"")),"")</x:f>
      </x:c>
      <x:c r="BD9" s="73" t="str">
        <x:f>IF(C9="xiaohongshu",IF(COUNT(AQ9,AE9)&lt;2,"",IFERROR(AQ9/AE9,"")),"")</x:f>
      </x:c>
      <x:c r="BE9" s="73" t="str">
        <x:f>IF(C9="xiaohongshu",IF(COUNT(AI9,AE9)&lt;2,"",IFERROR(AI9/AE9,"")),"")</x:f>
      </x:c>
      <x:c r="BF9" s="73" t="str">
        <x:f>IF(C9="xiaohongshu",IF(OR(COUNT(AE9)=0,COUNT(AR9,AS9)=0),"",IFERROR((AR9+AS9)/AE9,"")),"")</x:f>
      </x:c>
      <x:c r="BG9" s="73" t="str">
        <x:f>IF(C9="x",IF(COUNT(AD9)=0,"",IF(COUNT(AM9)=1,IFERROR(AM9/AD9,""),IF(COUNT(AH9,AI9,AK9,AL9)=0,"",IFERROR(SUM(AH9,AI9,AK9,AL9)/AD9,"")))),"")</x:f>
      </x:c>
      <x:c r="BH9" s="73" t="str">
        <x:f>IF(C9="x",IF(COUNT(AJ9,AD9)&lt;2,"",IFERROR(AJ9/AD9,"")),"")</x:f>
      </x:c>
      <x:c r="BI9" s="73" t="str">
        <x:f>IF(C9="x",IF(COUNT(AO9,AD9)&lt;2,"",IFERROR(AO9/AD9,"")),"")</x:f>
      </x:c>
      <x:c r="BJ9" s="73" t="str">
        <x:f>IF(C9="x",IF(COUNT(AP9,AD9)&lt;2,"",IFERROR(AP9/AD9,"")),"")</x:f>
      </x:c>
      <x:c r="BK9" s="73" t="str">
        <x:f>IF(C9="x",IF(COUNT(AL9,AD9)&lt;2,"",IFERROR(AL9/AD9,"")),"")</x:f>
      </x:c>
      <x:c r="BL9" s="73" t="str">
        <x:f>IF(C9="x",IF(OR(COUNT(AD9)=0,COUNT(AR9,AS9)=0),"",IFERROR((AR9+AS9)/AD9,"")),"")</x:f>
      </x:c>
      <x:c r="BM9" s="73" t="str">
        <x:f>IF(AB9="xhs_save_rate",BA9,IF(AB9="xhs_completion_rate",BB9,IF(AB9="xhs_profile_visit_rate",BC9,IF(AB9="xhs_dm_intent_rate",BD9,IF(AB9="xhs_discussion_rate",BE9,IF(AB9="xhs_product_relevance_rate",BF9,IF(AB9="x_first_screen_engaged_rate_proxy",BG9,IF(AB9="x_qualified_reply_rate",BH9,IF(AB9="x_profile_click_rate",BI9,IF(AB9="x_link_intent_rate",BJ9,IF(AB9="x_bookmark_rate",BK9,IF(AB9="x_product_relevance_rate",BL9,""))))))))))))</x:f>
      </x:c>
      <x:c r="BN9" s="73" t="str">
        <x:f>IFERROR(BM9/AT9-1,"")</x:f>
      </x:c>
      <x:c r="BO9" s="73" t="str">
        <x:f>IF(AC9="","",IF(AC9="xhs_save_rate",BA9,IF(AC9="xhs_completion_rate",BB9,IF(AC9="xhs_profile_visit_rate",BC9,IF(AC9="xhs_dm_intent_rate",BD9,IF(AC9="xhs_discussion_rate",BE9,IF(AC9="xhs_product_relevance_rate",BF9,IF(AC9="x_first_screen_engaged_rate_proxy",BG9,IF(AC9="x_qualified_reply_rate",BH9,IF(AC9="x_profile_click_rate",BI9,IF(AC9="x_link_intent_rate",BJ9,IF(AC9="x_bookmark_rate",BK9,IF(AC9="x_product_relevance_rate",BL9,"")))))))))))))</x:f>
      </x:c>
      <x:c r="BP9" s="73" t="str">
        <x:f>IFERROR(BO9/AU9-1,"")</x:f>
      </x:c>
      <x:c r="BQ9" s="74" t="str">
        <x:f>IF(COUNT(AD9)=0,"",AD9)</x:f>
      </x:c>
      <x:c r="BR9" s="73" t="str">
        <x:f>IF(C9="xiaohongshu",IF(COUNT(BA9,BB9)=2,AVERAGE(BA9,BB9),IF(COUNT(BA9)=1,BA9,BB9)),BK9)</x:f>
      </x:c>
      <x:c r="BS9" s="73" t="str">
        <x:f>IF(C9="xiaohongshu",BE9,BH9)</x:f>
      </x:c>
      <x:c r="BT9" s="73" t="str">
        <x:f>IF(C9="xiaohongshu",IF(I9="save",BA9,IF(I9="discussion",BE9,IF(I9="profile_visit",BC9,IF(I9="dm",BD9,IF(OR(I9="product_question",I9="trial_intent"),BF9,""))))),IF(I9="save",BK9,IF(I9="discussion",BH9,IF(OR(I9="profile_visit",I9="dm"),BI9,IF(I9="link_click",BJ9,IF(OR(I9="product_question",I9="trial_intent"),BL9,""))))))</x:f>
      </x:c>
      <x:c r="BU9" s="73" t="str">
        <x:f>IF(C9="xiaohongshu",BF9,BL9)</x:f>
      </x:c>
      <x:c r="BV9" s="65" t="str">
        <x:f>IF(COUNT(BQ9,AV9)&lt;2,"unknown",IF(BQ9/AV9-1&gt;=0.2,"high",IF(BQ9/AV9-1&lt;=-0.2,"low","normal")))</x:f>
        <x:v>unknown</x:v>
      </x:c>
      <x:c r="BW9" s="65" t="str">
        <x:f>IF(COUNT(BR9,AW9)&lt;2,"unknown",IF(BR9/AW9-1&gt;=0.2,"high",IF(BR9/AW9-1&lt;=-0.2,"low","normal")))</x:f>
        <x:v>unknown</x:v>
      </x:c>
      <x:c r="BX9" s="65" t="str">
        <x:f>IF(COUNT(BS9,AX9)&lt;2,"unknown",IF(BS9/AX9-1&gt;=0.2,"high",IF(BS9/AX9-1&lt;=-0.2,"low","normal")))</x:f>
        <x:v>unknown</x:v>
      </x:c>
      <x:c r="BY9" s="65" t="str">
        <x:f>IF(COUNT(BT9,AY9)&lt;2,"unknown",IF(BT9/AY9-1&gt;=0.2,"high",IF(BT9/AY9-1&lt;=-0.2,"low","normal")))</x:f>
        <x:v>unknown</x:v>
      </x:c>
      <x:c r="BZ9" s="65" t="str">
        <x:f>IF(COUNT(BU9,AZ9)&lt;2,"unknown",IF(BU9/AZ9-1&gt;=0.2,"high",IF(BU9/AZ9-1&lt;=-0.2,"low","normal")))</x:f>
        <x:v>unknown</x:v>
      </x:c>
      <x:c r="CA9" s="65" t="str">
        <x:f>IF(T9&lt;&gt;"complete","pending",IF(OR(L9&lt;&gt;"pure",U9="true",COUNT(BM9,AT9)&lt;2,AND(AC9&lt;&gt;"",COUNT(BO9,AU9)&lt;2)),"not_attributable","attributable"))</x:f>
        <x:v>pending</x:v>
      </x:c>
      <x:c r="CB9" s="65" t="str">
        <x:f>IF(T9&lt;&gt;"complete","not_evaluated",IF(COUNT(BM9,AT9)&lt;2,"insufficient_data",IF(AND(AC9&lt;&gt;"",COUNT(BP9)=1,BP9&lt;=-0.2),"guardrail_fail",IF(AND(CA9="not_attributable",OR(BV9="high",BN9&gt;=0.2)),"watchlist",IF(CA9&lt;&gt;"attributable","insufficient_data",IF(BN9&gt;=0.2,"win",IF(BN9&lt;=-0.2,"loss","inconclusive")))))))</x:f>
        <x:v>not_evaluated</x:v>
      </x:c>
      <x:c r="CC9" s="65" t="str">
        <x:f>IF(T9&lt;&gt;"complete","COLLECT_MORE_DATA",IF(COUNT(BM9,AT9)&lt;2,"FIX_TRACKING",IF(CB9="guardrail_fail","STOP_VARIANT_GUARDRAIL",IF(CB9="watchlist","WATCHLIST_ONLY",IF(AND(BV9="high",BY9="low"),"KEEP_HOOK_REWRITE_CTA",IF(AND(BW9="high",BX9="low"),"KEEP_STRUCTURE_CHANGE_DISCUSSION_ANGLE",IF(AND(BX9="high",BZ9="low"),"DOWNWEIGHT_TEMPLATE",IF(CB9="win","RETEST_WINNER",IF(CB9="loss","RETURN_TO_BASELINE","COLLECT_MORE_DATA")))))))))</x:f>
        <x:v>COLLECT_MORE_DATA</x:v>
      </x:c>
      <x:c r="CD9" s="75"/>
    </x:row>
    <x:row r="10">
      <x:c r="A10" s="68"/>
      <x:c r="B10" s="69"/>
      <x:c r="C10" s="68"/>
      <x:c r="D10" s="68"/>
      <x:c r="E10" s="68"/>
      <x:c r="F10" s="68"/>
      <x:c r="G10" s="68"/>
      <x:c r="H10" s="70"/>
      <x:c r="I10" s="68"/>
      <x:c r="J10" s="68"/>
      <x:c r="K10" s="68"/>
      <x:c r="L10" s="71" t="str">
        <x:f>IF(K10="","unknown",IF(K10=0,"baseline",IF(K10=1,"pure","mixed")))</x:f>
        <x:v>unknown</x:v>
      </x:c>
      <x:c r="M10" s="68"/>
      <x:c r="N10" s="68"/>
      <x:c r="O10" s="68"/>
      <x:c r="P10" s="68"/>
      <x:c r="Q10" s="68"/>
      <x:c r="R10" s="68"/>
      <x:c r="S10" s="68"/>
      <x:c r="T10" s="68"/>
      <x:c r="U10" s="68"/>
      <x:c r="V10" s="68"/>
      <x:c r="W10" s="68"/>
      <x:c r="X10" s="68"/>
      <x:c r="Y10" s="68"/>
      <x:c r="Z10" s="68"/>
      <x:c r="AA10" s="68"/>
      <x:c r="AB10" s="68"/>
      <x:c r="AC10" s="68"/>
      <x:c r="AD10" s="70"/>
      <x:c r="AE10" s="70"/>
      <x:c r="AF10" s="70"/>
      <x:c r="AG10" s="70"/>
      <x:c r="AH10" s="70"/>
      <x:c r="AI10" s="70"/>
      <x:c r="AJ10" s="70"/>
      <x:c r="AK10" s="70"/>
      <x:c r="AL10" s="70"/>
      <x:c r="AM10" s="70"/>
      <x:c r="AN10" s="70"/>
      <x:c r="AO10" s="70"/>
      <x:c r="AP10" s="70"/>
      <x:c r="AQ10" s="70"/>
      <x:c r="AR10" s="70"/>
      <x:c r="AS10" s="70"/>
      <x:c r="AT10" s="72"/>
      <x:c r="AU10" s="72"/>
      <x:c r="AV10" s="72"/>
      <x:c r="AW10" s="72"/>
      <x:c r="AX10" s="72"/>
      <x:c r="AY10" s="72"/>
      <x:c r="AZ10" s="72"/>
      <x:c r="BA10" s="73" t="str">
        <x:f>IF(C10="xiaohongshu",IF(COUNT(AF10,AE10)&lt;2,"",IFERROR(AF10/AE10,"")),"")</x:f>
      </x:c>
      <x:c r="BB10" s="73" t="str">
        <x:f>IF(C10="xiaohongshu",IF(COUNT(AG10,AE10)&lt;2,"",IFERROR(AG10/AE10,"")),"")</x:f>
      </x:c>
      <x:c r="BC10" s="73" t="str">
        <x:f>IF(C10="xiaohongshu",IF(COUNT(AN10,AE10)&lt;2,"",IFERROR(AN10/AE10,"")),"")</x:f>
      </x:c>
      <x:c r="BD10" s="73" t="str">
        <x:f>IF(C10="xiaohongshu",IF(COUNT(AQ10,AE10)&lt;2,"",IFERROR(AQ10/AE10,"")),"")</x:f>
      </x:c>
      <x:c r="BE10" s="73" t="str">
        <x:f>IF(C10="xiaohongshu",IF(COUNT(AI10,AE10)&lt;2,"",IFERROR(AI10/AE10,"")),"")</x:f>
      </x:c>
      <x:c r="BF10" s="73" t="str">
        <x:f>IF(C10="xiaohongshu",IF(OR(COUNT(AE10)=0,COUNT(AR10,AS10)=0),"",IFERROR((AR10+AS10)/AE10,"")),"")</x:f>
      </x:c>
      <x:c r="BG10" s="73" t="str">
        <x:f>IF(C10="x",IF(COUNT(AD10)=0,"",IF(COUNT(AM10)=1,IFERROR(AM10/AD10,""),IF(COUNT(AH10,AI10,AK10,AL10)=0,"",IFERROR(SUM(AH10,AI10,AK10,AL10)/AD10,"")))),"")</x:f>
      </x:c>
      <x:c r="BH10" s="73" t="str">
        <x:f>IF(C10="x",IF(COUNT(AJ10,AD10)&lt;2,"",IFERROR(AJ10/AD10,"")),"")</x:f>
      </x:c>
      <x:c r="BI10" s="73" t="str">
        <x:f>IF(C10="x",IF(COUNT(AO10,AD10)&lt;2,"",IFERROR(AO10/AD10,"")),"")</x:f>
      </x:c>
      <x:c r="BJ10" s="73" t="str">
        <x:f>IF(C10="x",IF(COUNT(AP10,AD10)&lt;2,"",IFERROR(AP10/AD10,"")),"")</x:f>
      </x:c>
      <x:c r="BK10" s="73" t="str">
        <x:f>IF(C10="x",IF(COUNT(AL10,AD10)&lt;2,"",IFERROR(AL10/AD10,"")),"")</x:f>
      </x:c>
      <x:c r="BL10" s="73" t="str">
        <x:f>IF(C10="x",IF(OR(COUNT(AD10)=0,COUNT(AR10,AS10)=0),"",IFERROR((AR10+AS10)/AD10,"")),"")</x:f>
      </x:c>
      <x:c r="BM10" s="73" t="str">
        <x:f>IF(AB10="xhs_save_rate",BA10,IF(AB10="xhs_completion_rate",BB10,IF(AB10="xhs_profile_visit_rate",BC10,IF(AB10="xhs_dm_intent_rate",BD10,IF(AB10="xhs_discussion_rate",BE10,IF(AB10="xhs_product_relevance_rate",BF10,IF(AB10="x_first_screen_engaged_rate_proxy",BG10,IF(AB10="x_qualified_reply_rate",BH10,IF(AB10="x_profile_click_rate",BI10,IF(AB10="x_link_intent_rate",BJ10,IF(AB10="x_bookmark_rate",BK10,IF(AB10="x_product_relevance_rate",BL10,""))))))))))))</x:f>
      </x:c>
      <x:c r="BN10" s="73" t="str">
        <x:f>IFERROR(BM10/AT10-1,"")</x:f>
      </x:c>
      <x:c r="BO10" s="73" t="str">
        <x:f>IF(AC10="","",IF(AC10="xhs_save_rate",BA10,IF(AC10="xhs_completion_rate",BB10,IF(AC10="xhs_profile_visit_rate",BC10,IF(AC10="xhs_dm_intent_rate",BD10,IF(AC10="xhs_discussion_rate",BE10,IF(AC10="xhs_product_relevance_rate",BF10,IF(AC10="x_first_screen_engaged_rate_proxy",BG10,IF(AC10="x_qualified_reply_rate",BH10,IF(AC10="x_profile_click_rate",BI10,IF(AC10="x_link_intent_rate",BJ10,IF(AC10="x_bookmark_rate",BK10,IF(AC10="x_product_relevance_rate",BL10,"")))))))))))))</x:f>
      </x:c>
      <x:c r="BP10" s="73" t="str">
        <x:f>IFERROR(BO10/AU10-1,"")</x:f>
      </x:c>
      <x:c r="BQ10" s="74" t="str">
        <x:f>IF(COUNT(AD10)=0,"",AD10)</x:f>
      </x:c>
      <x:c r="BR10" s="73" t="str">
        <x:f>IF(C10="xiaohongshu",IF(COUNT(BA10,BB10)=2,AVERAGE(BA10,BB10),IF(COUNT(BA10)=1,BA10,BB10)),BK10)</x:f>
      </x:c>
      <x:c r="BS10" s="73" t="str">
        <x:f>IF(C10="xiaohongshu",BE10,BH10)</x:f>
      </x:c>
      <x:c r="BT10" s="73" t="str">
        <x:f>IF(C10="xiaohongshu",IF(I10="save",BA10,IF(I10="discussion",BE10,IF(I10="profile_visit",BC10,IF(I10="dm",BD10,IF(OR(I10="product_question",I10="trial_intent"),BF10,""))))),IF(I10="save",BK10,IF(I10="discussion",BH10,IF(OR(I10="profile_visit",I10="dm"),BI10,IF(I10="link_click",BJ10,IF(OR(I10="product_question",I10="trial_intent"),BL10,""))))))</x:f>
      </x:c>
      <x:c r="BU10" s="73" t="str">
        <x:f>IF(C10="xiaohongshu",BF10,BL10)</x:f>
      </x:c>
      <x:c r="BV10" s="65" t="str">
        <x:f>IF(COUNT(BQ10,AV10)&lt;2,"unknown",IF(BQ10/AV10-1&gt;=0.2,"high",IF(BQ10/AV10-1&lt;=-0.2,"low","normal")))</x:f>
        <x:v>unknown</x:v>
      </x:c>
      <x:c r="BW10" s="65" t="str">
        <x:f>IF(COUNT(BR10,AW10)&lt;2,"unknown",IF(BR10/AW10-1&gt;=0.2,"high",IF(BR10/AW10-1&lt;=-0.2,"low","normal")))</x:f>
        <x:v>unknown</x:v>
      </x:c>
      <x:c r="BX10" s="65" t="str">
        <x:f>IF(COUNT(BS10,AX10)&lt;2,"unknown",IF(BS10/AX10-1&gt;=0.2,"high",IF(BS10/AX10-1&lt;=-0.2,"low","normal")))</x:f>
        <x:v>unknown</x:v>
      </x:c>
      <x:c r="BY10" s="65" t="str">
        <x:f>IF(COUNT(BT10,AY10)&lt;2,"unknown",IF(BT10/AY10-1&gt;=0.2,"high",IF(BT10/AY10-1&lt;=-0.2,"low","normal")))</x:f>
        <x:v>unknown</x:v>
      </x:c>
      <x:c r="BZ10" s="65" t="str">
        <x:f>IF(COUNT(BU10,AZ10)&lt;2,"unknown",IF(BU10/AZ10-1&gt;=0.2,"high",IF(BU10/AZ10-1&lt;=-0.2,"low","normal")))</x:f>
        <x:v>unknown</x:v>
      </x:c>
      <x:c r="CA10" s="65" t="str">
        <x:f>IF(T10&lt;&gt;"complete","pending",IF(OR(L10&lt;&gt;"pure",U10="true",COUNT(BM10,AT10)&lt;2,AND(AC10&lt;&gt;"",COUNT(BO10,AU10)&lt;2)),"not_attributable","attributable"))</x:f>
        <x:v>pending</x:v>
      </x:c>
      <x:c r="CB10" s="65" t="str">
        <x:f>IF(T10&lt;&gt;"complete","not_evaluated",IF(COUNT(BM10,AT10)&lt;2,"insufficient_data",IF(AND(AC10&lt;&gt;"",COUNT(BP10)=1,BP10&lt;=-0.2),"guardrail_fail",IF(AND(CA10="not_attributable",OR(BV10="high",BN10&gt;=0.2)),"watchlist",IF(CA10&lt;&gt;"attributable","insufficient_data",IF(BN10&gt;=0.2,"win",IF(BN10&lt;=-0.2,"loss","inconclusive")))))))</x:f>
        <x:v>not_evaluated</x:v>
      </x:c>
      <x:c r="CC10" s="65" t="str">
        <x:f>IF(T10&lt;&gt;"complete","COLLECT_MORE_DATA",IF(COUNT(BM10,AT10)&lt;2,"FIX_TRACKING",IF(CB10="guardrail_fail","STOP_VARIANT_GUARDRAIL",IF(CB10="watchlist","WATCHLIST_ONLY",IF(AND(BV10="high",BY10="low"),"KEEP_HOOK_REWRITE_CTA",IF(AND(BW10="high",BX10="low"),"KEEP_STRUCTURE_CHANGE_DISCUSSION_ANGLE",IF(AND(BX10="high",BZ10="low"),"DOWNWEIGHT_TEMPLATE",IF(CB10="win","RETEST_WINNER",IF(CB10="loss","RETURN_TO_BASELINE","COLLECT_MORE_DATA")))))))))</x:f>
        <x:v>COLLECT_MORE_DATA</x:v>
      </x:c>
      <x:c r="CD10" s="75"/>
    </x:row>
    <x:row r="11">
      <x:c r="A11" s="68"/>
      <x:c r="B11" s="69"/>
      <x:c r="C11" s="68"/>
      <x:c r="D11" s="68"/>
      <x:c r="E11" s="68"/>
      <x:c r="F11" s="68"/>
      <x:c r="G11" s="68"/>
      <x:c r="H11" s="70"/>
      <x:c r="I11" s="68"/>
      <x:c r="J11" s="68"/>
      <x:c r="K11" s="68"/>
      <x:c r="L11" s="71" t="str">
        <x:f>IF(K11="","unknown",IF(K11=0,"baseline",IF(K11=1,"pure","mixed")))</x:f>
        <x:v>unknown</x:v>
      </x:c>
      <x:c r="M11" s="68"/>
      <x:c r="N11" s="68"/>
      <x:c r="O11" s="68"/>
      <x:c r="P11" s="68"/>
      <x:c r="Q11" s="68"/>
      <x:c r="R11" s="68"/>
      <x:c r="S11" s="68"/>
      <x:c r="T11" s="68"/>
      <x:c r="U11" s="68"/>
      <x:c r="V11" s="68"/>
      <x:c r="W11" s="68"/>
      <x:c r="X11" s="68"/>
      <x:c r="Y11" s="68"/>
      <x:c r="Z11" s="68"/>
      <x:c r="AA11" s="68"/>
      <x:c r="AB11" s="68"/>
      <x:c r="AC11" s="68"/>
      <x:c r="AD11" s="70"/>
      <x:c r="AE11" s="70"/>
      <x:c r="AF11" s="70"/>
      <x:c r="AG11" s="70"/>
      <x:c r="AH11" s="70"/>
      <x:c r="AI11" s="70"/>
      <x:c r="AJ11" s="70"/>
      <x:c r="AK11" s="70"/>
      <x:c r="AL11" s="70"/>
      <x:c r="AM11" s="70"/>
      <x:c r="AN11" s="70"/>
      <x:c r="AO11" s="70"/>
      <x:c r="AP11" s="70"/>
      <x:c r="AQ11" s="70"/>
      <x:c r="AR11" s="70"/>
      <x:c r="AS11" s="70"/>
      <x:c r="AT11" s="72"/>
      <x:c r="AU11" s="72"/>
      <x:c r="AV11" s="72"/>
      <x:c r="AW11" s="72"/>
      <x:c r="AX11" s="72"/>
      <x:c r="AY11" s="72"/>
      <x:c r="AZ11" s="72"/>
      <x:c r="BA11" s="73" t="str">
        <x:f>IF(C11="xiaohongshu",IF(COUNT(AF11,AE11)&lt;2,"",IFERROR(AF11/AE11,"")),"")</x:f>
      </x:c>
      <x:c r="BB11" s="73" t="str">
        <x:f>IF(C11="xiaohongshu",IF(COUNT(AG11,AE11)&lt;2,"",IFERROR(AG11/AE11,"")),"")</x:f>
      </x:c>
      <x:c r="BC11" s="73" t="str">
        <x:f>IF(C11="xiaohongshu",IF(COUNT(AN11,AE11)&lt;2,"",IFERROR(AN11/AE11,"")),"")</x:f>
      </x:c>
      <x:c r="BD11" s="73" t="str">
        <x:f>IF(C11="xiaohongshu",IF(COUNT(AQ11,AE11)&lt;2,"",IFERROR(AQ11/AE11,"")),"")</x:f>
      </x:c>
      <x:c r="BE11" s="73" t="str">
        <x:f>IF(C11="xiaohongshu",IF(COUNT(AI11,AE11)&lt;2,"",IFERROR(AI11/AE11,"")),"")</x:f>
      </x:c>
      <x:c r="BF11" s="73" t="str">
        <x:f>IF(C11="xiaohongshu",IF(OR(COUNT(AE11)=0,COUNT(AR11,AS11)=0),"",IFERROR((AR11+AS11)/AE11,"")),"")</x:f>
      </x:c>
      <x:c r="BG11" s="73" t="str">
        <x:f>IF(C11="x",IF(COUNT(AD11)=0,"",IF(COUNT(AM11)=1,IFERROR(AM11/AD11,""),IF(COUNT(AH11,AI11,AK11,AL11)=0,"",IFERROR(SUM(AH11,AI11,AK11,AL11)/AD11,"")))),"")</x:f>
      </x:c>
      <x:c r="BH11" s="73" t="str">
        <x:f>IF(C11="x",IF(COUNT(AJ11,AD11)&lt;2,"",IFERROR(AJ11/AD11,"")),"")</x:f>
      </x:c>
      <x:c r="BI11" s="73" t="str">
        <x:f>IF(C11="x",IF(COUNT(AO11,AD11)&lt;2,"",IFERROR(AO11/AD11,"")),"")</x:f>
      </x:c>
      <x:c r="BJ11" s="73" t="str">
        <x:f>IF(C11="x",IF(COUNT(AP11,AD11)&lt;2,"",IFERROR(AP11/AD11,"")),"")</x:f>
      </x:c>
      <x:c r="BK11" s="73" t="str">
        <x:f>IF(C11="x",IF(COUNT(AL11,AD11)&lt;2,"",IFERROR(AL11/AD11,"")),"")</x:f>
      </x:c>
      <x:c r="BL11" s="73" t="str">
        <x:f>IF(C11="x",IF(OR(COUNT(AD11)=0,COUNT(AR11,AS11)=0),"",IFERROR((AR11+AS11)/AD11,"")),"")</x:f>
      </x:c>
      <x:c r="BM11" s="73" t="str">
        <x:f>IF(AB11="xhs_save_rate",BA11,IF(AB11="xhs_completion_rate",BB11,IF(AB11="xhs_profile_visit_rate",BC11,IF(AB11="xhs_dm_intent_rate",BD11,IF(AB11="xhs_discussion_rate",BE11,IF(AB11="xhs_product_relevance_rate",BF11,IF(AB11="x_first_screen_engaged_rate_proxy",BG11,IF(AB11="x_qualified_reply_rate",BH11,IF(AB11="x_profile_click_rate",BI11,IF(AB11="x_link_intent_rate",BJ11,IF(AB11="x_bookmark_rate",BK11,IF(AB11="x_product_relevance_rate",BL11,""))))))))))))</x:f>
      </x:c>
      <x:c r="BN11" s="73" t="str">
        <x:f>IFERROR(BM11/AT11-1,"")</x:f>
      </x:c>
      <x:c r="BO11" s="73" t="str">
        <x:f>IF(AC11="","",IF(AC11="xhs_save_rate",BA11,IF(AC11="xhs_completion_rate",BB11,IF(AC11="xhs_profile_visit_rate",BC11,IF(AC11="xhs_dm_intent_rate",BD11,IF(AC11="xhs_discussion_rate",BE11,IF(AC11="xhs_product_relevance_rate",BF11,IF(AC11="x_first_screen_engaged_rate_proxy",BG11,IF(AC11="x_qualified_reply_rate",BH11,IF(AC11="x_profile_click_rate",BI11,IF(AC11="x_link_intent_rate",BJ11,IF(AC11="x_bookmark_rate",BK11,IF(AC11="x_product_relevance_rate",BL11,"")))))))))))))</x:f>
      </x:c>
      <x:c r="BP11" s="73" t="str">
        <x:f>IFERROR(BO11/AU11-1,"")</x:f>
      </x:c>
      <x:c r="BQ11" s="74" t="str">
        <x:f>IF(COUNT(AD11)=0,"",AD11)</x:f>
      </x:c>
      <x:c r="BR11" s="73" t="str">
        <x:f>IF(C11="xiaohongshu",IF(COUNT(BA11,BB11)=2,AVERAGE(BA11,BB11),IF(COUNT(BA11)=1,BA11,BB11)),BK11)</x:f>
      </x:c>
      <x:c r="BS11" s="73" t="str">
        <x:f>IF(C11="xiaohongshu",BE11,BH11)</x:f>
      </x:c>
      <x:c r="BT11" s="73" t="str">
        <x:f>IF(C11="xiaohongshu",IF(I11="save",BA11,IF(I11="discussion",BE11,IF(I11="profile_visit",BC11,IF(I11="dm",BD11,IF(OR(I11="product_question",I11="trial_intent"),BF11,""))))),IF(I11="save",BK11,IF(I11="discussion",BH11,IF(OR(I11="profile_visit",I11="dm"),BI11,IF(I11="link_click",BJ11,IF(OR(I11="product_question",I11="trial_intent"),BL11,""))))))</x:f>
      </x:c>
      <x:c r="BU11" s="73" t="str">
        <x:f>IF(C11="xiaohongshu",BF11,BL11)</x:f>
      </x:c>
      <x:c r="BV11" s="65" t="str">
        <x:f>IF(COUNT(BQ11,AV11)&lt;2,"unknown",IF(BQ11/AV11-1&gt;=0.2,"high",IF(BQ11/AV11-1&lt;=-0.2,"low","normal")))</x:f>
        <x:v>unknown</x:v>
      </x:c>
      <x:c r="BW11" s="65" t="str">
        <x:f>IF(COUNT(BR11,AW11)&lt;2,"unknown",IF(BR11/AW11-1&gt;=0.2,"high",IF(BR11/AW11-1&lt;=-0.2,"low","normal")))</x:f>
        <x:v>unknown</x:v>
      </x:c>
      <x:c r="BX11" s="65" t="str">
        <x:f>IF(COUNT(BS11,AX11)&lt;2,"unknown",IF(BS11/AX11-1&gt;=0.2,"high",IF(BS11/AX11-1&lt;=-0.2,"low","normal")))</x:f>
        <x:v>unknown</x:v>
      </x:c>
      <x:c r="BY11" s="65" t="str">
        <x:f>IF(COUNT(BT11,AY11)&lt;2,"unknown",IF(BT11/AY11-1&gt;=0.2,"high",IF(BT11/AY11-1&lt;=-0.2,"low","normal")))</x:f>
        <x:v>unknown</x:v>
      </x:c>
      <x:c r="BZ11" s="65" t="str">
        <x:f>IF(COUNT(BU11,AZ11)&lt;2,"unknown",IF(BU11/AZ11-1&gt;=0.2,"high",IF(BU11/AZ11-1&lt;=-0.2,"low","normal")))</x:f>
        <x:v>unknown</x:v>
      </x:c>
      <x:c r="CA11" s="65" t="str">
        <x:f>IF(T11&lt;&gt;"complete","pending",IF(OR(L11&lt;&gt;"pure",U11="true",COUNT(BM11,AT11)&lt;2,AND(AC11&lt;&gt;"",COUNT(BO11,AU11)&lt;2)),"not_attributable","attributable"))</x:f>
        <x:v>pending</x:v>
      </x:c>
      <x:c r="CB11" s="65" t="str">
        <x:f>IF(T11&lt;&gt;"complete","not_evaluated",IF(COUNT(BM11,AT11)&lt;2,"insufficient_data",IF(AND(AC11&lt;&gt;"",COUNT(BP11)=1,BP11&lt;=-0.2),"guardrail_fail",IF(AND(CA11="not_attributable",OR(BV11="high",BN11&gt;=0.2)),"watchlist",IF(CA11&lt;&gt;"attributable","insufficient_data",IF(BN11&gt;=0.2,"win",IF(BN11&lt;=-0.2,"loss","inconclusive")))))))</x:f>
        <x:v>not_evaluated</x:v>
      </x:c>
      <x:c r="CC11" s="65" t="str">
        <x:f>IF(T11&lt;&gt;"complete","COLLECT_MORE_DATA",IF(COUNT(BM11,AT11)&lt;2,"FIX_TRACKING",IF(CB11="guardrail_fail","STOP_VARIANT_GUARDRAIL",IF(CB11="watchlist","WATCHLIST_ONLY",IF(AND(BV11="high",BY11="low"),"KEEP_HOOK_REWRITE_CTA",IF(AND(BW11="high",BX11="low"),"KEEP_STRUCTURE_CHANGE_DISCUSSION_ANGLE",IF(AND(BX11="high",BZ11="low"),"DOWNWEIGHT_TEMPLATE",IF(CB11="win","RETEST_WINNER",IF(CB11="loss","RETURN_TO_BASELINE","COLLECT_MORE_DATA")))))))))</x:f>
        <x:v>COLLECT_MORE_DATA</x:v>
      </x:c>
      <x:c r="CD11" s="75"/>
    </x:row>
    <x:row r="12">
      <x:c r="A12" s="68"/>
      <x:c r="B12" s="69"/>
      <x:c r="C12" s="68"/>
      <x:c r="D12" s="68"/>
      <x:c r="E12" s="68"/>
      <x:c r="F12" s="68"/>
      <x:c r="G12" s="68"/>
      <x:c r="H12" s="70"/>
      <x:c r="I12" s="68"/>
      <x:c r="J12" s="68"/>
      <x:c r="K12" s="68"/>
      <x:c r="L12" s="71" t="str">
        <x:f>IF(K12="","unknown",IF(K12=0,"baseline",IF(K12=1,"pure","mixed")))</x:f>
        <x:v>unknown</x:v>
      </x:c>
      <x:c r="M12" s="68"/>
      <x:c r="N12" s="68"/>
      <x:c r="O12" s="68"/>
      <x:c r="P12" s="68"/>
      <x:c r="Q12" s="68"/>
      <x:c r="R12" s="68"/>
      <x:c r="S12" s="68"/>
      <x:c r="T12" s="68"/>
      <x:c r="U12" s="68"/>
      <x:c r="V12" s="68"/>
      <x:c r="W12" s="68"/>
      <x:c r="X12" s="68"/>
      <x:c r="Y12" s="68"/>
      <x:c r="Z12" s="68"/>
      <x:c r="AA12" s="68"/>
      <x:c r="AB12" s="68"/>
      <x:c r="AC12" s="68"/>
      <x:c r="AD12" s="70"/>
      <x:c r="AE12" s="70"/>
      <x:c r="AF12" s="70"/>
      <x:c r="AG12" s="70"/>
      <x:c r="AH12" s="70"/>
      <x:c r="AI12" s="70"/>
      <x:c r="AJ12" s="70"/>
      <x:c r="AK12" s="70"/>
      <x:c r="AL12" s="70"/>
      <x:c r="AM12" s="70"/>
      <x:c r="AN12" s="70"/>
      <x:c r="AO12" s="70"/>
      <x:c r="AP12" s="70"/>
      <x:c r="AQ12" s="70"/>
      <x:c r="AR12" s="70"/>
      <x:c r="AS12" s="70"/>
      <x:c r="AT12" s="72"/>
      <x:c r="AU12" s="72"/>
      <x:c r="AV12" s="72"/>
      <x:c r="AW12" s="72"/>
      <x:c r="AX12" s="72"/>
      <x:c r="AY12" s="72"/>
      <x:c r="AZ12" s="72"/>
      <x:c r="BA12" s="73" t="str">
        <x:f>IF(C12="xiaohongshu",IF(COUNT(AF12,AE12)&lt;2,"",IFERROR(AF12/AE12,"")),"")</x:f>
      </x:c>
      <x:c r="BB12" s="73" t="str">
        <x:f>IF(C12="xiaohongshu",IF(COUNT(AG12,AE12)&lt;2,"",IFERROR(AG12/AE12,"")),"")</x:f>
      </x:c>
      <x:c r="BC12" s="73" t="str">
        <x:f>IF(C12="xiaohongshu",IF(COUNT(AN12,AE12)&lt;2,"",IFERROR(AN12/AE12,"")),"")</x:f>
      </x:c>
      <x:c r="BD12" s="73" t="str">
        <x:f>IF(C12="xiaohongshu",IF(COUNT(AQ12,AE12)&lt;2,"",IFERROR(AQ12/AE12,"")),"")</x:f>
      </x:c>
      <x:c r="BE12" s="73" t="str">
        <x:f>IF(C12="xiaohongshu",IF(COUNT(AI12,AE12)&lt;2,"",IFERROR(AI12/AE12,"")),"")</x:f>
      </x:c>
      <x:c r="BF12" s="73" t="str">
        <x:f>IF(C12="xiaohongshu",IF(OR(COUNT(AE12)=0,COUNT(AR12,AS12)=0),"",IFERROR((AR12+AS12)/AE12,"")),"")</x:f>
      </x:c>
      <x:c r="BG12" s="73" t="str">
        <x:f>IF(C12="x",IF(COUNT(AD12)=0,"",IF(COUNT(AM12)=1,IFERROR(AM12/AD12,""),IF(COUNT(AH12,AI12,AK12,AL12)=0,"",IFERROR(SUM(AH12,AI12,AK12,AL12)/AD12,"")))),"")</x:f>
      </x:c>
      <x:c r="BH12" s="73" t="str">
        <x:f>IF(C12="x",IF(COUNT(AJ12,AD12)&lt;2,"",IFERROR(AJ12/AD12,"")),"")</x:f>
      </x:c>
      <x:c r="BI12" s="73" t="str">
        <x:f>IF(C12="x",IF(COUNT(AO12,AD12)&lt;2,"",IFERROR(AO12/AD12,"")),"")</x:f>
      </x:c>
      <x:c r="BJ12" s="73" t="str">
        <x:f>IF(C12="x",IF(COUNT(AP12,AD12)&lt;2,"",IFERROR(AP12/AD12,"")),"")</x:f>
      </x:c>
      <x:c r="BK12" s="73" t="str">
        <x:f>IF(C12="x",IF(COUNT(AL12,AD12)&lt;2,"",IFERROR(AL12/AD12,"")),"")</x:f>
      </x:c>
      <x:c r="BL12" s="73" t="str">
        <x:f>IF(C12="x",IF(OR(COUNT(AD12)=0,COUNT(AR12,AS12)=0),"",IFERROR((AR12+AS12)/AD12,"")),"")</x:f>
      </x:c>
      <x:c r="BM12" s="73" t="str">
        <x:f>IF(AB12="xhs_save_rate",BA12,IF(AB12="xhs_completion_rate",BB12,IF(AB12="xhs_profile_visit_rate",BC12,IF(AB12="xhs_dm_intent_rate",BD12,IF(AB12="xhs_discussion_rate",BE12,IF(AB12="xhs_product_relevance_rate",BF12,IF(AB12="x_first_screen_engaged_rate_proxy",BG12,IF(AB12="x_qualified_reply_rate",BH12,IF(AB12="x_profile_click_rate",BI12,IF(AB12="x_link_intent_rate",BJ12,IF(AB12="x_bookmark_rate",BK12,IF(AB12="x_product_relevance_rate",BL12,""))))))))))))</x:f>
      </x:c>
      <x:c r="BN12" s="73" t="str">
        <x:f>IFERROR(BM12/AT12-1,"")</x:f>
      </x:c>
      <x:c r="BO12" s="73" t="str">
        <x:f>IF(AC12="","",IF(AC12="xhs_save_rate",BA12,IF(AC12="xhs_completion_rate",BB12,IF(AC12="xhs_profile_visit_rate",BC12,IF(AC12="xhs_dm_intent_rate",BD12,IF(AC12="xhs_discussion_rate",BE12,IF(AC12="xhs_product_relevance_rate",BF12,IF(AC12="x_first_screen_engaged_rate_proxy",BG12,IF(AC12="x_qualified_reply_rate",BH12,IF(AC12="x_profile_click_rate",BI12,IF(AC12="x_link_intent_rate",BJ12,IF(AC12="x_bookmark_rate",BK12,IF(AC12="x_product_relevance_rate",BL12,"")))))))))))))</x:f>
      </x:c>
      <x:c r="BP12" s="73" t="str">
        <x:f>IFERROR(BO12/AU12-1,"")</x:f>
      </x:c>
      <x:c r="BQ12" s="74" t="str">
        <x:f>IF(COUNT(AD12)=0,"",AD12)</x:f>
      </x:c>
      <x:c r="BR12" s="73" t="str">
        <x:f>IF(C12="xiaohongshu",IF(COUNT(BA12,BB12)=2,AVERAGE(BA12,BB12),IF(COUNT(BA12)=1,BA12,BB12)),BK12)</x:f>
      </x:c>
      <x:c r="BS12" s="73" t="str">
        <x:f>IF(C12="xiaohongshu",BE12,BH12)</x:f>
      </x:c>
      <x:c r="BT12" s="73" t="str">
        <x:f>IF(C12="xiaohongshu",IF(I12="save",BA12,IF(I12="discussion",BE12,IF(I12="profile_visit",BC12,IF(I12="dm",BD12,IF(OR(I12="product_question",I12="trial_intent"),BF12,""))))),IF(I12="save",BK12,IF(I12="discussion",BH12,IF(OR(I12="profile_visit",I12="dm"),BI12,IF(I12="link_click",BJ12,IF(OR(I12="product_question",I12="trial_intent"),BL12,""))))))</x:f>
      </x:c>
      <x:c r="BU12" s="73" t="str">
        <x:f>IF(C12="xiaohongshu",BF12,BL12)</x:f>
      </x:c>
      <x:c r="BV12" s="65" t="str">
        <x:f>IF(COUNT(BQ12,AV12)&lt;2,"unknown",IF(BQ12/AV12-1&gt;=0.2,"high",IF(BQ12/AV12-1&lt;=-0.2,"low","normal")))</x:f>
        <x:v>unknown</x:v>
      </x:c>
      <x:c r="BW12" s="65" t="str">
        <x:f>IF(COUNT(BR12,AW12)&lt;2,"unknown",IF(BR12/AW12-1&gt;=0.2,"high",IF(BR12/AW12-1&lt;=-0.2,"low","normal")))</x:f>
        <x:v>unknown</x:v>
      </x:c>
      <x:c r="BX12" s="65" t="str">
        <x:f>IF(COUNT(BS12,AX12)&lt;2,"unknown",IF(BS12/AX12-1&gt;=0.2,"high",IF(BS12/AX12-1&lt;=-0.2,"low","normal")))</x:f>
        <x:v>unknown</x:v>
      </x:c>
      <x:c r="BY12" s="65" t="str">
        <x:f>IF(COUNT(BT12,AY12)&lt;2,"unknown",IF(BT12/AY12-1&gt;=0.2,"high",IF(BT12/AY12-1&lt;=-0.2,"low","normal")))</x:f>
        <x:v>unknown</x:v>
      </x:c>
      <x:c r="BZ12" s="65" t="str">
        <x:f>IF(COUNT(BU12,AZ12)&lt;2,"unknown",IF(BU12/AZ12-1&gt;=0.2,"high",IF(BU12/AZ12-1&lt;=-0.2,"low","normal")))</x:f>
        <x:v>unknown</x:v>
      </x:c>
      <x:c r="CA12" s="65" t="str">
        <x:f>IF(T12&lt;&gt;"complete","pending",IF(OR(L12&lt;&gt;"pure",U12="true",COUNT(BM12,AT12)&lt;2,AND(AC12&lt;&gt;"",COUNT(BO12,AU12)&lt;2)),"not_attributable","attributable"))</x:f>
        <x:v>pending</x:v>
      </x:c>
      <x:c r="CB12" s="65" t="str">
        <x:f>IF(T12&lt;&gt;"complete","not_evaluated",IF(COUNT(BM12,AT12)&lt;2,"insufficient_data",IF(AND(AC12&lt;&gt;"",COUNT(BP12)=1,BP12&lt;=-0.2),"guardrail_fail",IF(AND(CA12="not_attributable",OR(BV12="high",BN12&gt;=0.2)),"watchlist",IF(CA12&lt;&gt;"attributable","insufficient_data",IF(BN12&gt;=0.2,"win",IF(BN12&lt;=-0.2,"loss","inconclusive")))))))</x:f>
        <x:v>not_evaluated</x:v>
      </x:c>
      <x:c r="CC12" s="65" t="str">
        <x:f>IF(T12&lt;&gt;"complete","COLLECT_MORE_DATA",IF(COUNT(BM12,AT12)&lt;2,"FIX_TRACKING",IF(CB12="guardrail_fail","STOP_VARIANT_GUARDRAIL",IF(CB12="watchlist","WATCHLIST_ONLY",IF(AND(BV12="high",BY12="low"),"KEEP_HOOK_REWRITE_CTA",IF(AND(BW12="high",BX12="low"),"KEEP_STRUCTURE_CHANGE_DISCUSSION_ANGLE",IF(AND(BX12="high",BZ12="low"),"DOWNWEIGHT_TEMPLATE",IF(CB12="win","RETEST_WINNER",IF(CB12="loss","RETURN_TO_BASELINE","COLLECT_MORE_DATA")))))))))</x:f>
        <x:v>COLLECT_MORE_DATA</x:v>
      </x:c>
      <x:c r="CD12" s="75"/>
    </x:row>
    <x:row r="13">
      <x:c r="A13" s="68"/>
      <x:c r="B13" s="69"/>
      <x:c r="C13" s="68"/>
      <x:c r="D13" s="68"/>
      <x:c r="E13" s="68"/>
      <x:c r="F13" s="68"/>
      <x:c r="G13" s="68"/>
      <x:c r="H13" s="70"/>
      <x:c r="I13" s="68"/>
      <x:c r="J13" s="68"/>
      <x:c r="K13" s="68"/>
      <x:c r="L13" s="71" t="str">
        <x:f>IF(K13="","unknown",IF(K13=0,"baseline",IF(K13=1,"pure","mixed")))</x:f>
        <x:v>unknown</x:v>
      </x:c>
      <x:c r="M13" s="68"/>
      <x:c r="N13" s="68"/>
      <x:c r="O13" s="68"/>
      <x:c r="P13" s="68"/>
      <x:c r="Q13" s="68"/>
      <x:c r="R13" s="68"/>
      <x:c r="S13" s="68"/>
      <x:c r="T13" s="68"/>
      <x:c r="U13" s="68"/>
      <x:c r="V13" s="68"/>
      <x:c r="W13" s="68"/>
      <x:c r="X13" s="68"/>
      <x:c r="Y13" s="68"/>
      <x:c r="Z13" s="68"/>
      <x:c r="AA13" s="68"/>
      <x:c r="AB13" s="68"/>
      <x:c r="AC13" s="68"/>
      <x:c r="AD13" s="70"/>
      <x:c r="AE13" s="70"/>
      <x:c r="AF13" s="70"/>
      <x:c r="AG13" s="70"/>
      <x:c r="AH13" s="70"/>
      <x:c r="AI13" s="70"/>
      <x:c r="AJ13" s="70"/>
      <x:c r="AK13" s="70"/>
      <x:c r="AL13" s="70"/>
      <x:c r="AM13" s="70"/>
      <x:c r="AN13" s="70"/>
      <x:c r="AO13" s="70"/>
      <x:c r="AP13" s="70"/>
      <x:c r="AQ13" s="70"/>
      <x:c r="AR13" s="70"/>
      <x:c r="AS13" s="70"/>
      <x:c r="AT13" s="72"/>
      <x:c r="AU13" s="72"/>
      <x:c r="AV13" s="72"/>
      <x:c r="AW13" s="72"/>
      <x:c r="AX13" s="72"/>
      <x:c r="AY13" s="72"/>
      <x:c r="AZ13" s="72"/>
      <x:c r="BA13" s="73" t="str">
        <x:f>IF(C13="xiaohongshu",IF(COUNT(AF13,AE13)&lt;2,"",IFERROR(AF13/AE13,"")),"")</x:f>
      </x:c>
      <x:c r="BB13" s="73" t="str">
        <x:f>IF(C13="xiaohongshu",IF(COUNT(AG13,AE13)&lt;2,"",IFERROR(AG13/AE13,"")),"")</x:f>
      </x:c>
      <x:c r="BC13" s="73" t="str">
        <x:f>IF(C13="xiaohongshu",IF(COUNT(AN13,AE13)&lt;2,"",IFERROR(AN13/AE13,"")),"")</x:f>
      </x:c>
      <x:c r="BD13" s="73" t="str">
        <x:f>IF(C13="xiaohongshu",IF(COUNT(AQ13,AE13)&lt;2,"",IFERROR(AQ13/AE13,"")),"")</x:f>
      </x:c>
      <x:c r="BE13" s="73" t="str">
        <x:f>IF(C13="xiaohongshu",IF(COUNT(AI13,AE13)&lt;2,"",IFERROR(AI13/AE13,"")),"")</x:f>
      </x:c>
      <x:c r="BF13" s="73" t="str">
        <x:f>IF(C13="xiaohongshu",IF(OR(COUNT(AE13)=0,COUNT(AR13,AS13)=0),"",IFERROR((AR13+AS13)/AE13,"")),"")</x:f>
      </x:c>
      <x:c r="BG13" s="73" t="str">
        <x:f>IF(C13="x",IF(COUNT(AD13)=0,"",IF(COUNT(AM13)=1,IFERROR(AM13/AD13,""),IF(COUNT(AH13,AI13,AK13,AL13)=0,"",IFERROR(SUM(AH13,AI13,AK13,AL13)/AD13,"")))),"")</x:f>
      </x:c>
      <x:c r="BH13" s="73" t="str">
        <x:f>IF(C13="x",IF(COUNT(AJ13,AD13)&lt;2,"",IFERROR(AJ13/AD13,"")),"")</x:f>
      </x:c>
      <x:c r="BI13" s="73" t="str">
        <x:f>IF(C13="x",IF(COUNT(AO13,AD13)&lt;2,"",IFERROR(AO13/AD13,"")),"")</x:f>
      </x:c>
      <x:c r="BJ13" s="73" t="str">
        <x:f>IF(C13="x",IF(COUNT(AP13,AD13)&lt;2,"",IFERROR(AP13/AD13,"")),"")</x:f>
      </x:c>
      <x:c r="BK13" s="73" t="str">
        <x:f>IF(C13="x",IF(COUNT(AL13,AD13)&lt;2,"",IFERROR(AL13/AD13,"")),"")</x:f>
      </x:c>
      <x:c r="BL13" s="73" t="str">
        <x:f>IF(C13="x",IF(OR(COUNT(AD13)=0,COUNT(AR13,AS13)=0),"",IFERROR((AR13+AS13)/AD13,"")),"")</x:f>
      </x:c>
      <x:c r="BM13" s="73" t="str">
        <x:f>IF(AB13="xhs_save_rate",BA13,IF(AB13="xhs_completion_rate",BB13,IF(AB13="xhs_profile_visit_rate",BC13,IF(AB13="xhs_dm_intent_rate",BD13,IF(AB13="xhs_discussion_rate",BE13,IF(AB13="xhs_product_relevance_rate",BF13,IF(AB13="x_first_screen_engaged_rate_proxy",BG13,IF(AB13="x_qualified_reply_rate",BH13,IF(AB13="x_profile_click_rate",BI13,IF(AB13="x_link_intent_rate",BJ13,IF(AB13="x_bookmark_rate",BK13,IF(AB13="x_product_relevance_rate",BL13,""))))))))))))</x:f>
      </x:c>
      <x:c r="BN13" s="73" t="str">
        <x:f>IFERROR(BM13/AT13-1,"")</x:f>
      </x:c>
      <x:c r="BO13" s="73" t="str">
        <x:f>IF(AC13="","",IF(AC13="xhs_save_rate",BA13,IF(AC13="xhs_completion_rate",BB13,IF(AC13="xhs_profile_visit_rate",BC13,IF(AC13="xhs_dm_intent_rate",BD13,IF(AC13="xhs_discussion_rate",BE13,IF(AC13="xhs_product_relevance_rate",BF13,IF(AC13="x_first_screen_engaged_rate_proxy",BG13,IF(AC13="x_qualified_reply_rate",BH13,IF(AC13="x_profile_click_rate",BI13,IF(AC13="x_link_intent_rate",BJ13,IF(AC13="x_bookmark_rate",BK13,IF(AC13="x_product_relevance_rate",BL13,"")))))))))))))</x:f>
      </x:c>
      <x:c r="BP13" s="73" t="str">
        <x:f>IFERROR(BO13/AU13-1,"")</x:f>
      </x:c>
      <x:c r="BQ13" s="74" t="str">
        <x:f>IF(COUNT(AD13)=0,"",AD13)</x:f>
      </x:c>
      <x:c r="BR13" s="73" t="str">
        <x:f>IF(C13="xiaohongshu",IF(COUNT(BA13,BB13)=2,AVERAGE(BA13,BB13),IF(COUNT(BA13)=1,BA13,BB13)),BK13)</x:f>
      </x:c>
      <x:c r="BS13" s="73" t="str">
        <x:f>IF(C13="xiaohongshu",BE13,BH13)</x:f>
      </x:c>
      <x:c r="BT13" s="73" t="str">
        <x:f>IF(C13="xiaohongshu",IF(I13="save",BA13,IF(I13="discussion",BE13,IF(I13="profile_visit",BC13,IF(I13="dm",BD13,IF(OR(I13="product_question",I13="trial_intent"),BF13,""))))),IF(I13="save",BK13,IF(I13="discussion",BH13,IF(OR(I13="profile_visit",I13="dm"),BI13,IF(I13="link_click",BJ13,IF(OR(I13="product_question",I13="trial_intent"),BL13,""))))))</x:f>
      </x:c>
      <x:c r="BU13" s="73" t="str">
        <x:f>IF(C13="xiaohongshu",BF13,BL13)</x:f>
      </x:c>
      <x:c r="BV13" s="65" t="str">
        <x:f>IF(COUNT(BQ13,AV13)&lt;2,"unknown",IF(BQ13/AV13-1&gt;=0.2,"high",IF(BQ13/AV13-1&lt;=-0.2,"low","normal")))</x:f>
        <x:v>unknown</x:v>
      </x:c>
      <x:c r="BW13" s="65" t="str">
        <x:f>IF(COUNT(BR13,AW13)&lt;2,"unknown",IF(BR13/AW13-1&gt;=0.2,"high",IF(BR13/AW13-1&lt;=-0.2,"low","normal")))</x:f>
        <x:v>unknown</x:v>
      </x:c>
      <x:c r="BX13" s="65" t="str">
        <x:f>IF(COUNT(BS13,AX13)&lt;2,"unknown",IF(BS13/AX13-1&gt;=0.2,"high",IF(BS13/AX13-1&lt;=-0.2,"low","normal")))</x:f>
        <x:v>unknown</x:v>
      </x:c>
      <x:c r="BY13" s="65" t="str">
        <x:f>IF(COUNT(BT13,AY13)&lt;2,"unknown",IF(BT13/AY13-1&gt;=0.2,"high",IF(BT13/AY13-1&lt;=-0.2,"low","normal")))</x:f>
        <x:v>unknown</x:v>
      </x:c>
      <x:c r="BZ13" s="65" t="str">
        <x:f>IF(COUNT(BU13,AZ13)&lt;2,"unknown",IF(BU13/AZ13-1&gt;=0.2,"high",IF(BU13/AZ13-1&lt;=-0.2,"low","normal")))</x:f>
        <x:v>unknown</x:v>
      </x:c>
      <x:c r="CA13" s="65" t="str">
        <x:f>IF(T13&lt;&gt;"complete","pending",IF(OR(L13&lt;&gt;"pure",U13="true",COUNT(BM13,AT13)&lt;2,AND(AC13&lt;&gt;"",COUNT(BO13,AU13)&lt;2)),"not_attributable","attributable"))</x:f>
        <x:v>pending</x:v>
      </x:c>
      <x:c r="CB13" s="65" t="str">
        <x:f>IF(T13&lt;&gt;"complete","not_evaluated",IF(COUNT(BM13,AT13)&lt;2,"insufficient_data",IF(AND(AC13&lt;&gt;"",COUNT(BP13)=1,BP13&lt;=-0.2),"guardrail_fail",IF(AND(CA13="not_attributable",OR(BV13="high",BN13&gt;=0.2)),"watchlist",IF(CA13&lt;&gt;"attributable","insufficient_data",IF(BN13&gt;=0.2,"win",IF(BN13&lt;=-0.2,"loss","inconclusive")))))))</x:f>
        <x:v>not_evaluated</x:v>
      </x:c>
      <x:c r="CC13" s="65" t="str">
        <x:f>IF(T13&lt;&gt;"complete","COLLECT_MORE_DATA",IF(COUNT(BM13,AT13)&lt;2,"FIX_TRACKING",IF(CB13="guardrail_fail","STOP_VARIANT_GUARDRAIL",IF(CB13="watchlist","WATCHLIST_ONLY",IF(AND(BV13="high",BY13="low"),"KEEP_HOOK_REWRITE_CTA",IF(AND(BW13="high",BX13="low"),"KEEP_STRUCTURE_CHANGE_DISCUSSION_ANGLE",IF(AND(BX13="high",BZ13="low"),"DOWNWEIGHT_TEMPLATE",IF(CB13="win","RETEST_WINNER",IF(CB13="loss","RETURN_TO_BASELINE","COLLECT_MORE_DATA")))))))))</x:f>
        <x:v>COLLECT_MORE_DATA</x:v>
      </x:c>
      <x:c r="CD13" s="75"/>
    </x:row>
    <x:row r="14">
      <x:c r="A14" s="68"/>
      <x:c r="B14" s="69"/>
      <x:c r="C14" s="68"/>
      <x:c r="D14" s="68"/>
      <x:c r="E14" s="68"/>
      <x:c r="F14" s="68"/>
      <x:c r="G14" s="68"/>
      <x:c r="H14" s="70"/>
      <x:c r="I14" s="68"/>
      <x:c r="J14" s="68"/>
      <x:c r="K14" s="68"/>
      <x:c r="L14" s="71" t="str">
        <x:f>IF(K14="","unknown",IF(K14=0,"baseline",IF(K14=1,"pure","mixed")))</x:f>
        <x:v>unknown</x:v>
      </x:c>
      <x:c r="M14" s="68"/>
      <x:c r="N14" s="68"/>
      <x:c r="O14" s="68"/>
      <x:c r="P14" s="68"/>
      <x:c r="Q14" s="68"/>
      <x:c r="R14" s="68"/>
      <x:c r="S14" s="68"/>
      <x:c r="T14" s="68"/>
      <x:c r="U14" s="68"/>
      <x:c r="V14" s="68"/>
      <x:c r="W14" s="68"/>
      <x:c r="X14" s="68"/>
      <x:c r="Y14" s="68"/>
      <x:c r="Z14" s="68"/>
      <x:c r="AA14" s="68"/>
      <x:c r="AB14" s="68"/>
      <x:c r="AC14" s="68"/>
      <x:c r="AD14" s="70"/>
      <x:c r="AE14" s="70"/>
      <x:c r="AF14" s="70"/>
      <x:c r="AG14" s="70"/>
      <x:c r="AH14" s="70"/>
      <x:c r="AI14" s="70"/>
      <x:c r="AJ14" s="70"/>
      <x:c r="AK14" s="70"/>
      <x:c r="AL14" s="70"/>
      <x:c r="AM14" s="70"/>
      <x:c r="AN14" s="70"/>
      <x:c r="AO14" s="70"/>
      <x:c r="AP14" s="70"/>
      <x:c r="AQ14" s="70"/>
      <x:c r="AR14" s="70"/>
      <x:c r="AS14" s="70"/>
      <x:c r="AT14" s="72"/>
      <x:c r="AU14" s="72"/>
      <x:c r="AV14" s="72"/>
      <x:c r="AW14" s="72"/>
      <x:c r="AX14" s="72"/>
      <x:c r="AY14" s="72"/>
      <x:c r="AZ14" s="72"/>
      <x:c r="BA14" s="73" t="str">
        <x:f>IF(C14="xiaohongshu",IF(COUNT(AF14,AE14)&lt;2,"",IFERROR(AF14/AE14,"")),"")</x:f>
      </x:c>
      <x:c r="BB14" s="73" t="str">
        <x:f>IF(C14="xiaohongshu",IF(COUNT(AG14,AE14)&lt;2,"",IFERROR(AG14/AE14,"")),"")</x:f>
      </x:c>
      <x:c r="BC14" s="73" t="str">
        <x:f>IF(C14="xiaohongshu",IF(COUNT(AN14,AE14)&lt;2,"",IFERROR(AN14/AE14,"")),"")</x:f>
      </x:c>
      <x:c r="BD14" s="73" t="str">
        <x:f>IF(C14="xiaohongshu",IF(COUNT(AQ14,AE14)&lt;2,"",IFERROR(AQ14/AE14,"")),"")</x:f>
      </x:c>
      <x:c r="BE14" s="73" t="str">
        <x:f>IF(C14="xiaohongshu",IF(COUNT(AI14,AE14)&lt;2,"",IFERROR(AI14/AE14,"")),"")</x:f>
      </x:c>
      <x:c r="BF14" s="73" t="str">
        <x:f>IF(C14="xiaohongshu",IF(OR(COUNT(AE14)=0,COUNT(AR14,AS14)=0),"",IFERROR((AR14+AS14)/AE14,"")),"")</x:f>
      </x:c>
      <x:c r="BG14" s="73" t="str">
        <x:f>IF(C14="x",IF(COUNT(AD14)=0,"",IF(COUNT(AM14)=1,IFERROR(AM14/AD14,""),IF(COUNT(AH14,AI14,AK14,AL14)=0,"",IFERROR(SUM(AH14,AI14,AK14,AL14)/AD14,"")))),"")</x:f>
      </x:c>
      <x:c r="BH14" s="73" t="str">
        <x:f>IF(C14="x",IF(COUNT(AJ14,AD14)&lt;2,"",IFERROR(AJ14/AD14,"")),"")</x:f>
      </x:c>
      <x:c r="BI14" s="73" t="str">
        <x:f>IF(C14="x",IF(COUNT(AO14,AD14)&lt;2,"",IFERROR(AO14/AD14,"")),"")</x:f>
      </x:c>
      <x:c r="BJ14" s="73" t="str">
        <x:f>IF(C14="x",IF(COUNT(AP14,AD14)&lt;2,"",IFERROR(AP14/AD14,"")),"")</x:f>
      </x:c>
      <x:c r="BK14" s="73" t="str">
        <x:f>IF(C14="x",IF(COUNT(AL14,AD14)&lt;2,"",IFERROR(AL14/AD14,"")),"")</x:f>
      </x:c>
      <x:c r="BL14" s="73" t="str">
        <x:f>IF(C14="x",IF(OR(COUNT(AD14)=0,COUNT(AR14,AS14)=0),"",IFERROR((AR14+AS14)/AD14,"")),"")</x:f>
      </x:c>
      <x:c r="BM14" s="73" t="str">
        <x:f>IF(AB14="xhs_save_rate",BA14,IF(AB14="xhs_completion_rate",BB14,IF(AB14="xhs_profile_visit_rate",BC14,IF(AB14="xhs_dm_intent_rate",BD14,IF(AB14="xhs_discussion_rate",BE14,IF(AB14="xhs_product_relevance_rate",BF14,IF(AB14="x_first_screen_engaged_rate_proxy",BG14,IF(AB14="x_qualified_reply_rate",BH14,IF(AB14="x_profile_click_rate",BI14,IF(AB14="x_link_intent_rate",BJ14,IF(AB14="x_bookmark_rate",BK14,IF(AB14="x_product_relevance_rate",BL14,""))))))))))))</x:f>
      </x:c>
      <x:c r="BN14" s="73" t="str">
        <x:f>IFERROR(BM14/AT14-1,"")</x:f>
      </x:c>
      <x:c r="BO14" s="73" t="str">
        <x:f>IF(AC14="","",IF(AC14="xhs_save_rate",BA14,IF(AC14="xhs_completion_rate",BB14,IF(AC14="xhs_profile_visit_rate",BC14,IF(AC14="xhs_dm_intent_rate",BD14,IF(AC14="xhs_discussion_rate",BE14,IF(AC14="xhs_product_relevance_rate",BF14,IF(AC14="x_first_screen_engaged_rate_proxy",BG14,IF(AC14="x_qualified_reply_rate",BH14,IF(AC14="x_profile_click_rate",BI14,IF(AC14="x_link_intent_rate",BJ14,IF(AC14="x_bookmark_rate",BK14,IF(AC14="x_product_relevance_rate",BL14,"")))))))))))))</x:f>
      </x:c>
      <x:c r="BP14" s="73" t="str">
        <x:f>IFERROR(BO14/AU14-1,"")</x:f>
      </x:c>
      <x:c r="BQ14" s="74" t="str">
        <x:f>IF(COUNT(AD14)=0,"",AD14)</x:f>
      </x:c>
      <x:c r="BR14" s="73" t="str">
        <x:f>IF(C14="xiaohongshu",IF(COUNT(BA14,BB14)=2,AVERAGE(BA14,BB14),IF(COUNT(BA14)=1,BA14,BB14)),BK14)</x:f>
      </x:c>
      <x:c r="BS14" s="73" t="str">
        <x:f>IF(C14="xiaohongshu",BE14,BH14)</x:f>
      </x:c>
      <x:c r="BT14" s="73" t="str">
        <x:f>IF(C14="xiaohongshu",IF(I14="save",BA14,IF(I14="discussion",BE14,IF(I14="profile_visit",BC14,IF(I14="dm",BD14,IF(OR(I14="product_question",I14="trial_intent"),BF14,""))))),IF(I14="save",BK14,IF(I14="discussion",BH14,IF(OR(I14="profile_visit",I14="dm"),BI14,IF(I14="link_click",BJ14,IF(OR(I14="product_question",I14="trial_intent"),BL14,""))))))</x:f>
      </x:c>
      <x:c r="BU14" s="73" t="str">
        <x:f>IF(C14="xiaohongshu",BF14,BL14)</x:f>
      </x:c>
      <x:c r="BV14" s="65" t="str">
        <x:f>IF(COUNT(BQ14,AV14)&lt;2,"unknown",IF(BQ14/AV14-1&gt;=0.2,"high",IF(BQ14/AV14-1&lt;=-0.2,"low","normal")))</x:f>
        <x:v>unknown</x:v>
      </x:c>
      <x:c r="BW14" s="65" t="str">
        <x:f>IF(COUNT(BR14,AW14)&lt;2,"unknown",IF(BR14/AW14-1&gt;=0.2,"high",IF(BR14/AW14-1&lt;=-0.2,"low","normal")))</x:f>
        <x:v>unknown</x:v>
      </x:c>
      <x:c r="BX14" s="65" t="str">
        <x:f>IF(COUNT(BS14,AX14)&lt;2,"unknown",IF(BS14/AX14-1&gt;=0.2,"high",IF(BS14/AX14-1&lt;=-0.2,"low","normal")))</x:f>
        <x:v>unknown</x:v>
      </x:c>
      <x:c r="BY14" s="65" t="str">
        <x:f>IF(COUNT(BT14,AY14)&lt;2,"unknown",IF(BT14/AY14-1&gt;=0.2,"high",IF(BT14/AY14-1&lt;=-0.2,"low","normal")))</x:f>
        <x:v>unknown</x:v>
      </x:c>
      <x:c r="BZ14" s="65" t="str">
        <x:f>IF(COUNT(BU14,AZ14)&lt;2,"unknown",IF(BU14/AZ14-1&gt;=0.2,"high",IF(BU14/AZ14-1&lt;=-0.2,"low","normal")))</x:f>
        <x:v>unknown</x:v>
      </x:c>
      <x:c r="CA14" s="65" t="str">
        <x:f>IF(T14&lt;&gt;"complete","pending",IF(OR(L14&lt;&gt;"pure",U14="true",COUNT(BM14,AT14)&lt;2,AND(AC14&lt;&gt;"",COUNT(BO14,AU14)&lt;2)),"not_attributable","attributable"))</x:f>
        <x:v>pending</x:v>
      </x:c>
      <x:c r="CB14" s="65" t="str">
        <x:f>IF(T14&lt;&gt;"complete","not_evaluated",IF(COUNT(BM14,AT14)&lt;2,"insufficient_data",IF(AND(AC14&lt;&gt;"",COUNT(BP14)=1,BP14&lt;=-0.2),"guardrail_fail",IF(AND(CA14="not_attributable",OR(BV14="high",BN14&gt;=0.2)),"watchlist",IF(CA14&lt;&gt;"attributable","insufficient_data",IF(BN14&gt;=0.2,"win",IF(BN14&lt;=-0.2,"loss","inconclusive")))))))</x:f>
        <x:v>not_evaluated</x:v>
      </x:c>
      <x:c r="CC14" s="65" t="str">
        <x:f>IF(T14&lt;&gt;"complete","COLLECT_MORE_DATA",IF(COUNT(BM14,AT14)&lt;2,"FIX_TRACKING",IF(CB14="guardrail_fail","STOP_VARIANT_GUARDRAIL",IF(CB14="watchlist","WATCHLIST_ONLY",IF(AND(BV14="high",BY14="low"),"KEEP_HOOK_REWRITE_CTA",IF(AND(BW14="high",BX14="low"),"KEEP_STRUCTURE_CHANGE_DISCUSSION_ANGLE",IF(AND(BX14="high",BZ14="low"),"DOWNWEIGHT_TEMPLATE",IF(CB14="win","RETEST_WINNER",IF(CB14="loss","RETURN_TO_BASELINE","COLLECT_MORE_DATA")))))))))</x:f>
        <x:v>COLLECT_MORE_DATA</x:v>
      </x:c>
      <x:c r="CD14" s="75"/>
    </x:row>
    <x:row r="15">
      <x:c r="A15" s="68"/>
      <x:c r="B15" s="69"/>
      <x:c r="C15" s="68"/>
      <x:c r="D15" s="68"/>
      <x:c r="E15" s="68"/>
      <x:c r="F15" s="68"/>
      <x:c r="G15" s="68"/>
      <x:c r="H15" s="70"/>
      <x:c r="I15" s="68"/>
      <x:c r="J15" s="68"/>
      <x:c r="K15" s="68"/>
      <x:c r="L15" s="71" t="str">
        <x:f>IF(K15="","unknown",IF(K15=0,"baseline",IF(K15=1,"pure","mixed")))</x:f>
        <x:v>unknown</x:v>
      </x:c>
      <x:c r="M15" s="68"/>
      <x:c r="N15" s="68"/>
      <x:c r="O15" s="68"/>
      <x:c r="P15" s="68"/>
      <x:c r="Q15" s="68"/>
      <x:c r="R15" s="68"/>
      <x:c r="S15" s="68"/>
      <x:c r="T15" s="68"/>
      <x:c r="U15" s="68"/>
      <x:c r="V15" s="68"/>
      <x:c r="W15" s="68"/>
      <x:c r="X15" s="68"/>
      <x:c r="Y15" s="68"/>
      <x:c r="Z15" s="68"/>
      <x:c r="AA15" s="68"/>
      <x:c r="AB15" s="68"/>
      <x:c r="AC15" s="68"/>
      <x:c r="AD15" s="70"/>
      <x:c r="AE15" s="70"/>
      <x:c r="AF15" s="70"/>
      <x:c r="AG15" s="70"/>
      <x:c r="AH15" s="70"/>
      <x:c r="AI15" s="70"/>
      <x:c r="AJ15" s="70"/>
      <x:c r="AK15" s="70"/>
      <x:c r="AL15" s="70"/>
      <x:c r="AM15" s="70"/>
      <x:c r="AN15" s="70"/>
      <x:c r="AO15" s="70"/>
      <x:c r="AP15" s="70"/>
      <x:c r="AQ15" s="70"/>
      <x:c r="AR15" s="70"/>
      <x:c r="AS15" s="70"/>
      <x:c r="AT15" s="72"/>
      <x:c r="AU15" s="72"/>
      <x:c r="AV15" s="72"/>
      <x:c r="AW15" s="72"/>
      <x:c r="AX15" s="72"/>
      <x:c r="AY15" s="72"/>
      <x:c r="AZ15" s="72"/>
      <x:c r="BA15" s="73" t="str">
        <x:f>IF(C15="xiaohongshu",IF(COUNT(AF15,AE15)&lt;2,"",IFERROR(AF15/AE15,"")),"")</x:f>
      </x:c>
      <x:c r="BB15" s="73" t="str">
        <x:f>IF(C15="xiaohongshu",IF(COUNT(AG15,AE15)&lt;2,"",IFERROR(AG15/AE15,"")),"")</x:f>
      </x:c>
      <x:c r="BC15" s="73" t="str">
        <x:f>IF(C15="xiaohongshu",IF(COUNT(AN15,AE15)&lt;2,"",IFERROR(AN15/AE15,"")),"")</x:f>
      </x:c>
      <x:c r="BD15" s="73" t="str">
        <x:f>IF(C15="xiaohongshu",IF(COUNT(AQ15,AE15)&lt;2,"",IFERROR(AQ15/AE15,"")),"")</x:f>
      </x:c>
      <x:c r="BE15" s="73" t="str">
        <x:f>IF(C15="xiaohongshu",IF(COUNT(AI15,AE15)&lt;2,"",IFERROR(AI15/AE15,"")),"")</x:f>
      </x:c>
      <x:c r="BF15" s="73" t="str">
        <x:f>IF(C15="xiaohongshu",IF(OR(COUNT(AE15)=0,COUNT(AR15,AS15)=0),"",IFERROR((AR15+AS15)/AE15,"")),"")</x:f>
      </x:c>
      <x:c r="BG15" s="73" t="str">
        <x:f>IF(C15="x",IF(COUNT(AD15)=0,"",IF(COUNT(AM15)=1,IFERROR(AM15/AD15,""),IF(COUNT(AH15,AI15,AK15,AL15)=0,"",IFERROR(SUM(AH15,AI15,AK15,AL15)/AD15,"")))),"")</x:f>
      </x:c>
      <x:c r="BH15" s="73" t="str">
        <x:f>IF(C15="x",IF(COUNT(AJ15,AD15)&lt;2,"",IFERROR(AJ15/AD15,"")),"")</x:f>
      </x:c>
      <x:c r="BI15" s="73" t="str">
        <x:f>IF(C15="x",IF(COUNT(AO15,AD15)&lt;2,"",IFERROR(AO15/AD15,"")),"")</x:f>
      </x:c>
      <x:c r="BJ15" s="73" t="str">
        <x:f>IF(C15="x",IF(COUNT(AP15,AD15)&lt;2,"",IFERROR(AP15/AD15,"")),"")</x:f>
      </x:c>
      <x:c r="BK15" s="73" t="str">
        <x:f>IF(C15="x",IF(COUNT(AL15,AD15)&lt;2,"",IFERROR(AL15/AD15,"")),"")</x:f>
      </x:c>
      <x:c r="BL15" s="73" t="str">
        <x:f>IF(C15="x",IF(OR(COUNT(AD15)=0,COUNT(AR15,AS15)=0),"",IFERROR((AR15+AS15)/AD15,"")),"")</x:f>
      </x:c>
      <x:c r="BM15" s="73" t="str">
        <x:f>IF(AB15="xhs_save_rate",BA15,IF(AB15="xhs_completion_rate",BB15,IF(AB15="xhs_profile_visit_rate",BC15,IF(AB15="xhs_dm_intent_rate",BD15,IF(AB15="xhs_discussion_rate",BE15,IF(AB15="xhs_product_relevance_rate",BF15,IF(AB15="x_first_screen_engaged_rate_proxy",BG15,IF(AB15="x_qualified_reply_rate",BH15,IF(AB15="x_profile_click_rate",BI15,IF(AB15="x_link_intent_rate",BJ15,IF(AB15="x_bookmark_rate",BK15,IF(AB15="x_product_relevance_rate",BL15,""))))))))))))</x:f>
      </x:c>
      <x:c r="BN15" s="73" t="str">
        <x:f>IFERROR(BM15/AT15-1,"")</x:f>
      </x:c>
      <x:c r="BO15" s="73" t="str">
        <x:f>IF(AC15="","",IF(AC15="xhs_save_rate",BA15,IF(AC15="xhs_completion_rate",BB15,IF(AC15="xhs_profile_visit_rate",BC15,IF(AC15="xhs_dm_intent_rate",BD15,IF(AC15="xhs_discussion_rate",BE15,IF(AC15="xhs_product_relevance_rate",BF15,IF(AC15="x_first_screen_engaged_rate_proxy",BG15,IF(AC15="x_qualified_reply_rate",BH15,IF(AC15="x_profile_click_rate",BI15,IF(AC15="x_link_intent_rate",BJ15,IF(AC15="x_bookmark_rate",BK15,IF(AC15="x_product_relevance_rate",BL15,"")))))))))))))</x:f>
      </x:c>
      <x:c r="BP15" s="73" t="str">
        <x:f>IFERROR(BO15/AU15-1,"")</x:f>
      </x:c>
      <x:c r="BQ15" s="74" t="str">
        <x:f>IF(COUNT(AD15)=0,"",AD15)</x:f>
      </x:c>
      <x:c r="BR15" s="73" t="str">
        <x:f>IF(C15="xiaohongshu",IF(COUNT(BA15,BB15)=2,AVERAGE(BA15,BB15),IF(COUNT(BA15)=1,BA15,BB15)),BK15)</x:f>
      </x:c>
      <x:c r="BS15" s="73" t="str">
        <x:f>IF(C15="xiaohongshu",BE15,BH15)</x:f>
      </x:c>
      <x:c r="BT15" s="73" t="str">
        <x:f>IF(C15="xiaohongshu",IF(I15="save",BA15,IF(I15="discussion",BE15,IF(I15="profile_visit",BC15,IF(I15="dm",BD15,IF(OR(I15="product_question",I15="trial_intent"),BF15,""))))),IF(I15="save",BK15,IF(I15="discussion",BH15,IF(OR(I15="profile_visit",I15="dm"),BI15,IF(I15="link_click",BJ15,IF(OR(I15="product_question",I15="trial_intent"),BL15,""))))))</x:f>
      </x:c>
      <x:c r="BU15" s="73" t="str">
        <x:f>IF(C15="xiaohongshu",BF15,BL15)</x:f>
      </x:c>
      <x:c r="BV15" s="65" t="str">
        <x:f>IF(COUNT(BQ15,AV15)&lt;2,"unknown",IF(BQ15/AV15-1&gt;=0.2,"high",IF(BQ15/AV15-1&lt;=-0.2,"low","normal")))</x:f>
        <x:v>unknown</x:v>
      </x:c>
      <x:c r="BW15" s="65" t="str">
        <x:f>IF(COUNT(BR15,AW15)&lt;2,"unknown",IF(BR15/AW15-1&gt;=0.2,"high",IF(BR15/AW15-1&lt;=-0.2,"low","normal")))</x:f>
        <x:v>unknown</x:v>
      </x:c>
      <x:c r="BX15" s="65" t="str">
        <x:f>IF(COUNT(BS15,AX15)&lt;2,"unknown",IF(BS15/AX15-1&gt;=0.2,"high",IF(BS15/AX15-1&lt;=-0.2,"low","normal")))</x:f>
        <x:v>unknown</x:v>
      </x:c>
      <x:c r="BY15" s="65" t="str">
        <x:f>IF(COUNT(BT15,AY15)&lt;2,"unknown",IF(BT15/AY15-1&gt;=0.2,"high",IF(BT15/AY15-1&lt;=-0.2,"low","normal")))</x:f>
        <x:v>unknown</x:v>
      </x:c>
      <x:c r="BZ15" s="65" t="str">
        <x:f>IF(COUNT(BU15,AZ15)&lt;2,"unknown",IF(BU15/AZ15-1&gt;=0.2,"high",IF(BU15/AZ15-1&lt;=-0.2,"low","normal")))</x:f>
        <x:v>unknown</x:v>
      </x:c>
      <x:c r="CA15" s="65" t="str">
        <x:f>IF(T15&lt;&gt;"complete","pending",IF(OR(L15&lt;&gt;"pure",U15="true",COUNT(BM15,AT15)&lt;2,AND(AC15&lt;&gt;"",COUNT(BO15,AU15)&lt;2)),"not_attributable","attributable"))</x:f>
        <x:v>pending</x:v>
      </x:c>
      <x:c r="CB15" s="65" t="str">
        <x:f>IF(T15&lt;&gt;"complete","not_evaluated",IF(COUNT(BM15,AT15)&lt;2,"insufficient_data",IF(AND(AC15&lt;&gt;"",COUNT(BP15)=1,BP15&lt;=-0.2),"guardrail_fail",IF(AND(CA15="not_attributable",OR(BV15="high",BN15&gt;=0.2)),"watchlist",IF(CA15&lt;&gt;"attributable","insufficient_data",IF(BN15&gt;=0.2,"win",IF(BN15&lt;=-0.2,"loss","inconclusive")))))))</x:f>
        <x:v>not_evaluated</x:v>
      </x:c>
      <x:c r="CC15" s="65" t="str">
        <x:f>IF(T15&lt;&gt;"complete","COLLECT_MORE_DATA",IF(COUNT(BM15,AT15)&lt;2,"FIX_TRACKING",IF(CB15="guardrail_fail","STOP_VARIANT_GUARDRAIL",IF(CB15="watchlist","WATCHLIST_ONLY",IF(AND(BV15="high",BY15="low"),"KEEP_HOOK_REWRITE_CTA",IF(AND(BW15="high",BX15="low"),"KEEP_STRUCTURE_CHANGE_DISCUSSION_ANGLE",IF(AND(BX15="high",BZ15="low"),"DOWNWEIGHT_TEMPLATE",IF(CB15="win","RETEST_WINNER",IF(CB15="loss","RETURN_TO_BASELINE","COLLECT_MORE_DATA")))))))))</x:f>
        <x:v>COLLECT_MORE_DATA</x:v>
      </x:c>
      <x:c r="CD15" s="75"/>
    </x:row>
    <x:row r="16">
      <x:c r="A16" s="68"/>
      <x:c r="B16" s="69"/>
      <x:c r="C16" s="68"/>
      <x:c r="D16" s="68"/>
      <x:c r="E16" s="68"/>
      <x:c r="F16" s="68"/>
      <x:c r="G16" s="68"/>
      <x:c r="H16" s="70"/>
      <x:c r="I16" s="68"/>
      <x:c r="J16" s="68"/>
      <x:c r="K16" s="68"/>
      <x:c r="L16" s="71" t="str">
        <x:f>IF(K16="","unknown",IF(K16=0,"baseline",IF(K16=1,"pure","mixed")))</x:f>
        <x:v>unknown</x:v>
      </x:c>
      <x:c r="M16" s="68"/>
      <x:c r="N16" s="68"/>
      <x:c r="O16" s="68"/>
      <x:c r="P16" s="68"/>
      <x:c r="Q16" s="68"/>
      <x:c r="R16" s="68"/>
      <x:c r="S16" s="68"/>
      <x:c r="T16" s="68"/>
      <x:c r="U16" s="68"/>
      <x:c r="V16" s="68"/>
      <x:c r="W16" s="68"/>
      <x:c r="X16" s="68"/>
      <x:c r="Y16" s="68"/>
      <x:c r="Z16" s="68"/>
      <x:c r="AA16" s="68"/>
      <x:c r="AB16" s="68"/>
      <x:c r="AC16" s="68"/>
      <x:c r="AD16" s="70"/>
      <x:c r="AE16" s="70"/>
      <x:c r="AF16" s="70"/>
      <x:c r="AG16" s="70"/>
      <x:c r="AH16" s="70"/>
      <x:c r="AI16" s="70"/>
      <x:c r="AJ16" s="70"/>
      <x:c r="AK16" s="70"/>
      <x:c r="AL16" s="70"/>
      <x:c r="AM16" s="70"/>
      <x:c r="AN16" s="70"/>
      <x:c r="AO16" s="70"/>
      <x:c r="AP16" s="70"/>
      <x:c r="AQ16" s="70"/>
      <x:c r="AR16" s="70"/>
      <x:c r="AS16" s="70"/>
      <x:c r="AT16" s="72"/>
      <x:c r="AU16" s="72"/>
      <x:c r="AV16" s="72"/>
      <x:c r="AW16" s="72"/>
      <x:c r="AX16" s="72"/>
      <x:c r="AY16" s="72"/>
      <x:c r="AZ16" s="72"/>
      <x:c r="BA16" s="73" t="str">
        <x:f>IF(C16="xiaohongshu",IF(COUNT(AF16,AE16)&lt;2,"",IFERROR(AF16/AE16,"")),"")</x:f>
      </x:c>
      <x:c r="BB16" s="73" t="str">
        <x:f>IF(C16="xiaohongshu",IF(COUNT(AG16,AE16)&lt;2,"",IFERROR(AG16/AE16,"")),"")</x:f>
      </x:c>
      <x:c r="BC16" s="73" t="str">
        <x:f>IF(C16="xiaohongshu",IF(COUNT(AN16,AE16)&lt;2,"",IFERROR(AN16/AE16,"")),"")</x:f>
      </x:c>
      <x:c r="BD16" s="73" t="str">
        <x:f>IF(C16="xiaohongshu",IF(COUNT(AQ16,AE16)&lt;2,"",IFERROR(AQ16/AE16,"")),"")</x:f>
      </x:c>
      <x:c r="BE16" s="73" t="str">
        <x:f>IF(C16="xiaohongshu",IF(COUNT(AI16,AE16)&lt;2,"",IFERROR(AI16/AE16,"")),"")</x:f>
      </x:c>
      <x:c r="BF16" s="73" t="str">
        <x:f>IF(C16="xiaohongshu",IF(OR(COUNT(AE16)=0,COUNT(AR16,AS16)=0),"",IFERROR((AR16+AS16)/AE16,"")),"")</x:f>
      </x:c>
      <x:c r="BG16" s="73" t="str">
        <x:f>IF(C16="x",IF(COUNT(AD16)=0,"",IF(COUNT(AM16)=1,IFERROR(AM16/AD16,""),IF(COUNT(AH16,AI16,AK16,AL16)=0,"",IFERROR(SUM(AH16,AI16,AK16,AL16)/AD16,"")))),"")</x:f>
      </x:c>
      <x:c r="BH16" s="73" t="str">
        <x:f>IF(C16="x",IF(COUNT(AJ16,AD16)&lt;2,"",IFERROR(AJ16/AD16,"")),"")</x:f>
      </x:c>
      <x:c r="BI16" s="73" t="str">
        <x:f>IF(C16="x",IF(COUNT(AO16,AD16)&lt;2,"",IFERROR(AO16/AD16,"")),"")</x:f>
      </x:c>
      <x:c r="BJ16" s="73" t="str">
        <x:f>IF(C16="x",IF(COUNT(AP16,AD16)&lt;2,"",IFERROR(AP16/AD16,"")),"")</x:f>
      </x:c>
      <x:c r="BK16" s="73" t="str">
        <x:f>IF(C16="x",IF(COUNT(AL16,AD16)&lt;2,"",IFERROR(AL16/AD16,"")),"")</x:f>
      </x:c>
      <x:c r="BL16" s="73" t="str">
        <x:f>IF(C16="x",IF(OR(COUNT(AD16)=0,COUNT(AR16,AS16)=0),"",IFERROR((AR16+AS16)/AD16,"")),"")</x:f>
      </x:c>
      <x:c r="BM16" s="73" t="str">
        <x:f>IF(AB16="xhs_save_rate",BA16,IF(AB16="xhs_completion_rate",BB16,IF(AB16="xhs_profile_visit_rate",BC16,IF(AB16="xhs_dm_intent_rate",BD16,IF(AB16="xhs_discussion_rate",BE16,IF(AB16="xhs_product_relevance_rate",BF16,IF(AB16="x_first_screen_engaged_rate_proxy",BG16,IF(AB16="x_qualified_reply_rate",BH16,IF(AB16="x_profile_click_rate",BI16,IF(AB16="x_link_intent_rate",BJ16,IF(AB16="x_bookmark_rate",BK16,IF(AB16="x_product_relevance_rate",BL16,""))))))))))))</x:f>
      </x:c>
      <x:c r="BN16" s="73" t="str">
        <x:f>IFERROR(BM16/AT16-1,"")</x:f>
      </x:c>
      <x:c r="BO16" s="73" t="str">
        <x:f>IF(AC16="","",IF(AC16="xhs_save_rate",BA16,IF(AC16="xhs_completion_rate",BB16,IF(AC16="xhs_profile_visit_rate",BC16,IF(AC16="xhs_dm_intent_rate",BD16,IF(AC16="xhs_discussion_rate",BE16,IF(AC16="xhs_product_relevance_rate",BF16,IF(AC16="x_first_screen_engaged_rate_proxy",BG16,IF(AC16="x_qualified_reply_rate",BH16,IF(AC16="x_profile_click_rate",BI16,IF(AC16="x_link_intent_rate",BJ16,IF(AC16="x_bookmark_rate",BK16,IF(AC16="x_product_relevance_rate",BL16,"")))))))))))))</x:f>
      </x:c>
      <x:c r="BP16" s="73" t="str">
        <x:f>IFERROR(BO16/AU16-1,"")</x:f>
      </x:c>
      <x:c r="BQ16" s="74" t="str">
        <x:f>IF(COUNT(AD16)=0,"",AD16)</x:f>
      </x:c>
      <x:c r="BR16" s="73" t="str">
        <x:f>IF(C16="xiaohongshu",IF(COUNT(BA16,BB16)=2,AVERAGE(BA16,BB16),IF(COUNT(BA16)=1,BA16,BB16)),BK16)</x:f>
      </x:c>
      <x:c r="BS16" s="73" t="str">
        <x:f>IF(C16="xiaohongshu",BE16,BH16)</x:f>
      </x:c>
      <x:c r="BT16" s="73" t="str">
        <x:f>IF(C16="xiaohongshu",IF(I16="save",BA16,IF(I16="discussion",BE16,IF(I16="profile_visit",BC16,IF(I16="dm",BD16,IF(OR(I16="product_question",I16="trial_intent"),BF16,""))))),IF(I16="save",BK16,IF(I16="discussion",BH16,IF(OR(I16="profile_visit",I16="dm"),BI16,IF(I16="link_click",BJ16,IF(OR(I16="product_question",I16="trial_intent"),BL16,""))))))</x:f>
      </x:c>
      <x:c r="BU16" s="73" t="str">
        <x:f>IF(C16="xiaohongshu",BF16,BL16)</x:f>
      </x:c>
      <x:c r="BV16" s="65" t="str">
        <x:f>IF(COUNT(BQ16,AV16)&lt;2,"unknown",IF(BQ16/AV16-1&gt;=0.2,"high",IF(BQ16/AV16-1&lt;=-0.2,"low","normal")))</x:f>
        <x:v>unknown</x:v>
      </x:c>
      <x:c r="BW16" s="65" t="str">
        <x:f>IF(COUNT(BR16,AW16)&lt;2,"unknown",IF(BR16/AW16-1&gt;=0.2,"high",IF(BR16/AW16-1&lt;=-0.2,"low","normal")))</x:f>
        <x:v>unknown</x:v>
      </x:c>
      <x:c r="BX16" s="65" t="str">
        <x:f>IF(COUNT(BS16,AX16)&lt;2,"unknown",IF(BS16/AX16-1&gt;=0.2,"high",IF(BS16/AX16-1&lt;=-0.2,"low","normal")))</x:f>
        <x:v>unknown</x:v>
      </x:c>
      <x:c r="BY16" s="65" t="str">
        <x:f>IF(COUNT(BT16,AY16)&lt;2,"unknown",IF(BT16/AY16-1&gt;=0.2,"high",IF(BT16/AY16-1&lt;=-0.2,"low","normal")))</x:f>
        <x:v>unknown</x:v>
      </x:c>
      <x:c r="BZ16" s="65" t="str">
        <x:f>IF(COUNT(BU16,AZ16)&lt;2,"unknown",IF(BU16/AZ16-1&gt;=0.2,"high",IF(BU16/AZ16-1&lt;=-0.2,"low","normal")))</x:f>
        <x:v>unknown</x:v>
      </x:c>
      <x:c r="CA16" s="65" t="str">
        <x:f>IF(T16&lt;&gt;"complete","pending",IF(OR(L16&lt;&gt;"pure",U16="true",COUNT(BM16,AT16)&lt;2,AND(AC16&lt;&gt;"",COUNT(BO16,AU16)&lt;2)),"not_attributable","attributable"))</x:f>
        <x:v>pending</x:v>
      </x:c>
      <x:c r="CB16" s="65" t="str">
        <x:f>IF(T16&lt;&gt;"complete","not_evaluated",IF(COUNT(BM16,AT16)&lt;2,"insufficient_data",IF(AND(AC16&lt;&gt;"",COUNT(BP16)=1,BP16&lt;=-0.2),"guardrail_fail",IF(AND(CA16="not_attributable",OR(BV16="high",BN16&gt;=0.2)),"watchlist",IF(CA16&lt;&gt;"attributable","insufficient_data",IF(BN16&gt;=0.2,"win",IF(BN16&lt;=-0.2,"loss","inconclusive")))))))</x:f>
        <x:v>not_evaluated</x:v>
      </x:c>
      <x:c r="CC16" s="65" t="str">
        <x:f>IF(T16&lt;&gt;"complete","COLLECT_MORE_DATA",IF(COUNT(BM16,AT16)&lt;2,"FIX_TRACKING",IF(CB16="guardrail_fail","STOP_VARIANT_GUARDRAIL",IF(CB16="watchlist","WATCHLIST_ONLY",IF(AND(BV16="high",BY16="low"),"KEEP_HOOK_REWRITE_CTA",IF(AND(BW16="high",BX16="low"),"KEEP_STRUCTURE_CHANGE_DISCUSSION_ANGLE",IF(AND(BX16="high",BZ16="low"),"DOWNWEIGHT_TEMPLATE",IF(CB16="win","RETEST_WINNER",IF(CB16="loss","RETURN_TO_BASELINE","COLLECT_MORE_DATA")))))))))</x:f>
        <x:v>COLLECT_MORE_DATA</x:v>
      </x:c>
      <x:c r="CD16" s="75"/>
    </x:row>
    <x:row r="17">
      <x:c r="A17" s="68"/>
      <x:c r="B17" s="69"/>
      <x:c r="C17" s="68"/>
      <x:c r="D17" s="68"/>
      <x:c r="E17" s="68"/>
      <x:c r="F17" s="68"/>
      <x:c r="G17" s="68"/>
      <x:c r="H17" s="70"/>
      <x:c r="I17" s="68"/>
      <x:c r="J17" s="68"/>
      <x:c r="K17" s="68"/>
      <x:c r="L17" s="71" t="str">
        <x:f>IF(K17="","unknown",IF(K17=0,"baseline",IF(K17=1,"pure","mixed")))</x:f>
        <x:v>unknown</x:v>
      </x:c>
      <x:c r="M17" s="68"/>
      <x:c r="N17" s="68"/>
      <x:c r="O17" s="68"/>
      <x:c r="P17" s="68"/>
      <x:c r="Q17" s="68"/>
      <x:c r="R17" s="68"/>
      <x:c r="S17" s="68"/>
      <x:c r="T17" s="68"/>
      <x:c r="U17" s="68"/>
      <x:c r="V17" s="68"/>
      <x:c r="W17" s="68"/>
      <x:c r="X17" s="68"/>
      <x:c r="Y17" s="68"/>
      <x:c r="Z17" s="68"/>
      <x:c r="AA17" s="68"/>
      <x:c r="AB17" s="68"/>
      <x:c r="AC17" s="68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2"/>
      <x:c r="AU17" s="72"/>
      <x:c r="AV17" s="72"/>
      <x:c r="AW17" s="72"/>
      <x:c r="AX17" s="72"/>
      <x:c r="AY17" s="72"/>
      <x:c r="AZ17" s="72"/>
      <x:c r="BA17" s="73" t="str">
        <x:f>IF(C17="xiaohongshu",IF(COUNT(AF17,AE17)&lt;2,"",IFERROR(AF17/AE17,"")),"")</x:f>
      </x:c>
      <x:c r="BB17" s="73" t="str">
        <x:f>IF(C17="xiaohongshu",IF(COUNT(AG17,AE17)&lt;2,"",IFERROR(AG17/AE17,"")),"")</x:f>
      </x:c>
      <x:c r="BC17" s="73" t="str">
        <x:f>IF(C17="xiaohongshu",IF(COUNT(AN17,AE17)&lt;2,"",IFERROR(AN17/AE17,"")),"")</x:f>
      </x:c>
      <x:c r="BD17" s="73" t="str">
        <x:f>IF(C17="xiaohongshu",IF(COUNT(AQ17,AE17)&lt;2,"",IFERROR(AQ17/AE17,"")),"")</x:f>
      </x:c>
      <x:c r="BE17" s="73" t="str">
        <x:f>IF(C17="xiaohongshu",IF(COUNT(AI17,AE17)&lt;2,"",IFERROR(AI17/AE17,"")),"")</x:f>
      </x:c>
      <x:c r="BF17" s="73" t="str">
        <x:f>IF(C17="xiaohongshu",IF(OR(COUNT(AE17)=0,COUNT(AR17,AS17)=0),"",IFERROR((AR17+AS17)/AE17,"")),"")</x:f>
      </x:c>
      <x:c r="BG17" s="73" t="str">
        <x:f>IF(C17="x",IF(COUNT(AD17)=0,"",IF(COUNT(AM17)=1,IFERROR(AM17/AD17,""),IF(COUNT(AH17,AI17,AK17,AL17)=0,"",IFERROR(SUM(AH17,AI17,AK17,AL17)/AD17,"")))),"")</x:f>
      </x:c>
      <x:c r="BH17" s="73" t="str">
        <x:f>IF(C17="x",IF(COUNT(AJ17,AD17)&lt;2,"",IFERROR(AJ17/AD17,"")),"")</x:f>
      </x:c>
      <x:c r="BI17" s="73" t="str">
        <x:f>IF(C17="x",IF(COUNT(AO17,AD17)&lt;2,"",IFERROR(AO17/AD17,"")),"")</x:f>
      </x:c>
      <x:c r="BJ17" s="73" t="str">
        <x:f>IF(C17="x",IF(COUNT(AP17,AD17)&lt;2,"",IFERROR(AP17/AD17,"")),"")</x:f>
      </x:c>
      <x:c r="BK17" s="73" t="str">
        <x:f>IF(C17="x",IF(COUNT(AL17,AD17)&lt;2,"",IFERROR(AL17/AD17,"")),"")</x:f>
      </x:c>
      <x:c r="BL17" s="73" t="str">
        <x:f>IF(C17="x",IF(OR(COUNT(AD17)=0,COUNT(AR17,AS17)=0),"",IFERROR((AR17+AS17)/AD17,"")),"")</x:f>
      </x:c>
      <x:c r="BM17" s="73" t="str">
        <x:f>IF(AB17="xhs_save_rate",BA17,IF(AB17="xhs_completion_rate",BB17,IF(AB17="xhs_profile_visit_rate",BC17,IF(AB17="xhs_dm_intent_rate",BD17,IF(AB17="xhs_discussion_rate",BE17,IF(AB17="xhs_product_relevance_rate",BF17,IF(AB17="x_first_screen_engaged_rate_proxy",BG17,IF(AB17="x_qualified_reply_rate",BH17,IF(AB17="x_profile_click_rate",BI17,IF(AB17="x_link_intent_rate",BJ17,IF(AB17="x_bookmark_rate",BK17,IF(AB17="x_product_relevance_rate",BL17,""))))))))))))</x:f>
      </x:c>
      <x:c r="BN17" s="73" t="str">
        <x:f>IFERROR(BM17/AT17-1,"")</x:f>
      </x:c>
      <x:c r="BO17" s="73" t="str">
        <x:f>IF(AC17="","",IF(AC17="xhs_save_rate",BA17,IF(AC17="xhs_completion_rate",BB17,IF(AC17="xhs_profile_visit_rate",BC17,IF(AC17="xhs_dm_intent_rate",BD17,IF(AC17="xhs_discussion_rate",BE17,IF(AC17="xhs_product_relevance_rate",BF17,IF(AC17="x_first_screen_engaged_rate_proxy",BG17,IF(AC17="x_qualified_reply_rate",BH17,IF(AC17="x_profile_click_rate",BI17,IF(AC17="x_link_intent_rate",BJ17,IF(AC17="x_bookmark_rate",BK17,IF(AC17="x_product_relevance_rate",BL17,"")))))))))))))</x:f>
      </x:c>
      <x:c r="BP17" s="73" t="str">
        <x:f>IFERROR(BO17/AU17-1,"")</x:f>
      </x:c>
      <x:c r="BQ17" s="74" t="str">
        <x:f>IF(COUNT(AD17)=0,"",AD17)</x:f>
      </x:c>
      <x:c r="BR17" s="73" t="str">
        <x:f>IF(C17="xiaohongshu",IF(COUNT(BA17,BB17)=2,AVERAGE(BA17,BB17),IF(COUNT(BA17)=1,BA17,BB17)),BK17)</x:f>
      </x:c>
      <x:c r="BS17" s="73" t="str">
        <x:f>IF(C17="xiaohongshu",BE17,BH17)</x:f>
      </x:c>
      <x:c r="BT17" s="73" t="str">
        <x:f>IF(C17="xiaohongshu",IF(I17="save",BA17,IF(I17="discussion",BE17,IF(I17="profile_visit",BC17,IF(I17="dm",BD17,IF(OR(I17="product_question",I17="trial_intent"),BF17,""))))),IF(I17="save",BK17,IF(I17="discussion",BH17,IF(OR(I17="profile_visit",I17="dm"),BI17,IF(I17="link_click",BJ17,IF(OR(I17="product_question",I17="trial_intent"),BL17,""))))))</x:f>
      </x:c>
      <x:c r="BU17" s="73" t="str">
        <x:f>IF(C17="xiaohongshu",BF17,BL17)</x:f>
      </x:c>
      <x:c r="BV17" s="65" t="str">
        <x:f>IF(COUNT(BQ17,AV17)&lt;2,"unknown",IF(BQ17/AV17-1&gt;=0.2,"high",IF(BQ17/AV17-1&lt;=-0.2,"low","normal")))</x:f>
        <x:v>unknown</x:v>
      </x:c>
      <x:c r="BW17" s="65" t="str">
        <x:f>IF(COUNT(BR17,AW17)&lt;2,"unknown",IF(BR17/AW17-1&gt;=0.2,"high",IF(BR17/AW17-1&lt;=-0.2,"low","normal")))</x:f>
        <x:v>unknown</x:v>
      </x:c>
      <x:c r="BX17" s="65" t="str">
        <x:f>IF(COUNT(BS17,AX17)&lt;2,"unknown",IF(BS17/AX17-1&gt;=0.2,"high",IF(BS17/AX17-1&lt;=-0.2,"low","normal")))</x:f>
        <x:v>unknown</x:v>
      </x:c>
      <x:c r="BY17" s="65" t="str">
        <x:f>IF(COUNT(BT17,AY17)&lt;2,"unknown",IF(BT17/AY17-1&gt;=0.2,"high",IF(BT17/AY17-1&lt;=-0.2,"low","normal")))</x:f>
        <x:v>unknown</x:v>
      </x:c>
      <x:c r="BZ17" s="65" t="str">
        <x:f>IF(COUNT(BU17,AZ17)&lt;2,"unknown",IF(BU17/AZ17-1&gt;=0.2,"high",IF(BU17/AZ17-1&lt;=-0.2,"low","normal")))</x:f>
        <x:v>unknown</x:v>
      </x:c>
      <x:c r="CA17" s="65" t="str">
        <x:f>IF(T17&lt;&gt;"complete","pending",IF(OR(L17&lt;&gt;"pure",U17="true",COUNT(BM17,AT17)&lt;2,AND(AC17&lt;&gt;"",COUNT(BO17,AU17)&lt;2)),"not_attributable","attributable"))</x:f>
        <x:v>pending</x:v>
      </x:c>
      <x:c r="CB17" s="65" t="str">
        <x:f>IF(T17&lt;&gt;"complete","not_evaluated",IF(COUNT(BM17,AT17)&lt;2,"insufficient_data",IF(AND(AC17&lt;&gt;"",COUNT(BP17)=1,BP17&lt;=-0.2),"guardrail_fail",IF(AND(CA17="not_attributable",OR(BV17="high",BN17&gt;=0.2)),"watchlist",IF(CA17&lt;&gt;"attributable","insufficient_data",IF(BN17&gt;=0.2,"win",IF(BN17&lt;=-0.2,"loss","inconclusive")))))))</x:f>
        <x:v>not_evaluated</x:v>
      </x:c>
      <x:c r="CC17" s="65" t="str">
        <x:f>IF(T17&lt;&gt;"complete","COLLECT_MORE_DATA",IF(COUNT(BM17,AT17)&lt;2,"FIX_TRACKING",IF(CB17="guardrail_fail","STOP_VARIANT_GUARDRAIL",IF(CB17="watchlist","WATCHLIST_ONLY",IF(AND(BV17="high",BY17="low"),"KEEP_HOOK_REWRITE_CTA",IF(AND(BW17="high",BX17="low"),"KEEP_STRUCTURE_CHANGE_DISCUSSION_ANGLE",IF(AND(BX17="high",BZ17="low"),"DOWNWEIGHT_TEMPLATE",IF(CB17="win","RETEST_WINNER",IF(CB17="loss","RETURN_TO_BASELINE","COLLECT_MORE_DATA")))))))))</x:f>
        <x:v>COLLECT_MORE_DATA</x:v>
      </x:c>
      <x:c r="CD17" s="75"/>
    </x:row>
    <x:row r="18">
      <x:c r="A18" s="68"/>
      <x:c r="B18" s="69"/>
      <x:c r="C18" s="68"/>
      <x:c r="D18" s="68"/>
      <x:c r="E18" s="68"/>
      <x:c r="F18" s="68"/>
      <x:c r="G18" s="68"/>
      <x:c r="H18" s="70"/>
      <x:c r="I18" s="68"/>
      <x:c r="J18" s="68"/>
      <x:c r="K18" s="68"/>
      <x:c r="L18" s="71" t="str">
        <x:f>IF(K18="","unknown",IF(K18=0,"baseline",IF(K18=1,"pure","mixed")))</x:f>
        <x:v>unknown</x:v>
      </x:c>
      <x:c r="M18" s="68"/>
      <x:c r="N18" s="68"/>
      <x:c r="O18" s="68"/>
      <x:c r="P18" s="68"/>
      <x:c r="Q18" s="68"/>
      <x:c r="R18" s="68"/>
      <x:c r="S18" s="68"/>
      <x:c r="T18" s="68"/>
      <x:c r="U18" s="68"/>
      <x:c r="V18" s="68"/>
      <x:c r="W18" s="68"/>
      <x:c r="X18" s="68"/>
      <x:c r="Y18" s="68"/>
      <x:c r="Z18" s="68"/>
      <x:c r="AA18" s="68"/>
      <x:c r="AB18" s="68"/>
      <x:c r="AC18" s="68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2"/>
      <x:c r="AU18" s="72"/>
      <x:c r="AV18" s="72"/>
      <x:c r="AW18" s="72"/>
      <x:c r="AX18" s="72"/>
      <x:c r="AY18" s="72"/>
      <x:c r="AZ18" s="72"/>
      <x:c r="BA18" s="73" t="str">
        <x:f>IF(C18="xiaohongshu",IF(COUNT(AF18,AE18)&lt;2,"",IFERROR(AF18/AE18,"")),"")</x:f>
      </x:c>
      <x:c r="BB18" s="73" t="str">
        <x:f>IF(C18="xiaohongshu",IF(COUNT(AG18,AE18)&lt;2,"",IFERROR(AG18/AE18,"")),"")</x:f>
      </x:c>
      <x:c r="BC18" s="73" t="str">
        <x:f>IF(C18="xiaohongshu",IF(COUNT(AN18,AE18)&lt;2,"",IFERROR(AN18/AE18,"")),"")</x:f>
      </x:c>
      <x:c r="BD18" s="73" t="str">
        <x:f>IF(C18="xiaohongshu",IF(COUNT(AQ18,AE18)&lt;2,"",IFERROR(AQ18/AE18,"")),"")</x:f>
      </x:c>
      <x:c r="BE18" s="73" t="str">
        <x:f>IF(C18="xiaohongshu",IF(COUNT(AI18,AE18)&lt;2,"",IFERROR(AI18/AE18,"")),"")</x:f>
      </x:c>
      <x:c r="BF18" s="73" t="str">
        <x:f>IF(C18="xiaohongshu",IF(OR(COUNT(AE18)=0,COUNT(AR18,AS18)=0),"",IFERROR((AR18+AS18)/AE18,"")),"")</x:f>
      </x:c>
      <x:c r="BG18" s="73" t="str">
        <x:f>IF(C18="x",IF(COUNT(AD18)=0,"",IF(COUNT(AM18)=1,IFERROR(AM18/AD18,""),IF(COUNT(AH18,AI18,AK18,AL18)=0,"",IFERROR(SUM(AH18,AI18,AK18,AL18)/AD18,"")))),"")</x:f>
      </x:c>
      <x:c r="BH18" s="73" t="str">
        <x:f>IF(C18="x",IF(COUNT(AJ18,AD18)&lt;2,"",IFERROR(AJ18/AD18,"")),"")</x:f>
      </x:c>
      <x:c r="BI18" s="73" t="str">
        <x:f>IF(C18="x",IF(COUNT(AO18,AD18)&lt;2,"",IFERROR(AO18/AD18,"")),"")</x:f>
      </x:c>
      <x:c r="BJ18" s="73" t="str">
        <x:f>IF(C18="x",IF(COUNT(AP18,AD18)&lt;2,"",IFERROR(AP18/AD18,"")),"")</x:f>
      </x:c>
      <x:c r="BK18" s="73" t="str">
        <x:f>IF(C18="x",IF(COUNT(AL18,AD18)&lt;2,"",IFERROR(AL18/AD18,"")),"")</x:f>
      </x:c>
      <x:c r="BL18" s="73" t="str">
        <x:f>IF(C18="x",IF(OR(COUNT(AD18)=0,COUNT(AR18,AS18)=0),"",IFERROR((AR18+AS18)/AD18,"")),"")</x:f>
      </x:c>
      <x:c r="BM18" s="73" t="str">
        <x:f>IF(AB18="xhs_save_rate",BA18,IF(AB18="xhs_completion_rate",BB18,IF(AB18="xhs_profile_visit_rate",BC18,IF(AB18="xhs_dm_intent_rate",BD18,IF(AB18="xhs_discussion_rate",BE18,IF(AB18="xhs_product_relevance_rate",BF18,IF(AB18="x_first_screen_engaged_rate_proxy",BG18,IF(AB18="x_qualified_reply_rate",BH18,IF(AB18="x_profile_click_rate",BI18,IF(AB18="x_link_intent_rate",BJ18,IF(AB18="x_bookmark_rate",BK18,IF(AB18="x_product_relevance_rate",BL18,""))))))))))))</x:f>
      </x:c>
      <x:c r="BN18" s="73" t="str">
        <x:f>IFERROR(BM18/AT18-1,"")</x:f>
      </x:c>
      <x:c r="BO18" s="73" t="str">
        <x:f>IF(AC18="","",IF(AC18="xhs_save_rate",BA18,IF(AC18="xhs_completion_rate",BB18,IF(AC18="xhs_profile_visit_rate",BC18,IF(AC18="xhs_dm_intent_rate",BD18,IF(AC18="xhs_discussion_rate",BE18,IF(AC18="xhs_product_relevance_rate",BF18,IF(AC18="x_first_screen_engaged_rate_proxy",BG18,IF(AC18="x_qualified_reply_rate",BH18,IF(AC18="x_profile_click_rate",BI18,IF(AC18="x_link_intent_rate",BJ18,IF(AC18="x_bookmark_rate",BK18,IF(AC18="x_product_relevance_rate",BL18,"")))))))))))))</x:f>
      </x:c>
      <x:c r="BP18" s="73" t="str">
        <x:f>IFERROR(BO18/AU18-1,"")</x:f>
      </x:c>
      <x:c r="BQ18" s="74" t="str">
        <x:f>IF(COUNT(AD18)=0,"",AD18)</x:f>
      </x:c>
      <x:c r="BR18" s="73" t="str">
        <x:f>IF(C18="xiaohongshu",IF(COUNT(BA18,BB18)=2,AVERAGE(BA18,BB18),IF(COUNT(BA18)=1,BA18,BB18)),BK18)</x:f>
      </x:c>
      <x:c r="BS18" s="73" t="str">
        <x:f>IF(C18="xiaohongshu",BE18,BH18)</x:f>
      </x:c>
      <x:c r="BT18" s="73" t="str">
        <x:f>IF(C18="xiaohongshu",IF(I18="save",BA18,IF(I18="discussion",BE18,IF(I18="profile_visit",BC18,IF(I18="dm",BD18,IF(OR(I18="product_question",I18="trial_intent"),BF18,""))))),IF(I18="save",BK18,IF(I18="discussion",BH18,IF(OR(I18="profile_visit",I18="dm"),BI18,IF(I18="link_click",BJ18,IF(OR(I18="product_question",I18="trial_intent"),BL18,""))))))</x:f>
      </x:c>
      <x:c r="BU18" s="73" t="str">
        <x:f>IF(C18="xiaohongshu",BF18,BL18)</x:f>
      </x:c>
      <x:c r="BV18" s="65" t="str">
        <x:f>IF(COUNT(BQ18,AV18)&lt;2,"unknown",IF(BQ18/AV18-1&gt;=0.2,"high",IF(BQ18/AV18-1&lt;=-0.2,"low","normal")))</x:f>
        <x:v>unknown</x:v>
      </x:c>
      <x:c r="BW18" s="65" t="str">
        <x:f>IF(COUNT(BR18,AW18)&lt;2,"unknown",IF(BR18/AW18-1&gt;=0.2,"high",IF(BR18/AW18-1&lt;=-0.2,"low","normal")))</x:f>
        <x:v>unknown</x:v>
      </x:c>
      <x:c r="BX18" s="65" t="str">
        <x:f>IF(COUNT(BS18,AX18)&lt;2,"unknown",IF(BS18/AX18-1&gt;=0.2,"high",IF(BS18/AX18-1&lt;=-0.2,"low","normal")))</x:f>
        <x:v>unknown</x:v>
      </x:c>
      <x:c r="BY18" s="65" t="str">
        <x:f>IF(COUNT(BT18,AY18)&lt;2,"unknown",IF(BT18/AY18-1&gt;=0.2,"high",IF(BT18/AY18-1&lt;=-0.2,"low","normal")))</x:f>
        <x:v>unknown</x:v>
      </x:c>
      <x:c r="BZ18" s="65" t="str">
        <x:f>IF(COUNT(BU18,AZ18)&lt;2,"unknown",IF(BU18/AZ18-1&gt;=0.2,"high",IF(BU18/AZ18-1&lt;=-0.2,"low","normal")))</x:f>
        <x:v>unknown</x:v>
      </x:c>
      <x:c r="CA18" s="65" t="str">
        <x:f>IF(T18&lt;&gt;"complete","pending",IF(OR(L18&lt;&gt;"pure",U18="true",COUNT(BM18,AT18)&lt;2,AND(AC18&lt;&gt;"",COUNT(BO18,AU18)&lt;2)),"not_attributable","attributable"))</x:f>
        <x:v>pending</x:v>
      </x:c>
      <x:c r="CB18" s="65" t="str">
        <x:f>IF(T18&lt;&gt;"complete","not_evaluated",IF(COUNT(BM18,AT18)&lt;2,"insufficient_data",IF(AND(AC18&lt;&gt;"",COUNT(BP18)=1,BP18&lt;=-0.2),"guardrail_fail",IF(AND(CA18="not_attributable",OR(BV18="high",BN18&gt;=0.2)),"watchlist",IF(CA18&lt;&gt;"attributable","insufficient_data",IF(BN18&gt;=0.2,"win",IF(BN18&lt;=-0.2,"loss","inconclusive")))))))</x:f>
        <x:v>not_evaluated</x:v>
      </x:c>
      <x:c r="CC18" s="65" t="str">
        <x:f>IF(T18&lt;&gt;"complete","COLLECT_MORE_DATA",IF(COUNT(BM18,AT18)&lt;2,"FIX_TRACKING",IF(CB18="guardrail_fail","STOP_VARIANT_GUARDRAIL",IF(CB18="watchlist","WATCHLIST_ONLY",IF(AND(BV18="high",BY18="low"),"KEEP_HOOK_REWRITE_CTA",IF(AND(BW18="high",BX18="low"),"KEEP_STRUCTURE_CHANGE_DISCUSSION_ANGLE",IF(AND(BX18="high",BZ18="low"),"DOWNWEIGHT_TEMPLATE",IF(CB18="win","RETEST_WINNER",IF(CB18="loss","RETURN_TO_BASELINE","COLLECT_MORE_DATA")))))))))</x:f>
        <x:v>COLLECT_MORE_DATA</x:v>
      </x:c>
      <x:c r="CD18" s="75"/>
    </x:row>
    <x:row r="19">
      <x:c r="A19" s="68"/>
      <x:c r="B19" s="69"/>
      <x:c r="C19" s="68"/>
      <x:c r="D19" s="68"/>
      <x:c r="E19" s="68"/>
      <x:c r="F19" s="68"/>
      <x:c r="G19" s="68"/>
      <x:c r="H19" s="70"/>
      <x:c r="I19" s="68"/>
      <x:c r="J19" s="68"/>
      <x:c r="K19" s="68"/>
      <x:c r="L19" s="71" t="str">
        <x:f>IF(K19="","unknown",IF(K19=0,"baseline",IF(K19=1,"pure","mixed")))</x:f>
        <x:v>unknown</x:v>
      </x:c>
      <x:c r="M19" s="68"/>
      <x:c r="N19" s="68"/>
      <x:c r="O19" s="68"/>
      <x:c r="P19" s="68"/>
      <x:c r="Q19" s="68"/>
      <x:c r="R19" s="68"/>
      <x:c r="S19" s="68"/>
      <x:c r="T19" s="68"/>
      <x:c r="U19" s="68"/>
      <x:c r="V19" s="68"/>
      <x:c r="W19" s="68"/>
      <x:c r="X19" s="68"/>
      <x:c r="Y19" s="68"/>
      <x:c r="Z19" s="68"/>
      <x:c r="AA19" s="68"/>
      <x:c r="AB19" s="68"/>
      <x:c r="AC19" s="68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2"/>
      <x:c r="AU19" s="72"/>
      <x:c r="AV19" s="72"/>
      <x:c r="AW19" s="72"/>
      <x:c r="AX19" s="72"/>
      <x:c r="AY19" s="72"/>
      <x:c r="AZ19" s="72"/>
      <x:c r="BA19" s="73" t="str">
        <x:f>IF(C19="xiaohongshu",IF(COUNT(AF19,AE19)&lt;2,"",IFERROR(AF19/AE19,"")),"")</x:f>
      </x:c>
      <x:c r="BB19" s="73" t="str">
        <x:f>IF(C19="xiaohongshu",IF(COUNT(AG19,AE19)&lt;2,"",IFERROR(AG19/AE19,"")),"")</x:f>
      </x:c>
      <x:c r="BC19" s="73" t="str">
        <x:f>IF(C19="xiaohongshu",IF(COUNT(AN19,AE19)&lt;2,"",IFERROR(AN19/AE19,"")),"")</x:f>
      </x:c>
      <x:c r="BD19" s="73" t="str">
        <x:f>IF(C19="xiaohongshu",IF(COUNT(AQ19,AE19)&lt;2,"",IFERROR(AQ19/AE19,"")),"")</x:f>
      </x:c>
      <x:c r="BE19" s="73" t="str">
        <x:f>IF(C19="xiaohongshu",IF(COUNT(AI19,AE19)&lt;2,"",IFERROR(AI19/AE19,"")),"")</x:f>
      </x:c>
      <x:c r="BF19" s="73" t="str">
        <x:f>IF(C19="xiaohongshu",IF(OR(COUNT(AE19)=0,COUNT(AR19,AS19)=0),"",IFERROR((AR19+AS19)/AE19,"")),"")</x:f>
      </x:c>
      <x:c r="BG19" s="73" t="str">
        <x:f>IF(C19="x",IF(COUNT(AD19)=0,"",IF(COUNT(AM19)=1,IFERROR(AM19/AD19,""),IF(COUNT(AH19,AI19,AK19,AL19)=0,"",IFERROR(SUM(AH19,AI19,AK19,AL19)/AD19,"")))),"")</x:f>
      </x:c>
      <x:c r="BH19" s="73" t="str">
        <x:f>IF(C19="x",IF(COUNT(AJ19,AD19)&lt;2,"",IFERROR(AJ19/AD19,"")),"")</x:f>
      </x:c>
      <x:c r="BI19" s="73" t="str">
        <x:f>IF(C19="x",IF(COUNT(AO19,AD19)&lt;2,"",IFERROR(AO19/AD19,"")),"")</x:f>
      </x:c>
      <x:c r="BJ19" s="73" t="str">
        <x:f>IF(C19="x",IF(COUNT(AP19,AD19)&lt;2,"",IFERROR(AP19/AD19,"")),"")</x:f>
      </x:c>
      <x:c r="BK19" s="73" t="str">
        <x:f>IF(C19="x",IF(COUNT(AL19,AD19)&lt;2,"",IFERROR(AL19/AD19,"")),"")</x:f>
      </x:c>
      <x:c r="BL19" s="73" t="str">
        <x:f>IF(C19="x",IF(OR(COUNT(AD19)=0,COUNT(AR19,AS19)=0),"",IFERROR((AR19+AS19)/AD19,"")),"")</x:f>
      </x:c>
      <x:c r="BM19" s="73" t="str">
        <x:f>IF(AB19="xhs_save_rate",BA19,IF(AB19="xhs_completion_rate",BB19,IF(AB19="xhs_profile_visit_rate",BC19,IF(AB19="xhs_dm_intent_rate",BD19,IF(AB19="xhs_discussion_rate",BE19,IF(AB19="xhs_product_relevance_rate",BF19,IF(AB19="x_first_screen_engaged_rate_proxy",BG19,IF(AB19="x_qualified_reply_rate",BH19,IF(AB19="x_profile_click_rate",BI19,IF(AB19="x_link_intent_rate",BJ19,IF(AB19="x_bookmark_rate",BK19,IF(AB19="x_product_relevance_rate",BL19,""))))))))))))</x:f>
      </x:c>
      <x:c r="BN19" s="73" t="str">
        <x:f>IFERROR(BM19/AT19-1,"")</x:f>
      </x:c>
      <x:c r="BO19" s="73" t="str">
        <x:f>IF(AC19="","",IF(AC19="xhs_save_rate",BA19,IF(AC19="xhs_completion_rate",BB19,IF(AC19="xhs_profile_visit_rate",BC19,IF(AC19="xhs_dm_intent_rate",BD19,IF(AC19="xhs_discussion_rate",BE19,IF(AC19="xhs_product_relevance_rate",BF19,IF(AC19="x_first_screen_engaged_rate_proxy",BG19,IF(AC19="x_qualified_reply_rate",BH19,IF(AC19="x_profile_click_rate",BI19,IF(AC19="x_link_intent_rate",BJ19,IF(AC19="x_bookmark_rate",BK19,IF(AC19="x_product_relevance_rate",BL19,"")))))))))))))</x:f>
      </x:c>
      <x:c r="BP19" s="73" t="str">
        <x:f>IFERROR(BO19/AU19-1,"")</x:f>
      </x:c>
      <x:c r="BQ19" s="74" t="str">
        <x:f>IF(COUNT(AD19)=0,"",AD19)</x:f>
      </x:c>
      <x:c r="BR19" s="73" t="str">
        <x:f>IF(C19="xiaohongshu",IF(COUNT(BA19,BB19)=2,AVERAGE(BA19,BB19),IF(COUNT(BA19)=1,BA19,BB19)),BK19)</x:f>
      </x:c>
      <x:c r="BS19" s="73" t="str">
        <x:f>IF(C19="xiaohongshu",BE19,BH19)</x:f>
      </x:c>
      <x:c r="BT19" s="73" t="str">
        <x:f>IF(C19="xiaohongshu",IF(I19="save",BA19,IF(I19="discussion",BE19,IF(I19="profile_visit",BC19,IF(I19="dm",BD19,IF(OR(I19="product_question",I19="trial_intent"),BF19,""))))),IF(I19="save",BK19,IF(I19="discussion",BH19,IF(OR(I19="profile_visit",I19="dm"),BI19,IF(I19="link_click",BJ19,IF(OR(I19="product_question",I19="trial_intent"),BL19,""))))))</x:f>
      </x:c>
      <x:c r="BU19" s="73" t="str">
        <x:f>IF(C19="xiaohongshu",BF19,BL19)</x:f>
      </x:c>
      <x:c r="BV19" s="65" t="str">
        <x:f>IF(COUNT(BQ19,AV19)&lt;2,"unknown",IF(BQ19/AV19-1&gt;=0.2,"high",IF(BQ19/AV19-1&lt;=-0.2,"low","normal")))</x:f>
        <x:v>unknown</x:v>
      </x:c>
      <x:c r="BW19" s="65" t="str">
        <x:f>IF(COUNT(BR19,AW19)&lt;2,"unknown",IF(BR19/AW19-1&gt;=0.2,"high",IF(BR19/AW19-1&lt;=-0.2,"low","normal")))</x:f>
        <x:v>unknown</x:v>
      </x:c>
      <x:c r="BX19" s="65" t="str">
        <x:f>IF(COUNT(BS19,AX19)&lt;2,"unknown",IF(BS19/AX19-1&gt;=0.2,"high",IF(BS19/AX19-1&lt;=-0.2,"low","normal")))</x:f>
        <x:v>unknown</x:v>
      </x:c>
      <x:c r="BY19" s="65" t="str">
        <x:f>IF(COUNT(BT19,AY19)&lt;2,"unknown",IF(BT19/AY19-1&gt;=0.2,"high",IF(BT19/AY19-1&lt;=-0.2,"low","normal")))</x:f>
        <x:v>unknown</x:v>
      </x:c>
      <x:c r="BZ19" s="65" t="str">
        <x:f>IF(COUNT(BU19,AZ19)&lt;2,"unknown",IF(BU19/AZ19-1&gt;=0.2,"high",IF(BU19/AZ19-1&lt;=-0.2,"low","normal")))</x:f>
        <x:v>unknown</x:v>
      </x:c>
      <x:c r="CA19" s="65" t="str">
        <x:f>IF(T19&lt;&gt;"complete","pending",IF(OR(L19&lt;&gt;"pure",U19="true",COUNT(BM19,AT19)&lt;2,AND(AC19&lt;&gt;"",COUNT(BO19,AU19)&lt;2)),"not_attributable","attributable"))</x:f>
        <x:v>pending</x:v>
      </x:c>
      <x:c r="CB19" s="65" t="str">
        <x:f>IF(T19&lt;&gt;"complete","not_evaluated",IF(COUNT(BM19,AT19)&lt;2,"insufficient_data",IF(AND(AC19&lt;&gt;"",COUNT(BP19)=1,BP19&lt;=-0.2),"guardrail_fail",IF(AND(CA19="not_attributable",OR(BV19="high",BN19&gt;=0.2)),"watchlist",IF(CA19&lt;&gt;"attributable","insufficient_data",IF(BN19&gt;=0.2,"win",IF(BN19&lt;=-0.2,"loss","inconclusive")))))))</x:f>
        <x:v>not_evaluated</x:v>
      </x:c>
      <x:c r="CC19" s="65" t="str">
        <x:f>IF(T19&lt;&gt;"complete","COLLECT_MORE_DATA",IF(COUNT(BM19,AT19)&lt;2,"FIX_TRACKING",IF(CB19="guardrail_fail","STOP_VARIANT_GUARDRAIL",IF(CB19="watchlist","WATCHLIST_ONLY",IF(AND(BV19="high",BY19="low"),"KEEP_HOOK_REWRITE_CTA",IF(AND(BW19="high",BX19="low"),"KEEP_STRUCTURE_CHANGE_DISCUSSION_ANGLE",IF(AND(BX19="high",BZ19="low"),"DOWNWEIGHT_TEMPLATE",IF(CB19="win","RETEST_WINNER",IF(CB19="loss","RETURN_TO_BASELINE","COLLECT_MORE_DATA")))))))))</x:f>
        <x:v>COLLECT_MORE_DATA</x:v>
      </x:c>
      <x:c r="CD19" s="75"/>
    </x:row>
    <x:row r="20">
      <x:c r="A20" s="68"/>
      <x:c r="B20" s="69"/>
      <x:c r="C20" s="68"/>
      <x:c r="D20" s="68"/>
      <x:c r="E20" s="68"/>
      <x:c r="F20" s="68"/>
      <x:c r="G20" s="68"/>
      <x:c r="H20" s="70"/>
      <x:c r="I20" s="68"/>
      <x:c r="J20" s="68"/>
      <x:c r="K20" s="68"/>
      <x:c r="L20" s="71" t="str">
        <x:f>IF(K20="","unknown",IF(K20=0,"baseline",IF(K20=1,"pure","mixed")))</x:f>
        <x:v>unknown</x:v>
      </x:c>
      <x:c r="M20" s="68"/>
      <x:c r="N20" s="68"/>
      <x:c r="O20" s="68"/>
      <x:c r="P20" s="68"/>
      <x:c r="Q20" s="68"/>
      <x:c r="R20" s="68"/>
      <x:c r="S20" s="68"/>
      <x:c r="T20" s="68"/>
      <x:c r="U20" s="68"/>
      <x:c r="V20" s="68"/>
      <x:c r="W20" s="68"/>
      <x:c r="X20" s="68"/>
      <x:c r="Y20" s="68"/>
      <x:c r="Z20" s="68"/>
      <x:c r="AA20" s="68"/>
      <x:c r="AB20" s="68"/>
      <x:c r="AC20" s="68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2"/>
      <x:c r="AU20" s="72"/>
      <x:c r="AV20" s="72"/>
      <x:c r="AW20" s="72"/>
      <x:c r="AX20" s="72"/>
      <x:c r="AY20" s="72"/>
      <x:c r="AZ20" s="72"/>
      <x:c r="BA20" s="73" t="str">
        <x:f>IF(C20="xiaohongshu",IF(COUNT(AF20,AE20)&lt;2,"",IFERROR(AF20/AE20,"")),"")</x:f>
      </x:c>
      <x:c r="BB20" s="73" t="str">
        <x:f>IF(C20="xiaohongshu",IF(COUNT(AG20,AE20)&lt;2,"",IFERROR(AG20/AE20,"")),"")</x:f>
      </x:c>
      <x:c r="BC20" s="73" t="str">
        <x:f>IF(C20="xiaohongshu",IF(COUNT(AN20,AE20)&lt;2,"",IFERROR(AN20/AE20,"")),"")</x:f>
      </x:c>
      <x:c r="BD20" s="73" t="str">
        <x:f>IF(C20="xiaohongshu",IF(COUNT(AQ20,AE20)&lt;2,"",IFERROR(AQ20/AE20,"")),"")</x:f>
      </x:c>
      <x:c r="BE20" s="73" t="str">
        <x:f>IF(C20="xiaohongshu",IF(COUNT(AI20,AE20)&lt;2,"",IFERROR(AI20/AE20,"")),"")</x:f>
      </x:c>
      <x:c r="BF20" s="73" t="str">
        <x:f>IF(C20="xiaohongshu",IF(OR(COUNT(AE20)=0,COUNT(AR20,AS20)=0),"",IFERROR((AR20+AS20)/AE20,"")),"")</x:f>
      </x:c>
      <x:c r="BG20" s="73" t="str">
        <x:f>IF(C20="x",IF(COUNT(AD20)=0,"",IF(COUNT(AM20)=1,IFERROR(AM20/AD20,""),IF(COUNT(AH20,AI20,AK20,AL20)=0,"",IFERROR(SUM(AH20,AI20,AK20,AL20)/AD20,"")))),"")</x:f>
      </x:c>
      <x:c r="BH20" s="73" t="str">
        <x:f>IF(C20="x",IF(COUNT(AJ20,AD20)&lt;2,"",IFERROR(AJ20/AD20,"")),"")</x:f>
      </x:c>
      <x:c r="BI20" s="73" t="str">
        <x:f>IF(C20="x",IF(COUNT(AO20,AD20)&lt;2,"",IFERROR(AO20/AD20,"")),"")</x:f>
      </x:c>
      <x:c r="BJ20" s="73" t="str">
        <x:f>IF(C20="x",IF(COUNT(AP20,AD20)&lt;2,"",IFERROR(AP20/AD20,"")),"")</x:f>
      </x:c>
      <x:c r="BK20" s="73" t="str">
        <x:f>IF(C20="x",IF(COUNT(AL20,AD20)&lt;2,"",IFERROR(AL20/AD20,"")),"")</x:f>
      </x:c>
      <x:c r="BL20" s="73" t="str">
        <x:f>IF(C20="x",IF(OR(COUNT(AD20)=0,COUNT(AR20,AS20)=0),"",IFERROR((AR20+AS20)/AD20,"")),"")</x:f>
      </x:c>
      <x:c r="BM20" s="73" t="str">
        <x:f>IF(AB20="xhs_save_rate",BA20,IF(AB20="xhs_completion_rate",BB20,IF(AB20="xhs_profile_visit_rate",BC20,IF(AB20="xhs_dm_intent_rate",BD20,IF(AB20="xhs_discussion_rate",BE20,IF(AB20="xhs_product_relevance_rate",BF20,IF(AB20="x_first_screen_engaged_rate_proxy",BG20,IF(AB20="x_qualified_reply_rate",BH20,IF(AB20="x_profile_click_rate",BI20,IF(AB20="x_link_intent_rate",BJ20,IF(AB20="x_bookmark_rate",BK20,IF(AB20="x_product_relevance_rate",BL20,""))))))))))))</x:f>
      </x:c>
      <x:c r="BN20" s="73" t="str">
        <x:f>IFERROR(BM20/AT20-1,"")</x:f>
      </x:c>
      <x:c r="BO20" s="73" t="str">
        <x:f>IF(AC20="","",IF(AC20="xhs_save_rate",BA20,IF(AC20="xhs_completion_rate",BB20,IF(AC20="xhs_profile_visit_rate",BC20,IF(AC20="xhs_dm_intent_rate",BD20,IF(AC20="xhs_discussion_rate",BE20,IF(AC20="xhs_product_relevance_rate",BF20,IF(AC20="x_first_screen_engaged_rate_proxy",BG20,IF(AC20="x_qualified_reply_rate",BH20,IF(AC20="x_profile_click_rate",BI20,IF(AC20="x_link_intent_rate",BJ20,IF(AC20="x_bookmark_rate",BK20,IF(AC20="x_product_relevance_rate",BL20,"")))))))))))))</x:f>
      </x:c>
      <x:c r="BP20" s="73" t="str">
        <x:f>IFERROR(BO20/AU20-1,"")</x:f>
      </x:c>
      <x:c r="BQ20" s="74" t="str">
        <x:f>IF(COUNT(AD20)=0,"",AD20)</x:f>
      </x:c>
      <x:c r="BR20" s="73" t="str">
        <x:f>IF(C20="xiaohongshu",IF(COUNT(BA20,BB20)=2,AVERAGE(BA20,BB20),IF(COUNT(BA20)=1,BA20,BB20)),BK20)</x:f>
      </x:c>
      <x:c r="BS20" s="73" t="str">
        <x:f>IF(C20="xiaohongshu",BE20,BH20)</x:f>
      </x:c>
      <x:c r="BT20" s="73" t="str">
        <x:f>IF(C20="xiaohongshu",IF(I20="save",BA20,IF(I20="discussion",BE20,IF(I20="profile_visit",BC20,IF(I20="dm",BD20,IF(OR(I20="product_question",I20="trial_intent"),BF20,""))))),IF(I20="save",BK20,IF(I20="discussion",BH20,IF(OR(I20="profile_visit",I20="dm"),BI20,IF(I20="link_click",BJ20,IF(OR(I20="product_question",I20="trial_intent"),BL20,""))))))</x:f>
      </x:c>
      <x:c r="BU20" s="73" t="str">
        <x:f>IF(C20="xiaohongshu",BF20,BL20)</x:f>
      </x:c>
      <x:c r="BV20" s="65" t="str">
        <x:f>IF(COUNT(BQ20,AV20)&lt;2,"unknown",IF(BQ20/AV20-1&gt;=0.2,"high",IF(BQ20/AV20-1&lt;=-0.2,"low","normal")))</x:f>
        <x:v>unknown</x:v>
      </x:c>
      <x:c r="BW20" s="65" t="str">
        <x:f>IF(COUNT(BR20,AW20)&lt;2,"unknown",IF(BR20/AW20-1&gt;=0.2,"high",IF(BR20/AW20-1&lt;=-0.2,"low","normal")))</x:f>
        <x:v>unknown</x:v>
      </x:c>
      <x:c r="BX20" s="65" t="str">
        <x:f>IF(COUNT(BS20,AX20)&lt;2,"unknown",IF(BS20/AX20-1&gt;=0.2,"high",IF(BS20/AX20-1&lt;=-0.2,"low","normal")))</x:f>
        <x:v>unknown</x:v>
      </x:c>
      <x:c r="BY20" s="65" t="str">
        <x:f>IF(COUNT(BT20,AY20)&lt;2,"unknown",IF(BT20/AY20-1&gt;=0.2,"high",IF(BT20/AY20-1&lt;=-0.2,"low","normal")))</x:f>
        <x:v>unknown</x:v>
      </x:c>
      <x:c r="BZ20" s="65" t="str">
        <x:f>IF(COUNT(BU20,AZ20)&lt;2,"unknown",IF(BU20/AZ20-1&gt;=0.2,"high",IF(BU20/AZ20-1&lt;=-0.2,"low","normal")))</x:f>
        <x:v>unknown</x:v>
      </x:c>
      <x:c r="CA20" s="65" t="str">
        <x:f>IF(T20&lt;&gt;"complete","pending",IF(OR(L20&lt;&gt;"pure",U20="true",COUNT(BM20,AT20)&lt;2,AND(AC20&lt;&gt;"",COUNT(BO20,AU20)&lt;2)),"not_attributable","attributable"))</x:f>
        <x:v>pending</x:v>
      </x:c>
      <x:c r="CB20" s="65" t="str">
        <x:f>IF(T20&lt;&gt;"complete","not_evaluated",IF(COUNT(BM20,AT20)&lt;2,"insufficient_data",IF(AND(AC20&lt;&gt;"",COUNT(BP20)=1,BP20&lt;=-0.2),"guardrail_fail",IF(AND(CA20="not_attributable",OR(BV20="high",BN20&gt;=0.2)),"watchlist",IF(CA20&lt;&gt;"attributable","insufficient_data",IF(BN20&gt;=0.2,"win",IF(BN20&lt;=-0.2,"loss","inconclusive")))))))</x:f>
        <x:v>not_evaluated</x:v>
      </x:c>
      <x:c r="CC20" s="65" t="str">
        <x:f>IF(T20&lt;&gt;"complete","COLLECT_MORE_DATA",IF(COUNT(BM20,AT20)&lt;2,"FIX_TRACKING",IF(CB20="guardrail_fail","STOP_VARIANT_GUARDRAIL",IF(CB20="watchlist","WATCHLIST_ONLY",IF(AND(BV20="high",BY20="low"),"KEEP_HOOK_REWRITE_CTA",IF(AND(BW20="high",BX20="low"),"KEEP_STRUCTURE_CHANGE_DISCUSSION_ANGLE",IF(AND(BX20="high",BZ20="low"),"DOWNWEIGHT_TEMPLATE",IF(CB20="win","RETEST_WINNER",IF(CB20="loss","RETURN_TO_BASELINE","COLLECT_MORE_DATA")))))))))</x:f>
        <x:v>COLLECT_MORE_DATA</x:v>
      </x:c>
      <x:c r="CD20" s="75"/>
    </x:row>
    <x:row r="21">
      <x:c r="A21" s="68"/>
      <x:c r="B21" s="69"/>
      <x:c r="C21" s="68"/>
      <x:c r="D21" s="68"/>
      <x:c r="E21" s="68"/>
      <x:c r="F21" s="68"/>
      <x:c r="G21" s="68"/>
      <x:c r="H21" s="70"/>
      <x:c r="I21" s="68"/>
      <x:c r="J21" s="68"/>
      <x:c r="K21" s="68"/>
      <x:c r="L21" s="71" t="str">
        <x:f>IF(K21="","unknown",IF(K21=0,"baseline",IF(K21=1,"pure","mixed")))</x:f>
        <x:v>unknown</x:v>
      </x:c>
      <x:c r="M21" s="68"/>
      <x:c r="N21" s="68"/>
      <x:c r="O21" s="68"/>
      <x:c r="P21" s="68"/>
      <x:c r="Q21" s="68"/>
      <x:c r="R21" s="68"/>
      <x:c r="S21" s="68"/>
      <x:c r="T21" s="68"/>
      <x:c r="U21" s="68"/>
      <x:c r="V21" s="68"/>
      <x:c r="W21" s="68"/>
      <x:c r="X21" s="68"/>
      <x:c r="Y21" s="68"/>
      <x:c r="Z21" s="68"/>
      <x:c r="AA21" s="68"/>
      <x:c r="AB21" s="68"/>
      <x:c r="AC21" s="68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2"/>
      <x:c r="AU21" s="72"/>
      <x:c r="AV21" s="72"/>
      <x:c r="AW21" s="72"/>
      <x:c r="AX21" s="72"/>
      <x:c r="AY21" s="72"/>
      <x:c r="AZ21" s="72"/>
      <x:c r="BA21" s="73" t="str">
        <x:f>IF(C21="xiaohongshu",IF(COUNT(AF21,AE21)&lt;2,"",IFERROR(AF21/AE21,"")),"")</x:f>
      </x:c>
      <x:c r="BB21" s="73" t="str">
        <x:f>IF(C21="xiaohongshu",IF(COUNT(AG21,AE21)&lt;2,"",IFERROR(AG21/AE21,"")),"")</x:f>
      </x:c>
      <x:c r="BC21" s="73" t="str">
        <x:f>IF(C21="xiaohongshu",IF(COUNT(AN21,AE21)&lt;2,"",IFERROR(AN21/AE21,"")),"")</x:f>
      </x:c>
      <x:c r="BD21" s="73" t="str">
        <x:f>IF(C21="xiaohongshu",IF(COUNT(AQ21,AE21)&lt;2,"",IFERROR(AQ21/AE21,"")),"")</x:f>
      </x:c>
      <x:c r="BE21" s="73" t="str">
        <x:f>IF(C21="xiaohongshu",IF(COUNT(AI21,AE21)&lt;2,"",IFERROR(AI21/AE21,"")),"")</x:f>
      </x:c>
      <x:c r="BF21" s="73" t="str">
        <x:f>IF(C21="xiaohongshu",IF(OR(COUNT(AE21)=0,COUNT(AR21,AS21)=0),"",IFERROR((AR21+AS21)/AE21,"")),"")</x:f>
      </x:c>
      <x:c r="BG21" s="73" t="str">
        <x:f>IF(C21="x",IF(COUNT(AD21)=0,"",IF(COUNT(AM21)=1,IFERROR(AM21/AD21,""),IF(COUNT(AH21,AI21,AK21,AL21)=0,"",IFERROR(SUM(AH21,AI21,AK21,AL21)/AD21,"")))),"")</x:f>
      </x:c>
      <x:c r="BH21" s="73" t="str">
        <x:f>IF(C21="x",IF(COUNT(AJ21,AD21)&lt;2,"",IFERROR(AJ21/AD21,"")),"")</x:f>
      </x:c>
      <x:c r="BI21" s="73" t="str">
        <x:f>IF(C21="x",IF(COUNT(AO21,AD21)&lt;2,"",IFERROR(AO21/AD21,"")),"")</x:f>
      </x:c>
      <x:c r="BJ21" s="73" t="str">
        <x:f>IF(C21="x",IF(COUNT(AP21,AD21)&lt;2,"",IFERROR(AP21/AD21,"")),"")</x:f>
      </x:c>
      <x:c r="BK21" s="73" t="str">
        <x:f>IF(C21="x",IF(COUNT(AL21,AD21)&lt;2,"",IFERROR(AL21/AD21,"")),"")</x:f>
      </x:c>
      <x:c r="BL21" s="73" t="str">
        <x:f>IF(C21="x",IF(OR(COUNT(AD21)=0,COUNT(AR21,AS21)=0),"",IFERROR((AR21+AS21)/AD21,"")),"")</x:f>
      </x:c>
      <x:c r="BM21" s="73" t="str">
        <x:f>IF(AB21="xhs_save_rate",BA21,IF(AB21="xhs_completion_rate",BB21,IF(AB21="xhs_profile_visit_rate",BC21,IF(AB21="xhs_dm_intent_rate",BD21,IF(AB21="xhs_discussion_rate",BE21,IF(AB21="xhs_product_relevance_rate",BF21,IF(AB21="x_first_screen_engaged_rate_proxy",BG21,IF(AB21="x_qualified_reply_rate",BH21,IF(AB21="x_profile_click_rate",BI21,IF(AB21="x_link_intent_rate",BJ21,IF(AB21="x_bookmark_rate",BK21,IF(AB21="x_product_relevance_rate",BL21,""))))))))))))</x:f>
      </x:c>
      <x:c r="BN21" s="73" t="str">
        <x:f>IFERROR(BM21/AT21-1,"")</x:f>
      </x:c>
      <x:c r="BO21" s="73" t="str">
        <x:f>IF(AC21="","",IF(AC21="xhs_save_rate",BA21,IF(AC21="xhs_completion_rate",BB21,IF(AC21="xhs_profile_visit_rate",BC21,IF(AC21="xhs_dm_intent_rate",BD21,IF(AC21="xhs_discussion_rate",BE21,IF(AC21="xhs_product_relevance_rate",BF21,IF(AC21="x_first_screen_engaged_rate_proxy",BG21,IF(AC21="x_qualified_reply_rate",BH21,IF(AC21="x_profile_click_rate",BI21,IF(AC21="x_link_intent_rate",BJ21,IF(AC21="x_bookmark_rate",BK21,IF(AC21="x_product_relevance_rate",BL21,"")))))))))))))</x:f>
      </x:c>
      <x:c r="BP21" s="73" t="str">
        <x:f>IFERROR(BO21/AU21-1,"")</x:f>
      </x:c>
      <x:c r="BQ21" s="74" t="str">
        <x:f>IF(COUNT(AD21)=0,"",AD21)</x:f>
      </x:c>
      <x:c r="BR21" s="73" t="str">
        <x:f>IF(C21="xiaohongshu",IF(COUNT(BA21,BB21)=2,AVERAGE(BA21,BB21),IF(COUNT(BA21)=1,BA21,BB21)),BK21)</x:f>
      </x:c>
      <x:c r="BS21" s="73" t="str">
        <x:f>IF(C21="xiaohongshu",BE21,BH21)</x:f>
      </x:c>
      <x:c r="BT21" s="73" t="str">
        <x:f>IF(C21="xiaohongshu",IF(I21="save",BA21,IF(I21="discussion",BE21,IF(I21="profile_visit",BC21,IF(I21="dm",BD21,IF(OR(I21="product_question",I21="trial_intent"),BF21,""))))),IF(I21="save",BK21,IF(I21="discussion",BH21,IF(OR(I21="profile_visit",I21="dm"),BI21,IF(I21="link_click",BJ21,IF(OR(I21="product_question",I21="trial_intent"),BL21,""))))))</x:f>
      </x:c>
      <x:c r="BU21" s="73" t="str">
        <x:f>IF(C21="xiaohongshu",BF21,BL21)</x:f>
      </x:c>
      <x:c r="BV21" s="65" t="str">
        <x:f>IF(COUNT(BQ21,AV21)&lt;2,"unknown",IF(BQ21/AV21-1&gt;=0.2,"high",IF(BQ21/AV21-1&lt;=-0.2,"low","normal")))</x:f>
        <x:v>unknown</x:v>
      </x:c>
      <x:c r="BW21" s="65" t="str">
        <x:f>IF(COUNT(BR21,AW21)&lt;2,"unknown",IF(BR21/AW21-1&gt;=0.2,"high",IF(BR21/AW21-1&lt;=-0.2,"low","normal")))</x:f>
        <x:v>unknown</x:v>
      </x:c>
      <x:c r="BX21" s="65" t="str">
        <x:f>IF(COUNT(BS21,AX21)&lt;2,"unknown",IF(BS21/AX21-1&gt;=0.2,"high",IF(BS21/AX21-1&lt;=-0.2,"low","normal")))</x:f>
        <x:v>unknown</x:v>
      </x:c>
      <x:c r="BY21" s="65" t="str">
        <x:f>IF(COUNT(BT21,AY21)&lt;2,"unknown",IF(BT21/AY21-1&gt;=0.2,"high",IF(BT21/AY21-1&lt;=-0.2,"low","normal")))</x:f>
        <x:v>unknown</x:v>
      </x:c>
      <x:c r="BZ21" s="65" t="str">
        <x:f>IF(COUNT(BU21,AZ21)&lt;2,"unknown",IF(BU21/AZ21-1&gt;=0.2,"high",IF(BU21/AZ21-1&lt;=-0.2,"low","normal")))</x:f>
        <x:v>unknown</x:v>
      </x:c>
      <x:c r="CA21" s="65" t="str">
        <x:f>IF(T21&lt;&gt;"complete","pending",IF(OR(L21&lt;&gt;"pure",U21="true",COUNT(BM21,AT21)&lt;2,AND(AC21&lt;&gt;"",COUNT(BO21,AU21)&lt;2)),"not_attributable","attributable"))</x:f>
        <x:v>pending</x:v>
      </x:c>
      <x:c r="CB21" s="65" t="str">
        <x:f>IF(T21&lt;&gt;"complete","not_evaluated",IF(COUNT(BM21,AT21)&lt;2,"insufficient_data",IF(AND(AC21&lt;&gt;"",COUNT(BP21)=1,BP21&lt;=-0.2),"guardrail_fail",IF(AND(CA21="not_attributable",OR(BV21="high",BN21&gt;=0.2)),"watchlist",IF(CA21&lt;&gt;"attributable","insufficient_data",IF(BN21&gt;=0.2,"win",IF(BN21&lt;=-0.2,"loss","inconclusive")))))))</x:f>
        <x:v>not_evaluated</x:v>
      </x:c>
      <x:c r="CC21" s="65" t="str">
        <x:f>IF(T21&lt;&gt;"complete","COLLECT_MORE_DATA",IF(COUNT(BM21,AT21)&lt;2,"FIX_TRACKING",IF(CB21="guardrail_fail","STOP_VARIANT_GUARDRAIL",IF(CB21="watchlist","WATCHLIST_ONLY",IF(AND(BV21="high",BY21="low"),"KEEP_HOOK_REWRITE_CTA",IF(AND(BW21="high",BX21="low"),"KEEP_STRUCTURE_CHANGE_DISCUSSION_ANGLE",IF(AND(BX21="high",BZ21="low"),"DOWNWEIGHT_TEMPLATE",IF(CB21="win","RETEST_WINNER",IF(CB21="loss","RETURN_TO_BASELINE","COLLECT_MORE_DATA")))))))))</x:f>
        <x:v>COLLECT_MORE_DATA</x:v>
      </x:c>
      <x:c r="CD21" s="75"/>
    </x:row>
    <x:row r="22">
      <x:c r="A22" s="68"/>
      <x:c r="B22" s="69"/>
      <x:c r="C22" s="68"/>
      <x:c r="D22" s="68"/>
      <x:c r="E22" s="68"/>
      <x:c r="F22" s="68"/>
      <x:c r="G22" s="68"/>
      <x:c r="H22" s="70"/>
      <x:c r="I22" s="68"/>
      <x:c r="J22" s="68"/>
      <x:c r="K22" s="68"/>
      <x:c r="L22" s="71" t="str">
        <x:f>IF(K22="","unknown",IF(K22=0,"baseline",IF(K22=1,"pure","mixed")))</x:f>
        <x:v>unknown</x:v>
      </x:c>
      <x:c r="M22" s="68"/>
      <x:c r="N22" s="68"/>
      <x:c r="O22" s="68"/>
      <x:c r="P22" s="68"/>
      <x:c r="Q22" s="68"/>
      <x:c r="R22" s="68"/>
      <x:c r="S22" s="68"/>
      <x:c r="T22" s="68"/>
      <x:c r="U22" s="68"/>
      <x:c r="V22" s="68"/>
      <x:c r="W22" s="68"/>
      <x:c r="X22" s="68"/>
      <x:c r="Y22" s="68"/>
      <x:c r="Z22" s="68"/>
      <x:c r="AA22" s="68"/>
      <x:c r="AB22" s="68"/>
      <x:c r="AC22" s="68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2"/>
      <x:c r="AU22" s="72"/>
      <x:c r="AV22" s="72"/>
      <x:c r="AW22" s="72"/>
      <x:c r="AX22" s="72"/>
      <x:c r="AY22" s="72"/>
      <x:c r="AZ22" s="72"/>
      <x:c r="BA22" s="73" t="str">
        <x:f>IF(C22="xiaohongshu",IF(COUNT(AF22,AE22)&lt;2,"",IFERROR(AF22/AE22,"")),"")</x:f>
      </x:c>
      <x:c r="BB22" s="73" t="str">
        <x:f>IF(C22="xiaohongshu",IF(COUNT(AG22,AE22)&lt;2,"",IFERROR(AG22/AE22,"")),"")</x:f>
      </x:c>
      <x:c r="BC22" s="73" t="str">
        <x:f>IF(C22="xiaohongshu",IF(COUNT(AN22,AE22)&lt;2,"",IFERROR(AN22/AE22,"")),"")</x:f>
      </x:c>
      <x:c r="BD22" s="73" t="str">
        <x:f>IF(C22="xiaohongshu",IF(COUNT(AQ22,AE22)&lt;2,"",IFERROR(AQ22/AE22,"")),"")</x:f>
      </x:c>
      <x:c r="BE22" s="73" t="str">
        <x:f>IF(C22="xiaohongshu",IF(COUNT(AI22,AE22)&lt;2,"",IFERROR(AI22/AE22,"")),"")</x:f>
      </x:c>
      <x:c r="BF22" s="73" t="str">
        <x:f>IF(C22="xiaohongshu",IF(OR(COUNT(AE22)=0,COUNT(AR22,AS22)=0),"",IFERROR((AR22+AS22)/AE22,"")),"")</x:f>
      </x:c>
      <x:c r="BG22" s="73" t="str">
        <x:f>IF(C22="x",IF(COUNT(AD22)=0,"",IF(COUNT(AM22)=1,IFERROR(AM22/AD22,""),IF(COUNT(AH22,AI22,AK22,AL22)=0,"",IFERROR(SUM(AH22,AI22,AK22,AL22)/AD22,"")))),"")</x:f>
      </x:c>
      <x:c r="BH22" s="73" t="str">
        <x:f>IF(C22="x",IF(COUNT(AJ22,AD22)&lt;2,"",IFERROR(AJ22/AD22,"")),"")</x:f>
      </x:c>
      <x:c r="BI22" s="73" t="str">
        <x:f>IF(C22="x",IF(COUNT(AO22,AD22)&lt;2,"",IFERROR(AO22/AD22,"")),"")</x:f>
      </x:c>
      <x:c r="BJ22" s="73" t="str">
        <x:f>IF(C22="x",IF(COUNT(AP22,AD22)&lt;2,"",IFERROR(AP22/AD22,"")),"")</x:f>
      </x:c>
      <x:c r="BK22" s="73" t="str">
        <x:f>IF(C22="x",IF(COUNT(AL22,AD22)&lt;2,"",IFERROR(AL22/AD22,"")),"")</x:f>
      </x:c>
      <x:c r="BL22" s="73" t="str">
        <x:f>IF(C22="x",IF(OR(COUNT(AD22)=0,COUNT(AR22,AS22)=0),"",IFERROR((AR22+AS22)/AD22,"")),"")</x:f>
      </x:c>
      <x:c r="BM22" s="73" t="str">
        <x:f>IF(AB22="xhs_save_rate",BA22,IF(AB22="xhs_completion_rate",BB22,IF(AB22="xhs_profile_visit_rate",BC22,IF(AB22="xhs_dm_intent_rate",BD22,IF(AB22="xhs_discussion_rate",BE22,IF(AB22="xhs_product_relevance_rate",BF22,IF(AB22="x_first_screen_engaged_rate_proxy",BG22,IF(AB22="x_qualified_reply_rate",BH22,IF(AB22="x_profile_click_rate",BI22,IF(AB22="x_link_intent_rate",BJ22,IF(AB22="x_bookmark_rate",BK22,IF(AB22="x_product_relevance_rate",BL22,""))))))))))))</x:f>
      </x:c>
      <x:c r="BN22" s="73" t="str">
        <x:f>IFERROR(BM22/AT22-1,"")</x:f>
      </x:c>
      <x:c r="BO22" s="73" t="str">
        <x:f>IF(AC22="","",IF(AC22="xhs_save_rate",BA22,IF(AC22="xhs_completion_rate",BB22,IF(AC22="xhs_profile_visit_rate",BC22,IF(AC22="xhs_dm_intent_rate",BD22,IF(AC22="xhs_discussion_rate",BE22,IF(AC22="xhs_product_relevance_rate",BF22,IF(AC22="x_first_screen_engaged_rate_proxy",BG22,IF(AC22="x_qualified_reply_rate",BH22,IF(AC22="x_profile_click_rate",BI22,IF(AC22="x_link_intent_rate",BJ22,IF(AC22="x_bookmark_rate",BK22,IF(AC22="x_product_relevance_rate",BL22,"")))))))))))))</x:f>
      </x:c>
      <x:c r="BP22" s="73" t="str">
        <x:f>IFERROR(BO22/AU22-1,"")</x:f>
      </x:c>
      <x:c r="BQ22" s="74" t="str">
        <x:f>IF(COUNT(AD22)=0,"",AD22)</x:f>
      </x:c>
      <x:c r="BR22" s="73" t="str">
        <x:f>IF(C22="xiaohongshu",IF(COUNT(BA22,BB22)=2,AVERAGE(BA22,BB22),IF(COUNT(BA22)=1,BA22,BB22)),BK22)</x:f>
      </x:c>
      <x:c r="BS22" s="73" t="str">
        <x:f>IF(C22="xiaohongshu",BE22,BH22)</x:f>
      </x:c>
      <x:c r="BT22" s="73" t="str">
        <x:f>IF(C22="xiaohongshu",IF(I22="save",BA22,IF(I22="discussion",BE22,IF(I22="profile_visit",BC22,IF(I22="dm",BD22,IF(OR(I22="product_question",I22="trial_intent"),BF22,""))))),IF(I22="save",BK22,IF(I22="discussion",BH22,IF(OR(I22="profile_visit",I22="dm"),BI22,IF(I22="link_click",BJ22,IF(OR(I22="product_question",I22="trial_intent"),BL22,""))))))</x:f>
      </x:c>
      <x:c r="BU22" s="73" t="str">
        <x:f>IF(C22="xiaohongshu",BF22,BL22)</x:f>
      </x:c>
      <x:c r="BV22" s="65" t="str">
        <x:f>IF(COUNT(BQ22,AV22)&lt;2,"unknown",IF(BQ22/AV22-1&gt;=0.2,"high",IF(BQ22/AV22-1&lt;=-0.2,"low","normal")))</x:f>
        <x:v>unknown</x:v>
      </x:c>
      <x:c r="BW22" s="65" t="str">
        <x:f>IF(COUNT(BR22,AW22)&lt;2,"unknown",IF(BR22/AW22-1&gt;=0.2,"high",IF(BR22/AW22-1&lt;=-0.2,"low","normal")))</x:f>
        <x:v>unknown</x:v>
      </x:c>
      <x:c r="BX22" s="65" t="str">
        <x:f>IF(COUNT(BS22,AX22)&lt;2,"unknown",IF(BS22/AX22-1&gt;=0.2,"high",IF(BS22/AX22-1&lt;=-0.2,"low","normal")))</x:f>
        <x:v>unknown</x:v>
      </x:c>
      <x:c r="BY22" s="65" t="str">
        <x:f>IF(COUNT(BT22,AY22)&lt;2,"unknown",IF(BT22/AY22-1&gt;=0.2,"high",IF(BT22/AY22-1&lt;=-0.2,"low","normal")))</x:f>
        <x:v>unknown</x:v>
      </x:c>
      <x:c r="BZ22" s="65" t="str">
        <x:f>IF(COUNT(BU22,AZ22)&lt;2,"unknown",IF(BU22/AZ22-1&gt;=0.2,"high",IF(BU22/AZ22-1&lt;=-0.2,"low","normal")))</x:f>
        <x:v>unknown</x:v>
      </x:c>
      <x:c r="CA22" s="65" t="str">
        <x:f>IF(T22&lt;&gt;"complete","pending",IF(OR(L22&lt;&gt;"pure",U22="true",COUNT(BM22,AT22)&lt;2,AND(AC22&lt;&gt;"",COUNT(BO22,AU22)&lt;2)),"not_attributable","attributable"))</x:f>
        <x:v>pending</x:v>
      </x:c>
      <x:c r="CB22" s="65" t="str">
        <x:f>IF(T22&lt;&gt;"complete","not_evaluated",IF(COUNT(BM22,AT22)&lt;2,"insufficient_data",IF(AND(AC22&lt;&gt;"",COUNT(BP22)=1,BP22&lt;=-0.2),"guardrail_fail",IF(AND(CA22="not_attributable",OR(BV22="high",BN22&gt;=0.2)),"watchlist",IF(CA22&lt;&gt;"attributable","insufficient_data",IF(BN22&gt;=0.2,"win",IF(BN22&lt;=-0.2,"loss","inconclusive")))))))</x:f>
        <x:v>not_evaluated</x:v>
      </x:c>
      <x:c r="CC22" s="65" t="str">
        <x:f>IF(T22&lt;&gt;"complete","COLLECT_MORE_DATA",IF(COUNT(BM22,AT22)&lt;2,"FIX_TRACKING",IF(CB22="guardrail_fail","STOP_VARIANT_GUARDRAIL",IF(CB22="watchlist","WATCHLIST_ONLY",IF(AND(BV22="high",BY22="low"),"KEEP_HOOK_REWRITE_CTA",IF(AND(BW22="high",BX22="low"),"KEEP_STRUCTURE_CHANGE_DISCUSSION_ANGLE",IF(AND(BX22="high",BZ22="low"),"DOWNWEIGHT_TEMPLATE",IF(CB22="win","RETEST_WINNER",IF(CB22="loss","RETURN_TO_BASELINE","COLLECT_MORE_DATA")))))))))</x:f>
        <x:v>COLLECT_MORE_DATA</x:v>
      </x:c>
      <x:c r="CD22" s="75"/>
    </x:row>
    <x:row r="23">
      <x:c r="A23" s="68"/>
      <x:c r="B23" s="69"/>
      <x:c r="C23" s="68"/>
      <x:c r="D23" s="68"/>
      <x:c r="E23" s="68"/>
      <x:c r="F23" s="68"/>
      <x:c r="G23" s="68"/>
      <x:c r="H23" s="70"/>
      <x:c r="I23" s="68"/>
      <x:c r="J23" s="68"/>
      <x:c r="K23" s="68"/>
      <x:c r="L23" s="71" t="str">
        <x:f>IF(K23="","unknown",IF(K23=0,"baseline",IF(K23=1,"pure","mixed")))</x:f>
        <x:v>unknown</x:v>
      </x:c>
      <x:c r="M23" s="68"/>
      <x:c r="N23" s="68"/>
      <x:c r="O23" s="68"/>
      <x:c r="P23" s="68"/>
      <x:c r="Q23" s="68"/>
      <x:c r="R23" s="68"/>
      <x:c r="S23" s="68"/>
      <x:c r="T23" s="68"/>
      <x:c r="U23" s="68"/>
      <x:c r="V23" s="68"/>
      <x:c r="W23" s="68"/>
      <x:c r="X23" s="68"/>
      <x:c r="Y23" s="68"/>
      <x:c r="Z23" s="68"/>
      <x:c r="AA23" s="68"/>
      <x:c r="AB23" s="68"/>
      <x:c r="AC23" s="68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2"/>
      <x:c r="AU23" s="72"/>
      <x:c r="AV23" s="72"/>
      <x:c r="AW23" s="72"/>
      <x:c r="AX23" s="72"/>
      <x:c r="AY23" s="72"/>
      <x:c r="AZ23" s="72"/>
      <x:c r="BA23" s="73" t="str">
        <x:f>IF(C23="xiaohongshu",IF(COUNT(AF23,AE23)&lt;2,"",IFERROR(AF23/AE23,"")),"")</x:f>
      </x:c>
      <x:c r="BB23" s="73" t="str">
        <x:f>IF(C23="xiaohongshu",IF(COUNT(AG23,AE23)&lt;2,"",IFERROR(AG23/AE23,"")),"")</x:f>
      </x:c>
      <x:c r="BC23" s="73" t="str">
        <x:f>IF(C23="xiaohongshu",IF(COUNT(AN23,AE23)&lt;2,"",IFERROR(AN23/AE23,"")),"")</x:f>
      </x:c>
      <x:c r="BD23" s="73" t="str">
        <x:f>IF(C23="xiaohongshu",IF(COUNT(AQ23,AE23)&lt;2,"",IFERROR(AQ23/AE23,"")),"")</x:f>
      </x:c>
      <x:c r="BE23" s="73" t="str">
        <x:f>IF(C23="xiaohongshu",IF(COUNT(AI23,AE23)&lt;2,"",IFERROR(AI23/AE23,"")),"")</x:f>
      </x:c>
      <x:c r="BF23" s="73" t="str">
        <x:f>IF(C23="xiaohongshu",IF(OR(COUNT(AE23)=0,COUNT(AR23,AS23)=0),"",IFERROR((AR23+AS23)/AE23,"")),"")</x:f>
      </x:c>
      <x:c r="BG23" s="73" t="str">
        <x:f>IF(C23="x",IF(COUNT(AD23)=0,"",IF(COUNT(AM23)=1,IFERROR(AM23/AD23,""),IF(COUNT(AH23,AI23,AK23,AL23)=0,"",IFERROR(SUM(AH23,AI23,AK23,AL23)/AD23,"")))),"")</x:f>
      </x:c>
      <x:c r="BH23" s="73" t="str">
        <x:f>IF(C23="x",IF(COUNT(AJ23,AD23)&lt;2,"",IFERROR(AJ23/AD23,"")),"")</x:f>
      </x:c>
      <x:c r="BI23" s="73" t="str">
        <x:f>IF(C23="x",IF(COUNT(AO23,AD23)&lt;2,"",IFERROR(AO23/AD23,"")),"")</x:f>
      </x:c>
      <x:c r="BJ23" s="73" t="str">
        <x:f>IF(C23="x",IF(COUNT(AP23,AD23)&lt;2,"",IFERROR(AP23/AD23,"")),"")</x:f>
      </x:c>
      <x:c r="BK23" s="73" t="str">
        <x:f>IF(C23="x",IF(COUNT(AL23,AD23)&lt;2,"",IFERROR(AL23/AD23,"")),"")</x:f>
      </x:c>
      <x:c r="BL23" s="73" t="str">
        <x:f>IF(C23="x",IF(OR(COUNT(AD23)=0,COUNT(AR23,AS23)=0),"",IFERROR((AR23+AS23)/AD23,"")),"")</x:f>
      </x:c>
      <x:c r="BM23" s="73" t="str">
        <x:f>IF(AB23="xhs_save_rate",BA23,IF(AB23="xhs_completion_rate",BB23,IF(AB23="xhs_profile_visit_rate",BC23,IF(AB23="xhs_dm_intent_rate",BD23,IF(AB23="xhs_discussion_rate",BE23,IF(AB23="xhs_product_relevance_rate",BF23,IF(AB23="x_first_screen_engaged_rate_proxy",BG23,IF(AB23="x_qualified_reply_rate",BH23,IF(AB23="x_profile_click_rate",BI23,IF(AB23="x_link_intent_rate",BJ23,IF(AB23="x_bookmark_rate",BK23,IF(AB23="x_product_relevance_rate",BL23,""))))))))))))</x:f>
      </x:c>
      <x:c r="BN23" s="73" t="str">
        <x:f>IFERROR(BM23/AT23-1,"")</x:f>
      </x:c>
      <x:c r="BO23" s="73" t="str">
        <x:f>IF(AC23="","",IF(AC23="xhs_save_rate",BA23,IF(AC23="xhs_completion_rate",BB23,IF(AC23="xhs_profile_visit_rate",BC23,IF(AC23="xhs_dm_intent_rate",BD23,IF(AC23="xhs_discussion_rate",BE23,IF(AC23="xhs_product_relevance_rate",BF23,IF(AC23="x_first_screen_engaged_rate_proxy",BG23,IF(AC23="x_qualified_reply_rate",BH23,IF(AC23="x_profile_click_rate",BI23,IF(AC23="x_link_intent_rate",BJ23,IF(AC23="x_bookmark_rate",BK23,IF(AC23="x_product_relevance_rate",BL23,"")))))))))))))</x:f>
      </x:c>
      <x:c r="BP23" s="73" t="str">
        <x:f>IFERROR(BO23/AU23-1,"")</x:f>
      </x:c>
      <x:c r="BQ23" s="74" t="str">
        <x:f>IF(COUNT(AD23)=0,"",AD23)</x:f>
      </x:c>
      <x:c r="BR23" s="73" t="str">
        <x:f>IF(C23="xiaohongshu",IF(COUNT(BA23,BB23)=2,AVERAGE(BA23,BB23),IF(COUNT(BA23)=1,BA23,BB23)),BK23)</x:f>
      </x:c>
      <x:c r="BS23" s="73" t="str">
        <x:f>IF(C23="xiaohongshu",BE23,BH23)</x:f>
      </x:c>
      <x:c r="BT23" s="73" t="str">
        <x:f>IF(C23="xiaohongshu",IF(I23="save",BA23,IF(I23="discussion",BE23,IF(I23="profile_visit",BC23,IF(I23="dm",BD23,IF(OR(I23="product_question",I23="trial_intent"),BF23,""))))),IF(I23="save",BK23,IF(I23="discussion",BH23,IF(OR(I23="profile_visit",I23="dm"),BI23,IF(I23="link_click",BJ23,IF(OR(I23="product_question",I23="trial_intent"),BL23,""))))))</x:f>
      </x:c>
      <x:c r="BU23" s="73" t="str">
        <x:f>IF(C23="xiaohongshu",BF23,BL23)</x:f>
      </x:c>
      <x:c r="BV23" s="65" t="str">
        <x:f>IF(COUNT(BQ23,AV23)&lt;2,"unknown",IF(BQ23/AV23-1&gt;=0.2,"high",IF(BQ23/AV23-1&lt;=-0.2,"low","normal")))</x:f>
        <x:v>unknown</x:v>
      </x:c>
      <x:c r="BW23" s="65" t="str">
        <x:f>IF(COUNT(BR23,AW23)&lt;2,"unknown",IF(BR23/AW23-1&gt;=0.2,"high",IF(BR23/AW23-1&lt;=-0.2,"low","normal")))</x:f>
        <x:v>unknown</x:v>
      </x:c>
      <x:c r="BX23" s="65" t="str">
        <x:f>IF(COUNT(BS23,AX23)&lt;2,"unknown",IF(BS23/AX23-1&gt;=0.2,"high",IF(BS23/AX23-1&lt;=-0.2,"low","normal")))</x:f>
        <x:v>unknown</x:v>
      </x:c>
      <x:c r="BY23" s="65" t="str">
        <x:f>IF(COUNT(BT23,AY23)&lt;2,"unknown",IF(BT23/AY23-1&gt;=0.2,"high",IF(BT23/AY23-1&lt;=-0.2,"low","normal")))</x:f>
        <x:v>unknown</x:v>
      </x:c>
      <x:c r="BZ23" s="65" t="str">
        <x:f>IF(COUNT(BU23,AZ23)&lt;2,"unknown",IF(BU23/AZ23-1&gt;=0.2,"high",IF(BU23/AZ23-1&lt;=-0.2,"low","normal")))</x:f>
        <x:v>unknown</x:v>
      </x:c>
      <x:c r="CA23" s="65" t="str">
        <x:f>IF(T23&lt;&gt;"complete","pending",IF(OR(L23&lt;&gt;"pure",U23="true",COUNT(BM23,AT23)&lt;2,AND(AC23&lt;&gt;"",COUNT(BO23,AU23)&lt;2)),"not_attributable","attributable"))</x:f>
        <x:v>pending</x:v>
      </x:c>
      <x:c r="CB23" s="65" t="str">
        <x:f>IF(T23&lt;&gt;"complete","not_evaluated",IF(COUNT(BM23,AT23)&lt;2,"insufficient_data",IF(AND(AC23&lt;&gt;"",COUNT(BP23)=1,BP23&lt;=-0.2),"guardrail_fail",IF(AND(CA23="not_attributable",OR(BV23="high",BN23&gt;=0.2)),"watchlist",IF(CA23&lt;&gt;"attributable","insufficient_data",IF(BN23&gt;=0.2,"win",IF(BN23&lt;=-0.2,"loss","inconclusive")))))))</x:f>
        <x:v>not_evaluated</x:v>
      </x:c>
      <x:c r="CC23" s="65" t="str">
        <x:f>IF(T23&lt;&gt;"complete","COLLECT_MORE_DATA",IF(COUNT(BM23,AT23)&lt;2,"FIX_TRACKING",IF(CB23="guardrail_fail","STOP_VARIANT_GUARDRAIL",IF(CB23="watchlist","WATCHLIST_ONLY",IF(AND(BV23="high",BY23="low"),"KEEP_HOOK_REWRITE_CTA",IF(AND(BW23="high",BX23="low"),"KEEP_STRUCTURE_CHANGE_DISCUSSION_ANGLE",IF(AND(BX23="high",BZ23="low"),"DOWNWEIGHT_TEMPLATE",IF(CB23="win","RETEST_WINNER",IF(CB23="loss","RETURN_TO_BASELINE","COLLECT_MORE_DATA")))))))))</x:f>
        <x:v>COLLECT_MORE_DATA</x:v>
      </x:c>
      <x:c r="CD23" s="75"/>
    </x:row>
    <x:row r="24">
      <x:c r="A24" s="68"/>
      <x:c r="B24" s="69"/>
      <x:c r="C24" s="68"/>
      <x:c r="D24" s="68"/>
      <x:c r="E24" s="68"/>
      <x:c r="F24" s="68"/>
      <x:c r="G24" s="68"/>
      <x:c r="H24" s="70"/>
      <x:c r="I24" s="68"/>
      <x:c r="J24" s="68"/>
      <x:c r="K24" s="68"/>
      <x:c r="L24" s="71" t="str">
        <x:f>IF(K24="","unknown",IF(K24=0,"baseline",IF(K24=1,"pure","mixed")))</x:f>
        <x:v>unknown</x:v>
      </x:c>
      <x:c r="M24" s="68"/>
      <x:c r="N24" s="68"/>
      <x:c r="O24" s="68"/>
      <x:c r="P24" s="68"/>
      <x:c r="Q24" s="68"/>
      <x:c r="R24" s="68"/>
      <x:c r="S24" s="68"/>
      <x:c r="T24" s="68"/>
      <x:c r="U24" s="68"/>
      <x:c r="V24" s="68"/>
      <x:c r="W24" s="68"/>
      <x:c r="X24" s="68"/>
      <x:c r="Y24" s="68"/>
      <x:c r="Z24" s="68"/>
      <x:c r="AA24" s="68"/>
      <x:c r="AB24" s="68"/>
      <x:c r="AC24" s="68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2"/>
      <x:c r="AU24" s="72"/>
      <x:c r="AV24" s="72"/>
      <x:c r="AW24" s="72"/>
      <x:c r="AX24" s="72"/>
      <x:c r="AY24" s="72"/>
      <x:c r="AZ24" s="72"/>
      <x:c r="BA24" s="73" t="str">
        <x:f>IF(C24="xiaohongshu",IF(COUNT(AF24,AE24)&lt;2,"",IFERROR(AF24/AE24,"")),"")</x:f>
      </x:c>
      <x:c r="BB24" s="73" t="str">
        <x:f>IF(C24="xiaohongshu",IF(COUNT(AG24,AE24)&lt;2,"",IFERROR(AG24/AE24,"")),"")</x:f>
      </x:c>
      <x:c r="BC24" s="73" t="str">
        <x:f>IF(C24="xiaohongshu",IF(COUNT(AN24,AE24)&lt;2,"",IFERROR(AN24/AE24,"")),"")</x:f>
      </x:c>
      <x:c r="BD24" s="73" t="str">
        <x:f>IF(C24="xiaohongshu",IF(COUNT(AQ24,AE24)&lt;2,"",IFERROR(AQ24/AE24,"")),"")</x:f>
      </x:c>
      <x:c r="BE24" s="73" t="str">
        <x:f>IF(C24="xiaohongshu",IF(COUNT(AI24,AE24)&lt;2,"",IFERROR(AI24/AE24,"")),"")</x:f>
      </x:c>
      <x:c r="BF24" s="73" t="str">
        <x:f>IF(C24="xiaohongshu",IF(OR(COUNT(AE24)=0,COUNT(AR24,AS24)=0),"",IFERROR((AR24+AS24)/AE24,"")),"")</x:f>
      </x:c>
      <x:c r="BG24" s="73" t="str">
        <x:f>IF(C24="x",IF(COUNT(AD24)=0,"",IF(COUNT(AM24)=1,IFERROR(AM24/AD24,""),IF(COUNT(AH24,AI24,AK24,AL24)=0,"",IFERROR(SUM(AH24,AI24,AK24,AL24)/AD24,"")))),"")</x:f>
      </x:c>
      <x:c r="BH24" s="73" t="str">
        <x:f>IF(C24="x",IF(COUNT(AJ24,AD24)&lt;2,"",IFERROR(AJ24/AD24,"")),"")</x:f>
      </x:c>
      <x:c r="BI24" s="73" t="str">
        <x:f>IF(C24="x",IF(COUNT(AO24,AD24)&lt;2,"",IFERROR(AO24/AD24,"")),"")</x:f>
      </x:c>
      <x:c r="BJ24" s="73" t="str">
        <x:f>IF(C24="x",IF(COUNT(AP24,AD24)&lt;2,"",IFERROR(AP24/AD24,"")),"")</x:f>
      </x:c>
      <x:c r="BK24" s="73" t="str">
        <x:f>IF(C24="x",IF(COUNT(AL24,AD24)&lt;2,"",IFERROR(AL24/AD24,"")),"")</x:f>
      </x:c>
      <x:c r="BL24" s="73" t="str">
        <x:f>IF(C24="x",IF(OR(COUNT(AD24)=0,COUNT(AR24,AS24)=0),"",IFERROR((AR24+AS24)/AD24,"")),"")</x:f>
      </x:c>
      <x:c r="BM24" s="73" t="str">
        <x:f>IF(AB24="xhs_save_rate",BA24,IF(AB24="xhs_completion_rate",BB24,IF(AB24="xhs_profile_visit_rate",BC24,IF(AB24="xhs_dm_intent_rate",BD24,IF(AB24="xhs_discussion_rate",BE24,IF(AB24="xhs_product_relevance_rate",BF24,IF(AB24="x_first_screen_engaged_rate_proxy",BG24,IF(AB24="x_qualified_reply_rate",BH24,IF(AB24="x_profile_click_rate",BI24,IF(AB24="x_link_intent_rate",BJ24,IF(AB24="x_bookmark_rate",BK24,IF(AB24="x_product_relevance_rate",BL24,""))))))))))))</x:f>
      </x:c>
      <x:c r="BN24" s="73" t="str">
        <x:f>IFERROR(BM24/AT24-1,"")</x:f>
      </x:c>
      <x:c r="BO24" s="73" t="str">
        <x:f>IF(AC24="","",IF(AC24="xhs_save_rate",BA24,IF(AC24="xhs_completion_rate",BB24,IF(AC24="xhs_profile_visit_rate",BC24,IF(AC24="xhs_dm_intent_rate",BD24,IF(AC24="xhs_discussion_rate",BE24,IF(AC24="xhs_product_relevance_rate",BF24,IF(AC24="x_first_screen_engaged_rate_proxy",BG24,IF(AC24="x_qualified_reply_rate",BH24,IF(AC24="x_profile_click_rate",BI24,IF(AC24="x_link_intent_rate",BJ24,IF(AC24="x_bookmark_rate",BK24,IF(AC24="x_product_relevance_rate",BL24,"")))))))))))))</x:f>
      </x:c>
      <x:c r="BP24" s="73" t="str">
        <x:f>IFERROR(BO24/AU24-1,"")</x:f>
      </x:c>
      <x:c r="BQ24" s="74" t="str">
        <x:f>IF(COUNT(AD24)=0,"",AD24)</x:f>
      </x:c>
      <x:c r="BR24" s="73" t="str">
        <x:f>IF(C24="xiaohongshu",IF(COUNT(BA24,BB24)=2,AVERAGE(BA24,BB24),IF(COUNT(BA24)=1,BA24,BB24)),BK24)</x:f>
      </x:c>
      <x:c r="BS24" s="73" t="str">
        <x:f>IF(C24="xiaohongshu",BE24,BH24)</x:f>
      </x:c>
      <x:c r="BT24" s="73" t="str">
        <x:f>IF(C24="xiaohongshu",IF(I24="save",BA24,IF(I24="discussion",BE24,IF(I24="profile_visit",BC24,IF(I24="dm",BD24,IF(OR(I24="product_question",I24="trial_intent"),BF24,""))))),IF(I24="save",BK24,IF(I24="discussion",BH24,IF(OR(I24="profile_visit",I24="dm"),BI24,IF(I24="link_click",BJ24,IF(OR(I24="product_question",I24="trial_intent"),BL24,""))))))</x:f>
      </x:c>
      <x:c r="BU24" s="73" t="str">
        <x:f>IF(C24="xiaohongshu",BF24,BL24)</x:f>
      </x:c>
      <x:c r="BV24" s="65" t="str">
        <x:f>IF(COUNT(BQ24,AV24)&lt;2,"unknown",IF(BQ24/AV24-1&gt;=0.2,"high",IF(BQ24/AV24-1&lt;=-0.2,"low","normal")))</x:f>
        <x:v>unknown</x:v>
      </x:c>
      <x:c r="BW24" s="65" t="str">
        <x:f>IF(COUNT(BR24,AW24)&lt;2,"unknown",IF(BR24/AW24-1&gt;=0.2,"high",IF(BR24/AW24-1&lt;=-0.2,"low","normal")))</x:f>
        <x:v>unknown</x:v>
      </x:c>
      <x:c r="BX24" s="65" t="str">
        <x:f>IF(COUNT(BS24,AX24)&lt;2,"unknown",IF(BS24/AX24-1&gt;=0.2,"high",IF(BS24/AX24-1&lt;=-0.2,"low","normal")))</x:f>
        <x:v>unknown</x:v>
      </x:c>
      <x:c r="BY24" s="65" t="str">
        <x:f>IF(COUNT(BT24,AY24)&lt;2,"unknown",IF(BT24/AY24-1&gt;=0.2,"high",IF(BT24/AY24-1&lt;=-0.2,"low","normal")))</x:f>
        <x:v>unknown</x:v>
      </x:c>
      <x:c r="BZ24" s="65" t="str">
        <x:f>IF(COUNT(BU24,AZ24)&lt;2,"unknown",IF(BU24/AZ24-1&gt;=0.2,"high",IF(BU24/AZ24-1&lt;=-0.2,"low","normal")))</x:f>
        <x:v>unknown</x:v>
      </x:c>
      <x:c r="CA24" s="65" t="str">
        <x:f>IF(T24&lt;&gt;"complete","pending",IF(OR(L24&lt;&gt;"pure",U24="true",COUNT(BM24,AT24)&lt;2,AND(AC24&lt;&gt;"",COUNT(BO24,AU24)&lt;2)),"not_attributable","attributable"))</x:f>
        <x:v>pending</x:v>
      </x:c>
      <x:c r="CB24" s="65" t="str">
        <x:f>IF(T24&lt;&gt;"complete","not_evaluated",IF(COUNT(BM24,AT24)&lt;2,"insufficient_data",IF(AND(AC24&lt;&gt;"",COUNT(BP24)=1,BP24&lt;=-0.2),"guardrail_fail",IF(AND(CA24="not_attributable",OR(BV24="high",BN24&gt;=0.2)),"watchlist",IF(CA24&lt;&gt;"attributable","insufficient_data",IF(BN24&gt;=0.2,"win",IF(BN24&lt;=-0.2,"loss","inconclusive")))))))</x:f>
        <x:v>not_evaluated</x:v>
      </x:c>
      <x:c r="CC24" s="65" t="str">
        <x:f>IF(T24&lt;&gt;"complete","COLLECT_MORE_DATA",IF(COUNT(BM24,AT24)&lt;2,"FIX_TRACKING",IF(CB24="guardrail_fail","STOP_VARIANT_GUARDRAIL",IF(CB24="watchlist","WATCHLIST_ONLY",IF(AND(BV24="high",BY24="low"),"KEEP_HOOK_REWRITE_CTA",IF(AND(BW24="high",BX24="low"),"KEEP_STRUCTURE_CHANGE_DISCUSSION_ANGLE",IF(AND(BX24="high",BZ24="low"),"DOWNWEIGHT_TEMPLATE",IF(CB24="win","RETEST_WINNER",IF(CB24="loss","RETURN_TO_BASELINE","COLLECT_MORE_DATA")))))))))</x:f>
        <x:v>COLLECT_MORE_DATA</x:v>
      </x:c>
      <x:c r="CD24" s="75"/>
    </x:row>
    <x:row r="25">
      <x:c r="A25" s="68"/>
      <x:c r="B25" s="69"/>
      <x:c r="C25" s="68"/>
      <x:c r="D25" s="68"/>
      <x:c r="E25" s="68"/>
      <x:c r="F25" s="68"/>
      <x:c r="G25" s="68"/>
      <x:c r="H25" s="70"/>
      <x:c r="I25" s="68"/>
      <x:c r="J25" s="68"/>
      <x:c r="K25" s="68"/>
      <x:c r="L25" s="71" t="str">
        <x:f>IF(K25="","unknown",IF(K25=0,"baseline",IF(K25=1,"pure","mixed")))</x:f>
        <x:v>unknown</x:v>
      </x:c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  <x:c r="AA25" s="68"/>
      <x:c r="AB25" s="68"/>
      <x:c r="AC25" s="68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2"/>
      <x:c r="AU25" s="72"/>
      <x:c r="AV25" s="72"/>
      <x:c r="AW25" s="72"/>
      <x:c r="AX25" s="72"/>
      <x:c r="AY25" s="72"/>
      <x:c r="AZ25" s="72"/>
      <x:c r="BA25" s="73" t="str">
        <x:f>IF(C25="xiaohongshu",IF(COUNT(AF25,AE25)&lt;2,"",IFERROR(AF25/AE25,"")),"")</x:f>
      </x:c>
      <x:c r="BB25" s="73" t="str">
        <x:f>IF(C25="xiaohongshu",IF(COUNT(AG25,AE25)&lt;2,"",IFERROR(AG25/AE25,"")),"")</x:f>
      </x:c>
      <x:c r="BC25" s="73" t="str">
        <x:f>IF(C25="xiaohongshu",IF(COUNT(AN25,AE25)&lt;2,"",IFERROR(AN25/AE25,"")),"")</x:f>
      </x:c>
      <x:c r="BD25" s="73" t="str">
        <x:f>IF(C25="xiaohongshu",IF(COUNT(AQ25,AE25)&lt;2,"",IFERROR(AQ25/AE25,"")),"")</x:f>
      </x:c>
      <x:c r="BE25" s="73" t="str">
        <x:f>IF(C25="xiaohongshu",IF(COUNT(AI25,AE25)&lt;2,"",IFERROR(AI25/AE25,"")),"")</x:f>
      </x:c>
      <x:c r="BF25" s="73" t="str">
        <x:f>IF(C25="xiaohongshu",IF(OR(COUNT(AE25)=0,COUNT(AR25,AS25)=0),"",IFERROR((AR25+AS25)/AE25,"")),"")</x:f>
      </x:c>
      <x:c r="BG25" s="73" t="str">
        <x:f>IF(C25="x",IF(COUNT(AD25)=0,"",IF(COUNT(AM25)=1,IFERROR(AM25/AD25,""),IF(COUNT(AH25,AI25,AK25,AL25)=0,"",IFERROR(SUM(AH25,AI25,AK25,AL25)/AD25,"")))),"")</x:f>
      </x:c>
      <x:c r="BH25" s="73" t="str">
        <x:f>IF(C25="x",IF(COUNT(AJ25,AD25)&lt;2,"",IFERROR(AJ25/AD25,"")),"")</x:f>
      </x:c>
      <x:c r="BI25" s="73" t="str">
        <x:f>IF(C25="x",IF(COUNT(AO25,AD25)&lt;2,"",IFERROR(AO25/AD25,"")),"")</x:f>
      </x:c>
      <x:c r="BJ25" s="73" t="str">
        <x:f>IF(C25="x",IF(COUNT(AP25,AD25)&lt;2,"",IFERROR(AP25/AD25,"")),"")</x:f>
      </x:c>
      <x:c r="BK25" s="73" t="str">
        <x:f>IF(C25="x",IF(COUNT(AL25,AD25)&lt;2,"",IFERROR(AL25/AD25,"")),"")</x:f>
      </x:c>
      <x:c r="BL25" s="73" t="str">
        <x:f>IF(C25="x",IF(OR(COUNT(AD25)=0,COUNT(AR25,AS25)=0),"",IFERROR((AR25+AS25)/AD25,"")),"")</x:f>
      </x:c>
      <x:c r="BM25" s="73" t="str">
        <x:f>IF(AB25="xhs_save_rate",BA25,IF(AB25="xhs_completion_rate",BB25,IF(AB25="xhs_profile_visit_rate",BC25,IF(AB25="xhs_dm_intent_rate",BD25,IF(AB25="xhs_discussion_rate",BE25,IF(AB25="xhs_product_relevance_rate",BF25,IF(AB25="x_first_screen_engaged_rate_proxy",BG25,IF(AB25="x_qualified_reply_rate",BH25,IF(AB25="x_profile_click_rate",BI25,IF(AB25="x_link_intent_rate",BJ25,IF(AB25="x_bookmark_rate",BK25,IF(AB25="x_product_relevance_rate",BL25,""))))))))))))</x:f>
      </x:c>
      <x:c r="BN25" s="73" t="str">
        <x:f>IFERROR(BM25/AT25-1,"")</x:f>
      </x:c>
      <x:c r="BO25" s="73" t="str">
        <x:f>IF(AC25="","",IF(AC25="xhs_save_rate",BA25,IF(AC25="xhs_completion_rate",BB25,IF(AC25="xhs_profile_visit_rate",BC25,IF(AC25="xhs_dm_intent_rate",BD25,IF(AC25="xhs_discussion_rate",BE25,IF(AC25="xhs_product_relevance_rate",BF25,IF(AC25="x_first_screen_engaged_rate_proxy",BG25,IF(AC25="x_qualified_reply_rate",BH25,IF(AC25="x_profile_click_rate",BI25,IF(AC25="x_link_intent_rate",BJ25,IF(AC25="x_bookmark_rate",BK25,IF(AC25="x_product_relevance_rate",BL25,"")))))))))))))</x:f>
      </x:c>
      <x:c r="BP25" s="73" t="str">
        <x:f>IFERROR(BO25/AU25-1,"")</x:f>
      </x:c>
      <x:c r="BQ25" s="74" t="str">
        <x:f>IF(COUNT(AD25)=0,"",AD25)</x:f>
      </x:c>
      <x:c r="BR25" s="73" t="str">
        <x:f>IF(C25="xiaohongshu",IF(COUNT(BA25,BB25)=2,AVERAGE(BA25,BB25),IF(COUNT(BA25)=1,BA25,BB25)),BK25)</x:f>
      </x:c>
      <x:c r="BS25" s="73" t="str">
        <x:f>IF(C25="xiaohongshu",BE25,BH25)</x:f>
      </x:c>
      <x:c r="BT25" s="73" t="str">
        <x:f>IF(C25="xiaohongshu",IF(I25="save",BA25,IF(I25="discussion",BE25,IF(I25="profile_visit",BC25,IF(I25="dm",BD25,IF(OR(I25="product_question",I25="trial_intent"),BF25,""))))),IF(I25="save",BK25,IF(I25="discussion",BH25,IF(OR(I25="profile_visit",I25="dm"),BI25,IF(I25="link_click",BJ25,IF(OR(I25="product_question",I25="trial_intent"),BL25,""))))))</x:f>
      </x:c>
      <x:c r="BU25" s="73" t="str">
        <x:f>IF(C25="xiaohongshu",BF25,BL25)</x:f>
      </x:c>
      <x:c r="BV25" s="65" t="str">
        <x:f>IF(COUNT(BQ25,AV25)&lt;2,"unknown",IF(BQ25/AV25-1&gt;=0.2,"high",IF(BQ25/AV25-1&lt;=-0.2,"low","normal")))</x:f>
        <x:v>unknown</x:v>
      </x:c>
      <x:c r="BW25" s="65" t="str">
        <x:f>IF(COUNT(BR25,AW25)&lt;2,"unknown",IF(BR25/AW25-1&gt;=0.2,"high",IF(BR25/AW25-1&lt;=-0.2,"low","normal")))</x:f>
        <x:v>unknown</x:v>
      </x:c>
      <x:c r="BX25" s="65" t="str">
        <x:f>IF(COUNT(BS25,AX25)&lt;2,"unknown",IF(BS25/AX25-1&gt;=0.2,"high",IF(BS25/AX25-1&lt;=-0.2,"low","normal")))</x:f>
        <x:v>unknown</x:v>
      </x:c>
      <x:c r="BY25" s="65" t="str">
        <x:f>IF(COUNT(BT25,AY25)&lt;2,"unknown",IF(BT25/AY25-1&gt;=0.2,"high",IF(BT25/AY25-1&lt;=-0.2,"low","normal")))</x:f>
        <x:v>unknown</x:v>
      </x:c>
      <x:c r="BZ25" s="65" t="str">
        <x:f>IF(COUNT(BU25,AZ25)&lt;2,"unknown",IF(BU25/AZ25-1&gt;=0.2,"high",IF(BU25/AZ25-1&lt;=-0.2,"low","normal")))</x:f>
        <x:v>unknown</x:v>
      </x:c>
      <x:c r="CA25" s="65" t="str">
        <x:f>IF(T25&lt;&gt;"complete","pending",IF(OR(L25&lt;&gt;"pure",U25="true",COUNT(BM25,AT25)&lt;2,AND(AC25&lt;&gt;"",COUNT(BO25,AU25)&lt;2)),"not_attributable","attributable"))</x:f>
        <x:v>pending</x:v>
      </x:c>
      <x:c r="CB25" s="65" t="str">
        <x:f>IF(T25&lt;&gt;"complete","not_evaluated",IF(COUNT(BM25,AT25)&lt;2,"insufficient_data",IF(AND(AC25&lt;&gt;"",COUNT(BP25)=1,BP25&lt;=-0.2),"guardrail_fail",IF(AND(CA25="not_attributable",OR(BV25="high",BN25&gt;=0.2)),"watchlist",IF(CA25&lt;&gt;"attributable","insufficient_data",IF(BN25&gt;=0.2,"win",IF(BN25&lt;=-0.2,"loss","inconclusive")))))))</x:f>
        <x:v>not_evaluated</x:v>
      </x:c>
      <x:c r="CC25" s="65" t="str">
        <x:f>IF(T25&lt;&gt;"complete","COLLECT_MORE_DATA",IF(COUNT(BM25,AT25)&lt;2,"FIX_TRACKING",IF(CB25="guardrail_fail","STOP_VARIANT_GUARDRAIL",IF(CB25="watchlist","WATCHLIST_ONLY",IF(AND(BV25="high",BY25="low"),"KEEP_HOOK_REWRITE_CTA",IF(AND(BW25="high",BX25="low"),"KEEP_STRUCTURE_CHANGE_DISCUSSION_ANGLE",IF(AND(BX25="high",BZ25="low"),"DOWNWEIGHT_TEMPLATE",IF(CB25="win","RETEST_WINNER",IF(CB25="loss","RETURN_TO_BASELINE","COLLECT_MORE_DATA")))))))))</x:f>
        <x:v>COLLECT_MORE_DATA</x:v>
      </x:c>
      <x:c r="CD25" s="75"/>
    </x:row>
    <x:row r="26">
      <x:c r="A26" s="68"/>
      <x:c r="B26" s="69"/>
      <x:c r="C26" s="68"/>
      <x:c r="D26" s="68"/>
      <x:c r="E26" s="68"/>
      <x:c r="F26" s="68"/>
      <x:c r="G26" s="68"/>
      <x:c r="H26" s="70"/>
      <x:c r="I26" s="68"/>
      <x:c r="J26" s="68"/>
      <x:c r="K26" s="68"/>
      <x:c r="L26" s="71" t="str">
        <x:f>IF(K26="","unknown",IF(K26=0,"baseline",IF(K26=1,"pure","mixed")))</x:f>
        <x:v>unknown</x:v>
      </x:c>
      <x:c r="M26" s="68"/>
      <x:c r="N26" s="68"/>
      <x:c r="O26" s="68"/>
      <x:c r="P26" s="68"/>
      <x:c r="Q26" s="68"/>
      <x:c r="R26" s="68"/>
      <x:c r="S26" s="68"/>
      <x:c r="T26" s="68"/>
      <x:c r="U26" s="68"/>
      <x:c r="V26" s="68"/>
      <x:c r="W26" s="68"/>
      <x:c r="X26" s="68"/>
      <x:c r="Y26" s="68"/>
      <x:c r="Z26" s="68"/>
      <x:c r="AA26" s="68"/>
      <x:c r="AB26" s="68"/>
      <x:c r="AC26" s="68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2"/>
      <x:c r="AU26" s="72"/>
      <x:c r="AV26" s="72"/>
      <x:c r="AW26" s="72"/>
      <x:c r="AX26" s="72"/>
      <x:c r="AY26" s="72"/>
      <x:c r="AZ26" s="72"/>
      <x:c r="BA26" s="73" t="str">
        <x:f>IF(C26="xiaohongshu",IF(COUNT(AF26,AE26)&lt;2,"",IFERROR(AF26/AE26,"")),"")</x:f>
      </x:c>
      <x:c r="BB26" s="73" t="str">
        <x:f>IF(C26="xiaohongshu",IF(COUNT(AG26,AE26)&lt;2,"",IFERROR(AG26/AE26,"")),"")</x:f>
      </x:c>
      <x:c r="BC26" s="73" t="str">
        <x:f>IF(C26="xiaohongshu",IF(COUNT(AN26,AE26)&lt;2,"",IFERROR(AN26/AE26,"")),"")</x:f>
      </x:c>
      <x:c r="BD26" s="73" t="str">
        <x:f>IF(C26="xiaohongshu",IF(COUNT(AQ26,AE26)&lt;2,"",IFERROR(AQ26/AE26,"")),"")</x:f>
      </x:c>
      <x:c r="BE26" s="73" t="str">
        <x:f>IF(C26="xiaohongshu",IF(COUNT(AI26,AE26)&lt;2,"",IFERROR(AI26/AE26,"")),"")</x:f>
      </x:c>
      <x:c r="BF26" s="73" t="str">
        <x:f>IF(C26="xiaohongshu",IF(OR(COUNT(AE26)=0,COUNT(AR26,AS26)=0),"",IFERROR((AR26+AS26)/AE26,"")),"")</x:f>
      </x:c>
      <x:c r="BG26" s="73" t="str">
        <x:f>IF(C26="x",IF(COUNT(AD26)=0,"",IF(COUNT(AM26)=1,IFERROR(AM26/AD26,""),IF(COUNT(AH26,AI26,AK26,AL26)=0,"",IFERROR(SUM(AH26,AI26,AK26,AL26)/AD26,"")))),"")</x:f>
      </x:c>
      <x:c r="BH26" s="73" t="str">
        <x:f>IF(C26="x",IF(COUNT(AJ26,AD26)&lt;2,"",IFERROR(AJ26/AD26,"")),"")</x:f>
      </x:c>
      <x:c r="BI26" s="73" t="str">
        <x:f>IF(C26="x",IF(COUNT(AO26,AD26)&lt;2,"",IFERROR(AO26/AD26,"")),"")</x:f>
      </x:c>
      <x:c r="BJ26" s="73" t="str">
        <x:f>IF(C26="x",IF(COUNT(AP26,AD26)&lt;2,"",IFERROR(AP26/AD26,"")),"")</x:f>
      </x:c>
      <x:c r="BK26" s="73" t="str">
        <x:f>IF(C26="x",IF(COUNT(AL26,AD26)&lt;2,"",IFERROR(AL26/AD26,"")),"")</x:f>
      </x:c>
      <x:c r="BL26" s="73" t="str">
        <x:f>IF(C26="x",IF(OR(COUNT(AD26)=0,COUNT(AR26,AS26)=0),"",IFERROR((AR26+AS26)/AD26,"")),"")</x:f>
      </x:c>
      <x:c r="BM26" s="73" t="str">
        <x:f>IF(AB26="xhs_save_rate",BA26,IF(AB26="xhs_completion_rate",BB26,IF(AB26="xhs_profile_visit_rate",BC26,IF(AB26="xhs_dm_intent_rate",BD26,IF(AB26="xhs_discussion_rate",BE26,IF(AB26="xhs_product_relevance_rate",BF26,IF(AB26="x_first_screen_engaged_rate_proxy",BG26,IF(AB26="x_qualified_reply_rate",BH26,IF(AB26="x_profile_click_rate",BI26,IF(AB26="x_link_intent_rate",BJ26,IF(AB26="x_bookmark_rate",BK26,IF(AB26="x_product_relevance_rate",BL26,""))))))))))))</x:f>
      </x:c>
      <x:c r="BN26" s="73" t="str">
        <x:f>IFERROR(BM26/AT26-1,"")</x:f>
      </x:c>
      <x:c r="BO26" s="73" t="str">
        <x:f>IF(AC26="","",IF(AC26="xhs_save_rate",BA26,IF(AC26="xhs_completion_rate",BB26,IF(AC26="xhs_profile_visit_rate",BC26,IF(AC26="xhs_dm_intent_rate",BD26,IF(AC26="xhs_discussion_rate",BE26,IF(AC26="xhs_product_relevance_rate",BF26,IF(AC26="x_first_screen_engaged_rate_proxy",BG26,IF(AC26="x_qualified_reply_rate",BH26,IF(AC26="x_profile_click_rate",BI26,IF(AC26="x_link_intent_rate",BJ26,IF(AC26="x_bookmark_rate",BK26,IF(AC26="x_product_relevance_rate",BL26,"")))))))))))))</x:f>
      </x:c>
      <x:c r="BP26" s="73" t="str">
        <x:f>IFERROR(BO26/AU26-1,"")</x:f>
      </x:c>
      <x:c r="BQ26" s="74" t="str">
        <x:f>IF(COUNT(AD26)=0,"",AD26)</x:f>
      </x:c>
      <x:c r="BR26" s="73" t="str">
        <x:f>IF(C26="xiaohongshu",IF(COUNT(BA26,BB26)=2,AVERAGE(BA26,BB26),IF(COUNT(BA26)=1,BA26,BB26)),BK26)</x:f>
      </x:c>
      <x:c r="BS26" s="73" t="str">
        <x:f>IF(C26="xiaohongshu",BE26,BH26)</x:f>
      </x:c>
      <x:c r="BT26" s="73" t="str">
        <x:f>IF(C26="xiaohongshu",IF(I26="save",BA26,IF(I26="discussion",BE26,IF(I26="profile_visit",BC26,IF(I26="dm",BD26,IF(OR(I26="product_question",I26="trial_intent"),BF26,""))))),IF(I26="save",BK26,IF(I26="discussion",BH26,IF(OR(I26="profile_visit",I26="dm"),BI26,IF(I26="link_click",BJ26,IF(OR(I26="product_question",I26="trial_intent"),BL26,""))))))</x:f>
      </x:c>
      <x:c r="BU26" s="73" t="str">
        <x:f>IF(C26="xiaohongshu",BF26,BL26)</x:f>
      </x:c>
      <x:c r="BV26" s="65" t="str">
        <x:f>IF(COUNT(BQ26,AV26)&lt;2,"unknown",IF(BQ26/AV26-1&gt;=0.2,"high",IF(BQ26/AV26-1&lt;=-0.2,"low","normal")))</x:f>
        <x:v>unknown</x:v>
      </x:c>
      <x:c r="BW26" s="65" t="str">
        <x:f>IF(COUNT(BR26,AW26)&lt;2,"unknown",IF(BR26/AW26-1&gt;=0.2,"high",IF(BR26/AW26-1&lt;=-0.2,"low","normal")))</x:f>
        <x:v>unknown</x:v>
      </x:c>
      <x:c r="BX26" s="65" t="str">
        <x:f>IF(COUNT(BS26,AX26)&lt;2,"unknown",IF(BS26/AX26-1&gt;=0.2,"high",IF(BS26/AX26-1&lt;=-0.2,"low","normal")))</x:f>
        <x:v>unknown</x:v>
      </x:c>
      <x:c r="BY26" s="65" t="str">
        <x:f>IF(COUNT(BT26,AY26)&lt;2,"unknown",IF(BT26/AY26-1&gt;=0.2,"high",IF(BT26/AY26-1&lt;=-0.2,"low","normal")))</x:f>
        <x:v>unknown</x:v>
      </x:c>
      <x:c r="BZ26" s="65" t="str">
        <x:f>IF(COUNT(BU26,AZ26)&lt;2,"unknown",IF(BU26/AZ26-1&gt;=0.2,"high",IF(BU26/AZ26-1&lt;=-0.2,"low","normal")))</x:f>
        <x:v>unknown</x:v>
      </x:c>
      <x:c r="CA26" s="65" t="str">
        <x:f>IF(T26&lt;&gt;"complete","pending",IF(OR(L26&lt;&gt;"pure",U26="true",COUNT(BM26,AT26)&lt;2,AND(AC26&lt;&gt;"",COUNT(BO26,AU26)&lt;2)),"not_attributable","attributable"))</x:f>
        <x:v>pending</x:v>
      </x:c>
      <x:c r="CB26" s="65" t="str">
        <x:f>IF(T26&lt;&gt;"complete","not_evaluated",IF(COUNT(BM26,AT26)&lt;2,"insufficient_data",IF(AND(AC26&lt;&gt;"",COUNT(BP26)=1,BP26&lt;=-0.2),"guardrail_fail",IF(AND(CA26="not_attributable",OR(BV26="high",BN26&gt;=0.2)),"watchlist",IF(CA26&lt;&gt;"attributable","insufficient_data",IF(BN26&gt;=0.2,"win",IF(BN26&lt;=-0.2,"loss","inconclusive")))))))</x:f>
        <x:v>not_evaluated</x:v>
      </x:c>
      <x:c r="CC26" s="65" t="str">
        <x:f>IF(T26&lt;&gt;"complete","COLLECT_MORE_DATA",IF(COUNT(BM26,AT26)&lt;2,"FIX_TRACKING",IF(CB26="guardrail_fail","STOP_VARIANT_GUARDRAIL",IF(CB26="watchlist","WATCHLIST_ONLY",IF(AND(BV26="high",BY26="low"),"KEEP_HOOK_REWRITE_CTA",IF(AND(BW26="high",BX26="low"),"KEEP_STRUCTURE_CHANGE_DISCUSSION_ANGLE",IF(AND(BX26="high",BZ26="low"),"DOWNWEIGHT_TEMPLATE",IF(CB26="win","RETEST_WINNER",IF(CB26="loss","RETURN_TO_BASELINE","COLLECT_MORE_DATA")))))))))</x:f>
        <x:v>COLLECT_MORE_DATA</x:v>
      </x:c>
      <x:c r="CD26" s="75"/>
    </x:row>
    <x:row r="27">
      <x:c r="A27" s="68"/>
      <x:c r="B27" s="69"/>
      <x:c r="C27" s="68"/>
      <x:c r="D27" s="68"/>
      <x:c r="E27" s="68"/>
      <x:c r="F27" s="68"/>
      <x:c r="G27" s="68"/>
      <x:c r="H27" s="70"/>
      <x:c r="I27" s="68"/>
      <x:c r="J27" s="68"/>
      <x:c r="K27" s="68"/>
      <x:c r="L27" s="71" t="str">
        <x:f>IF(K27="","unknown",IF(K27=0,"baseline",IF(K27=1,"pure","mixed")))</x:f>
        <x:v>unknown</x:v>
      </x:c>
      <x:c r="M27" s="68"/>
      <x:c r="N27" s="68"/>
      <x:c r="O27" s="68"/>
      <x:c r="P27" s="68"/>
      <x:c r="Q27" s="68"/>
      <x:c r="R27" s="68"/>
      <x:c r="S27" s="68"/>
      <x:c r="T27" s="68"/>
      <x:c r="U27" s="68"/>
      <x:c r="V27" s="68"/>
      <x:c r="W27" s="68"/>
      <x:c r="X27" s="68"/>
      <x:c r="Y27" s="68"/>
      <x:c r="Z27" s="68"/>
      <x:c r="AA27" s="68"/>
      <x:c r="AB27" s="68"/>
      <x:c r="AC27" s="68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2"/>
      <x:c r="AU27" s="72"/>
      <x:c r="AV27" s="72"/>
      <x:c r="AW27" s="72"/>
      <x:c r="AX27" s="72"/>
      <x:c r="AY27" s="72"/>
      <x:c r="AZ27" s="72"/>
      <x:c r="BA27" s="73" t="str">
        <x:f>IF(C27="xiaohongshu",IF(COUNT(AF27,AE27)&lt;2,"",IFERROR(AF27/AE27,"")),"")</x:f>
      </x:c>
      <x:c r="BB27" s="73" t="str">
        <x:f>IF(C27="xiaohongshu",IF(COUNT(AG27,AE27)&lt;2,"",IFERROR(AG27/AE27,"")),"")</x:f>
      </x:c>
      <x:c r="BC27" s="73" t="str">
        <x:f>IF(C27="xiaohongshu",IF(COUNT(AN27,AE27)&lt;2,"",IFERROR(AN27/AE27,"")),"")</x:f>
      </x:c>
      <x:c r="BD27" s="73" t="str">
        <x:f>IF(C27="xiaohongshu",IF(COUNT(AQ27,AE27)&lt;2,"",IFERROR(AQ27/AE27,"")),"")</x:f>
      </x:c>
      <x:c r="BE27" s="73" t="str">
        <x:f>IF(C27="xiaohongshu",IF(COUNT(AI27,AE27)&lt;2,"",IFERROR(AI27/AE27,"")),"")</x:f>
      </x:c>
      <x:c r="BF27" s="73" t="str">
        <x:f>IF(C27="xiaohongshu",IF(OR(COUNT(AE27)=0,COUNT(AR27,AS27)=0),"",IFERROR((AR27+AS27)/AE27,"")),"")</x:f>
      </x:c>
      <x:c r="BG27" s="73" t="str">
        <x:f>IF(C27="x",IF(COUNT(AD27)=0,"",IF(COUNT(AM27)=1,IFERROR(AM27/AD27,""),IF(COUNT(AH27,AI27,AK27,AL27)=0,"",IFERROR(SUM(AH27,AI27,AK27,AL27)/AD27,"")))),"")</x:f>
      </x:c>
      <x:c r="BH27" s="73" t="str">
        <x:f>IF(C27="x",IF(COUNT(AJ27,AD27)&lt;2,"",IFERROR(AJ27/AD27,"")),"")</x:f>
      </x:c>
      <x:c r="BI27" s="73" t="str">
        <x:f>IF(C27="x",IF(COUNT(AO27,AD27)&lt;2,"",IFERROR(AO27/AD27,"")),"")</x:f>
      </x:c>
      <x:c r="BJ27" s="73" t="str">
        <x:f>IF(C27="x",IF(COUNT(AP27,AD27)&lt;2,"",IFERROR(AP27/AD27,"")),"")</x:f>
      </x:c>
      <x:c r="BK27" s="73" t="str">
        <x:f>IF(C27="x",IF(COUNT(AL27,AD27)&lt;2,"",IFERROR(AL27/AD27,"")),"")</x:f>
      </x:c>
      <x:c r="BL27" s="73" t="str">
        <x:f>IF(C27="x",IF(OR(COUNT(AD27)=0,COUNT(AR27,AS27)=0),"",IFERROR((AR27+AS27)/AD27,"")),"")</x:f>
      </x:c>
      <x:c r="BM27" s="73" t="str">
        <x:f>IF(AB27="xhs_save_rate",BA27,IF(AB27="xhs_completion_rate",BB27,IF(AB27="xhs_profile_visit_rate",BC27,IF(AB27="xhs_dm_intent_rate",BD27,IF(AB27="xhs_discussion_rate",BE27,IF(AB27="xhs_product_relevance_rate",BF27,IF(AB27="x_first_screen_engaged_rate_proxy",BG27,IF(AB27="x_qualified_reply_rate",BH27,IF(AB27="x_profile_click_rate",BI27,IF(AB27="x_link_intent_rate",BJ27,IF(AB27="x_bookmark_rate",BK27,IF(AB27="x_product_relevance_rate",BL27,""))))))))))))</x:f>
      </x:c>
      <x:c r="BN27" s="73" t="str">
        <x:f>IFERROR(BM27/AT27-1,"")</x:f>
      </x:c>
      <x:c r="BO27" s="73" t="str">
        <x:f>IF(AC27="","",IF(AC27="xhs_save_rate",BA27,IF(AC27="xhs_completion_rate",BB27,IF(AC27="xhs_profile_visit_rate",BC27,IF(AC27="xhs_dm_intent_rate",BD27,IF(AC27="xhs_discussion_rate",BE27,IF(AC27="xhs_product_relevance_rate",BF27,IF(AC27="x_first_screen_engaged_rate_proxy",BG27,IF(AC27="x_qualified_reply_rate",BH27,IF(AC27="x_profile_click_rate",BI27,IF(AC27="x_link_intent_rate",BJ27,IF(AC27="x_bookmark_rate",BK27,IF(AC27="x_product_relevance_rate",BL27,"")))))))))))))</x:f>
      </x:c>
      <x:c r="BP27" s="73" t="str">
        <x:f>IFERROR(BO27/AU27-1,"")</x:f>
      </x:c>
      <x:c r="BQ27" s="74" t="str">
        <x:f>IF(COUNT(AD27)=0,"",AD27)</x:f>
      </x:c>
      <x:c r="BR27" s="73" t="str">
        <x:f>IF(C27="xiaohongshu",IF(COUNT(BA27,BB27)=2,AVERAGE(BA27,BB27),IF(COUNT(BA27)=1,BA27,BB27)),BK27)</x:f>
      </x:c>
      <x:c r="BS27" s="73" t="str">
        <x:f>IF(C27="xiaohongshu",BE27,BH27)</x:f>
      </x:c>
      <x:c r="BT27" s="73" t="str">
        <x:f>IF(C27="xiaohongshu",IF(I27="save",BA27,IF(I27="discussion",BE27,IF(I27="profile_visit",BC27,IF(I27="dm",BD27,IF(OR(I27="product_question",I27="trial_intent"),BF27,""))))),IF(I27="save",BK27,IF(I27="discussion",BH27,IF(OR(I27="profile_visit",I27="dm"),BI27,IF(I27="link_click",BJ27,IF(OR(I27="product_question",I27="trial_intent"),BL27,""))))))</x:f>
      </x:c>
      <x:c r="BU27" s="73" t="str">
        <x:f>IF(C27="xiaohongshu",BF27,BL27)</x:f>
      </x:c>
      <x:c r="BV27" s="65" t="str">
        <x:f>IF(COUNT(BQ27,AV27)&lt;2,"unknown",IF(BQ27/AV27-1&gt;=0.2,"high",IF(BQ27/AV27-1&lt;=-0.2,"low","normal")))</x:f>
        <x:v>unknown</x:v>
      </x:c>
      <x:c r="BW27" s="65" t="str">
        <x:f>IF(COUNT(BR27,AW27)&lt;2,"unknown",IF(BR27/AW27-1&gt;=0.2,"high",IF(BR27/AW27-1&lt;=-0.2,"low","normal")))</x:f>
        <x:v>unknown</x:v>
      </x:c>
      <x:c r="BX27" s="65" t="str">
        <x:f>IF(COUNT(BS27,AX27)&lt;2,"unknown",IF(BS27/AX27-1&gt;=0.2,"high",IF(BS27/AX27-1&lt;=-0.2,"low","normal")))</x:f>
        <x:v>unknown</x:v>
      </x:c>
      <x:c r="BY27" s="65" t="str">
        <x:f>IF(COUNT(BT27,AY27)&lt;2,"unknown",IF(BT27/AY27-1&gt;=0.2,"high",IF(BT27/AY27-1&lt;=-0.2,"low","normal")))</x:f>
        <x:v>unknown</x:v>
      </x:c>
      <x:c r="BZ27" s="65" t="str">
        <x:f>IF(COUNT(BU27,AZ27)&lt;2,"unknown",IF(BU27/AZ27-1&gt;=0.2,"high",IF(BU27/AZ27-1&lt;=-0.2,"low","normal")))</x:f>
        <x:v>unknown</x:v>
      </x:c>
      <x:c r="CA27" s="65" t="str">
        <x:f>IF(T27&lt;&gt;"complete","pending",IF(OR(L27&lt;&gt;"pure",U27="true",COUNT(BM27,AT27)&lt;2,AND(AC27&lt;&gt;"",COUNT(BO27,AU27)&lt;2)),"not_attributable","attributable"))</x:f>
        <x:v>pending</x:v>
      </x:c>
      <x:c r="CB27" s="65" t="str">
        <x:f>IF(T27&lt;&gt;"complete","not_evaluated",IF(COUNT(BM27,AT27)&lt;2,"insufficient_data",IF(AND(AC27&lt;&gt;"",COUNT(BP27)=1,BP27&lt;=-0.2),"guardrail_fail",IF(AND(CA27="not_attributable",OR(BV27="high",BN27&gt;=0.2)),"watchlist",IF(CA27&lt;&gt;"attributable","insufficient_data",IF(BN27&gt;=0.2,"win",IF(BN27&lt;=-0.2,"loss","inconclusive")))))))</x:f>
        <x:v>not_evaluated</x:v>
      </x:c>
      <x:c r="CC27" s="65" t="str">
        <x:f>IF(T27&lt;&gt;"complete","COLLECT_MORE_DATA",IF(COUNT(BM27,AT27)&lt;2,"FIX_TRACKING",IF(CB27="guardrail_fail","STOP_VARIANT_GUARDRAIL",IF(CB27="watchlist","WATCHLIST_ONLY",IF(AND(BV27="high",BY27="low"),"KEEP_HOOK_REWRITE_CTA",IF(AND(BW27="high",BX27="low"),"KEEP_STRUCTURE_CHANGE_DISCUSSION_ANGLE",IF(AND(BX27="high",BZ27="low"),"DOWNWEIGHT_TEMPLATE",IF(CB27="win","RETEST_WINNER",IF(CB27="loss","RETURN_TO_BASELINE","COLLECT_MORE_DATA")))))))))</x:f>
        <x:v>COLLECT_MORE_DATA</x:v>
      </x:c>
      <x:c r="CD27" s="75"/>
    </x:row>
    <x:row r="28">
      <x:c r="A28" s="68"/>
      <x:c r="B28" s="69"/>
      <x:c r="C28" s="68"/>
      <x:c r="D28" s="68"/>
      <x:c r="E28" s="68"/>
      <x:c r="F28" s="68"/>
      <x:c r="G28" s="68"/>
      <x:c r="H28" s="70"/>
      <x:c r="I28" s="68"/>
      <x:c r="J28" s="68"/>
      <x:c r="K28" s="68"/>
      <x:c r="L28" s="71" t="str">
        <x:f>IF(K28="","unknown",IF(K28=0,"baseline",IF(K28=1,"pure","mixed")))</x:f>
        <x:v>unknown</x:v>
      </x:c>
      <x:c r="M28" s="68"/>
      <x:c r="N28" s="68"/>
      <x:c r="O28" s="68"/>
      <x:c r="P28" s="68"/>
      <x:c r="Q28" s="68"/>
      <x:c r="R28" s="68"/>
      <x:c r="S28" s="68"/>
      <x:c r="T28" s="68"/>
      <x:c r="U28" s="68"/>
      <x:c r="V28" s="68"/>
      <x:c r="W28" s="68"/>
      <x:c r="X28" s="68"/>
      <x:c r="Y28" s="68"/>
      <x:c r="Z28" s="68"/>
      <x:c r="AA28" s="68"/>
      <x:c r="AB28" s="68"/>
      <x:c r="AC28" s="68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2"/>
      <x:c r="AU28" s="72"/>
      <x:c r="AV28" s="72"/>
      <x:c r="AW28" s="72"/>
      <x:c r="AX28" s="72"/>
      <x:c r="AY28" s="72"/>
      <x:c r="AZ28" s="72"/>
      <x:c r="BA28" s="73" t="str">
        <x:f>IF(C28="xiaohongshu",IF(COUNT(AF28,AE28)&lt;2,"",IFERROR(AF28/AE28,"")),"")</x:f>
      </x:c>
      <x:c r="BB28" s="73" t="str">
        <x:f>IF(C28="xiaohongshu",IF(COUNT(AG28,AE28)&lt;2,"",IFERROR(AG28/AE28,"")),"")</x:f>
      </x:c>
      <x:c r="BC28" s="73" t="str">
        <x:f>IF(C28="xiaohongshu",IF(COUNT(AN28,AE28)&lt;2,"",IFERROR(AN28/AE28,"")),"")</x:f>
      </x:c>
      <x:c r="BD28" s="73" t="str">
        <x:f>IF(C28="xiaohongshu",IF(COUNT(AQ28,AE28)&lt;2,"",IFERROR(AQ28/AE28,"")),"")</x:f>
      </x:c>
      <x:c r="BE28" s="73" t="str">
        <x:f>IF(C28="xiaohongshu",IF(COUNT(AI28,AE28)&lt;2,"",IFERROR(AI28/AE28,"")),"")</x:f>
      </x:c>
      <x:c r="BF28" s="73" t="str">
        <x:f>IF(C28="xiaohongshu",IF(OR(COUNT(AE28)=0,COUNT(AR28,AS28)=0),"",IFERROR((AR28+AS28)/AE28,"")),"")</x:f>
      </x:c>
      <x:c r="BG28" s="73" t="str">
        <x:f>IF(C28="x",IF(COUNT(AD28)=0,"",IF(COUNT(AM28)=1,IFERROR(AM28/AD28,""),IF(COUNT(AH28,AI28,AK28,AL28)=0,"",IFERROR(SUM(AH28,AI28,AK28,AL28)/AD28,"")))),"")</x:f>
      </x:c>
      <x:c r="BH28" s="73" t="str">
        <x:f>IF(C28="x",IF(COUNT(AJ28,AD28)&lt;2,"",IFERROR(AJ28/AD28,"")),"")</x:f>
      </x:c>
      <x:c r="BI28" s="73" t="str">
        <x:f>IF(C28="x",IF(COUNT(AO28,AD28)&lt;2,"",IFERROR(AO28/AD28,"")),"")</x:f>
      </x:c>
      <x:c r="BJ28" s="73" t="str">
        <x:f>IF(C28="x",IF(COUNT(AP28,AD28)&lt;2,"",IFERROR(AP28/AD28,"")),"")</x:f>
      </x:c>
      <x:c r="BK28" s="73" t="str">
        <x:f>IF(C28="x",IF(COUNT(AL28,AD28)&lt;2,"",IFERROR(AL28/AD28,"")),"")</x:f>
      </x:c>
      <x:c r="BL28" s="73" t="str">
        <x:f>IF(C28="x",IF(OR(COUNT(AD28)=0,COUNT(AR28,AS28)=0),"",IFERROR((AR28+AS28)/AD28,"")),"")</x:f>
      </x:c>
      <x:c r="BM28" s="73" t="str">
        <x:f>IF(AB28="xhs_save_rate",BA28,IF(AB28="xhs_completion_rate",BB28,IF(AB28="xhs_profile_visit_rate",BC28,IF(AB28="xhs_dm_intent_rate",BD28,IF(AB28="xhs_discussion_rate",BE28,IF(AB28="xhs_product_relevance_rate",BF28,IF(AB28="x_first_screen_engaged_rate_proxy",BG28,IF(AB28="x_qualified_reply_rate",BH28,IF(AB28="x_profile_click_rate",BI28,IF(AB28="x_link_intent_rate",BJ28,IF(AB28="x_bookmark_rate",BK28,IF(AB28="x_product_relevance_rate",BL28,""))))))))))))</x:f>
      </x:c>
      <x:c r="BN28" s="73" t="str">
        <x:f>IFERROR(BM28/AT28-1,"")</x:f>
      </x:c>
      <x:c r="BO28" s="73" t="str">
        <x:f>IF(AC28="","",IF(AC28="xhs_save_rate",BA28,IF(AC28="xhs_completion_rate",BB28,IF(AC28="xhs_profile_visit_rate",BC28,IF(AC28="xhs_dm_intent_rate",BD28,IF(AC28="xhs_discussion_rate",BE28,IF(AC28="xhs_product_relevance_rate",BF28,IF(AC28="x_first_screen_engaged_rate_proxy",BG28,IF(AC28="x_qualified_reply_rate",BH28,IF(AC28="x_profile_click_rate",BI28,IF(AC28="x_link_intent_rate",BJ28,IF(AC28="x_bookmark_rate",BK28,IF(AC28="x_product_relevance_rate",BL28,"")))))))))))))</x:f>
      </x:c>
      <x:c r="BP28" s="73" t="str">
        <x:f>IFERROR(BO28/AU28-1,"")</x:f>
      </x:c>
      <x:c r="BQ28" s="74" t="str">
        <x:f>IF(COUNT(AD28)=0,"",AD28)</x:f>
      </x:c>
      <x:c r="BR28" s="73" t="str">
        <x:f>IF(C28="xiaohongshu",IF(COUNT(BA28,BB28)=2,AVERAGE(BA28,BB28),IF(COUNT(BA28)=1,BA28,BB28)),BK28)</x:f>
      </x:c>
      <x:c r="BS28" s="73" t="str">
        <x:f>IF(C28="xiaohongshu",BE28,BH28)</x:f>
      </x:c>
      <x:c r="BT28" s="73" t="str">
        <x:f>IF(C28="xiaohongshu",IF(I28="save",BA28,IF(I28="discussion",BE28,IF(I28="profile_visit",BC28,IF(I28="dm",BD28,IF(OR(I28="product_question",I28="trial_intent"),BF28,""))))),IF(I28="save",BK28,IF(I28="discussion",BH28,IF(OR(I28="profile_visit",I28="dm"),BI28,IF(I28="link_click",BJ28,IF(OR(I28="product_question",I28="trial_intent"),BL28,""))))))</x:f>
      </x:c>
      <x:c r="BU28" s="73" t="str">
        <x:f>IF(C28="xiaohongshu",BF28,BL28)</x:f>
      </x:c>
      <x:c r="BV28" s="65" t="str">
        <x:f>IF(COUNT(BQ28,AV28)&lt;2,"unknown",IF(BQ28/AV28-1&gt;=0.2,"high",IF(BQ28/AV28-1&lt;=-0.2,"low","normal")))</x:f>
        <x:v>unknown</x:v>
      </x:c>
      <x:c r="BW28" s="65" t="str">
        <x:f>IF(COUNT(BR28,AW28)&lt;2,"unknown",IF(BR28/AW28-1&gt;=0.2,"high",IF(BR28/AW28-1&lt;=-0.2,"low","normal")))</x:f>
        <x:v>unknown</x:v>
      </x:c>
      <x:c r="BX28" s="65" t="str">
        <x:f>IF(COUNT(BS28,AX28)&lt;2,"unknown",IF(BS28/AX28-1&gt;=0.2,"high",IF(BS28/AX28-1&lt;=-0.2,"low","normal")))</x:f>
        <x:v>unknown</x:v>
      </x:c>
      <x:c r="BY28" s="65" t="str">
        <x:f>IF(COUNT(BT28,AY28)&lt;2,"unknown",IF(BT28/AY28-1&gt;=0.2,"high",IF(BT28/AY28-1&lt;=-0.2,"low","normal")))</x:f>
        <x:v>unknown</x:v>
      </x:c>
      <x:c r="BZ28" s="65" t="str">
        <x:f>IF(COUNT(BU28,AZ28)&lt;2,"unknown",IF(BU28/AZ28-1&gt;=0.2,"high",IF(BU28/AZ28-1&lt;=-0.2,"low","normal")))</x:f>
        <x:v>unknown</x:v>
      </x:c>
      <x:c r="CA28" s="65" t="str">
        <x:f>IF(T28&lt;&gt;"complete","pending",IF(OR(L28&lt;&gt;"pure",U28="true",COUNT(BM28,AT28)&lt;2,AND(AC28&lt;&gt;"",COUNT(BO28,AU28)&lt;2)),"not_attributable","attributable"))</x:f>
        <x:v>pending</x:v>
      </x:c>
      <x:c r="CB28" s="65" t="str">
        <x:f>IF(T28&lt;&gt;"complete","not_evaluated",IF(COUNT(BM28,AT28)&lt;2,"insufficient_data",IF(AND(AC28&lt;&gt;"",COUNT(BP28)=1,BP28&lt;=-0.2),"guardrail_fail",IF(AND(CA28="not_attributable",OR(BV28="high",BN28&gt;=0.2)),"watchlist",IF(CA28&lt;&gt;"attributable","insufficient_data",IF(BN28&gt;=0.2,"win",IF(BN28&lt;=-0.2,"loss","inconclusive")))))))</x:f>
        <x:v>not_evaluated</x:v>
      </x:c>
      <x:c r="CC28" s="65" t="str">
        <x:f>IF(T28&lt;&gt;"complete","COLLECT_MORE_DATA",IF(COUNT(BM28,AT28)&lt;2,"FIX_TRACKING",IF(CB28="guardrail_fail","STOP_VARIANT_GUARDRAIL",IF(CB28="watchlist","WATCHLIST_ONLY",IF(AND(BV28="high",BY28="low"),"KEEP_HOOK_REWRITE_CTA",IF(AND(BW28="high",BX28="low"),"KEEP_STRUCTURE_CHANGE_DISCUSSION_ANGLE",IF(AND(BX28="high",BZ28="low"),"DOWNWEIGHT_TEMPLATE",IF(CB28="win","RETEST_WINNER",IF(CB28="loss","RETURN_TO_BASELINE","COLLECT_MORE_DATA")))))))))</x:f>
        <x:v>COLLECT_MORE_DATA</x:v>
      </x:c>
      <x:c r="CD28" s="75"/>
    </x:row>
    <x:row r="29">
      <x:c r="A29" s="68"/>
      <x:c r="B29" s="69"/>
      <x:c r="C29" s="68"/>
      <x:c r="D29" s="68"/>
      <x:c r="E29" s="68"/>
      <x:c r="F29" s="68"/>
      <x:c r="G29" s="68"/>
      <x:c r="H29" s="70"/>
      <x:c r="I29" s="68"/>
      <x:c r="J29" s="68"/>
      <x:c r="K29" s="68"/>
      <x:c r="L29" s="71" t="str">
        <x:f>IF(K29="","unknown",IF(K29=0,"baseline",IF(K29=1,"pure","mixed")))</x:f>
        <x:v>unknown</x:v>
      </x:c>
      <x:c r="M29" s="68"/>
      <x:c r="N29" s="68"/>
      <x:c r="O29" s="68"/>
      <x:c r="P29" s="68"/>
      <x:c r="Q29" s="68"/>
      <x:c r="R29" s="68"/>
      <x:c r="S29" s="68"/>
      <x:c r="T29" s="68"/>
      <x:c r="U29" s="68"/>
      <x:c r="V29" s="68"/>
      <x:c r="W29" s="68"/>
      <x:c r="X29" s="68"/>
      <x:c r="Y29" s="68"/>
      <x:c r="Z29" s="68"/>
      <x:c r="AA29" s="68"/>
      <x:c r="AB29" s="68"/>
      <x:c r="AC29" s="68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2"/>
      <x:c r="AU29" s="72"/>
      <x:c r="AV29" s="72"/>
      <x:c r="AW29" s="72"/>
      <x:c r="AX29" s="72"/>
      <x:c r="AY29" s="72"/>
      <x:c r="AZ29" s="72"/>
      <x:c r="BA29" s="73" t="str">
        <x:f>IF(C29="xiaohongshu",IF(COUNT(AF29,AE29)&lt;2,"",IFERROR(AF29/AE29,"")),"")</x:f>
      </x:c>
      <x:c r="BB29" s="73" t="str">
        <x:f>IF(C29="xiaohongshu",IF(COUNT(AG29,AE29)&lt;2,"",IFERROR(AG29/AE29,"")),"")</x:f>
      </x:c>
      <x:c r="BC29" s="73" t="str">
        <x:f>IF(C29="xiaohongshu",IF(COUNT(AN29,AE29)&lt;2,"",IFERROR(AN29/AE29,"")),"")</x:f>
      </x:c>
      <x:c r="BD29" s="73" t="str">
        <x:f>IF(C29="xiaohongshu",IF(COUNT(AQ29,AE29)&lt;2,"",IFERROR(AQ29/AE29,"")),"")</x:f>
      </x:c>
      <x:c r="BE29" s="73" t="str">
        <x:f>IF(C29="xiaohongshu",IF(COUNT(AI29,AE29)&lt;2,"",IFERROR(AI29/AE29,"")),"")</x:f>
      </x:c>
      <x:c r="BF29" s="73" t="str">
        <x:f>IF(C29="xiaohongshu",IF(OR(COUNT(AE29)=0,COUNT(AR29,AS29)=0),"",IFERROR((AR29+AS29)/AE29,"")),"")</x:f>
      </x:c>
      <x:c r="BG29" s="73" t="str">
        <x:f>IF(C29="x",IF(COUNT(AD29)=0,"",IF(COUNT(AM29)=1,IFERROR(AM29/AD29,""),IF(COUNT(AH29,AI29,AK29,AL29)=0,"",IFERROR(SUM(AH29,AI29,AK29,AL29)/AD29,"")))),"")</x:f>
      </x:c>
      <x:c r="BH29" s="73" t="str">
        <x:f>IF(C29="x",IF(COUNT(AJ29,AD29)&lt;2,"",IFERROR(AJ29/AD29,"")),"")</x:f>
      </x:c>
      <x:c r="BI29" s="73" t="str">
        <x:f>IF(C29="x",IF(COUNT(AO29,AD29)&lt;2,"",IFERROR(AO29/AD29,"")),"")</x:f>
      </x:c>
      <x:c r="BJ29" s="73" t="str">
        <x:f>IF(C29="x",IF(COUNT(AP29,AD29)&lt;2,"",IFERROR(AP29/AD29,"")),"")</x:f>
      </x:c>
      <x:c r="BK29" s="73" t="str">
        <x:f>IF(C29="x",IF(COUNT(AL29,AD29)&lt;2,"",IFERROR(AL29/AD29,"")),"")</x:f>
      </x:c>
      <x:c r="BL29" s="73" t="str">
        <x:f>IF(C29="x",IF(OR(COUNT(AD29)=0,COUNT(AR29,AS29)=0),"",IFERROR((AR29+AS29)/AD29,"")),"")</x:f>
      </x:c>
      <x:c r="BM29" s="73" t="str">
        <x:f>IF(AB29="xhs_save_rate",BA29,IF(AB29="xhs_completion_rate",BB29,IF(AB29="xhs_profile_visit_rate",BC29,IF(AB29="xhs_dm_intent_rate",BD29,IF(AB29="xhs_discussion_rate",BE29,IF(AB29="xhs_product_relevance_rate",BF29,IF(AB29="x_first_screen_engaged_rate_proxy",BG29,IF(AB29="x_qualified_reply_rate",BH29,IF(AB29="x_profile_click_rate",BI29,IF(AB29="x_link_intent_rate",BJ29,IF(AB29="x_bookmark_rate",BK29,IF(AB29="x_product_relevance_rate",BL29,""))))))))))))</x:f>
      </x:c>
      <x:c r="BN29" s="73" t="str">
        <x:f>IFERROR(BM29/AT29-1,"")</x:f>
      </x:c>
      <x:c r="BO29" s="73" t="str">
        <x:f>IF(AC29="","",IF(AC29="xhs_save_rate",BA29,IF(AC29="xhs_completion_rate",BB29,IF(AC29="xhs_profile_visit_rate",BC29,IF(AC29="xhs_dm_intent_rate",BD29,IF(AC29="xhs_discussion_rate",BE29,IF(AC29="xhs_product_relevance_rate",BF29,IF(AC29="x_first_screen_engaged_rate_proxy",BG29,IF(AC29="x_qualified_reply_rate",BH29,IF(AC29="x_profile_click_rate",BI29,IF(AC29="x_link_intent_rate",BJ29,IF(AC29="x_bookmark_rate",BK29,IF(AC29="x_product_relevance_rate",BL29,"")))))))))))))</x:f>
      </x:c>
      <x:c r="BP29" s="73" t="str">
        <x:f>IFERROR(BO29/AU29-1,"")</x:f>
      </x:c>
      <x:c r="BQ29" s="74" t="str">
        <x:f>IF(COUNT(AD29)=0,"",AD29)</x:f>
      </x:c>
      <x:c r="BR29" s="73" t="str">
        <x:f>IF(C29="xiaohongshu",IF(COUNT(BA29,BB29)=2,AVERAGE(BA29,BB29),IF(COUNT(BA29)=1,BA29,BB29)),BK29)</x:f>
      </x:c>
      <x:c r="BS29" s="73" t="str">
        <x:f>IF(C29="xiaohongshu",BE29,BH29)</x:f>
      </x:c>
      <x:c r="BT29" s="73" t="str">
        <x:f>IF(C29="xiaohongshu",IF(I29="save",BA29,IF(I29="discussion",BE29,IF(I29="profile_visit",BC29,IF(I29="dm",BD29,IF(OR(I29="product_question",I29="trial_intent"),BF29,""))))),IF(I29="save",BK29,IF(I29="discussion",BH29,IF(OR(I29="profile_visit",I29="dm"),BI29,IF(I29="link_click",BJ29,IF(OR(I29="product_question",I29="trial_intent"),BL29,""))))))</x:f>
      </x:c>
      <x:c r="BU29" s="73" t="str">
        <x:f>IF(C29="xiaohongshu",BF29,BL29)</x:f>
      </x:c>
      <x:c r="BV29" s="65" t="str">
        <x:f>IF(COUNT(BQ29,AV29)&lt;2,"unknown",IF(BQ29/AV29-1&gt;=0.2,"high",IF(BQ29/AV29-1&lt;=-0.2,"low","normal")))</x:f>
        <x:v>unknown</x:v>
      </x:c>
      <x:c r="BW29" s="65" t="str">
        <x:f>IF(COUNT(BR29,AW29)&lt;2,"unknown",IF(BR29/AW29-1&gt;=0.2,"high",IF(BR29/AW29-1&lt;=-0.2,"low","normal")))</x:f>
        <x:v>unknown</x:v>
      </x:c>
      <x:c r="BX29" s="65" t="str">
        <x:f>IF(COUNT(BS29,AX29)&lt;2,"unknown",IF(BS29/AX29-1&gt;=0.2,"high",IF(BS29/AX29-1&lt;=-0.2,"low","normal")))</x:f>
        <x:v>unknown</x:v>
      </x:c>
      <x:c r="BY29" s="65" t="str">
        <x:f>IF(COUNT(BT29,AY29)&lt;2,"unknown",IF(BT29/AY29-1&gt;=0.2,"high",IF(BT29/AY29-1&lt;=-0.2,"low","normal")))</x:f>
        <x:v>unknown</x:v>
      </x:c>
      <x:c r="BZ29" s="65" t="str">
        <x:f>IF(COUNT(BU29,AZ29)&lt;2,"unknown",IF(BU29/AZ29-1&gt;=0.2,"high",IF(BU29/AZ29-1&lt;=-0.2,"low","normal")))</x:f>
        <x:v>unknown</x:v>
      </x:c>
      <x:c r="CA29" s="65" t="str">
        <x:f>IF(T29&lt;&gt;"complete","pending",IF(OR(L29&lt;&gt;"pure",U29="true",COUNT(BM29,AT29)&lt;2,AND(AC29&lt;&gt;"",COUNT(BO29,AU29)&lt;2)),"not_attributable","attributable"))</x:f>
        <x:v>pending</x:v>
      </x:c>
      <x:c r="CB29" s="65" t="str">
        <x:f>IF(T29&lt;&gt;"complete","not_evaluated",IF(COUNT(BM29,AT29)&lt;2,"insufficient_data",IF(AND(AC29&lt;&gt;"",COUNT(BP29)=1,BP29&lt;=-0.2),"guardrail_fail",IF(AND(CA29="not_attributable",OR(BV29="high",BN29&gt;=0.2)),"watchlist",IF(CA29&lt;&gt;"attributable","insufficient_data",IF(BN29&gt;=0.2,"win",IF(BN29&lt;=-0.2,"loss","inconclusive")))))))</x:f>
        <x:v>not_evaluated</x:v>
      </x:c>
      <x:c r="CC29" s="65" t="str">
        <x:f>IF(T29&lt;&gt;"complete","COLLECT_MORE_DATA",IF(COUNT(BM29,AT29)&lt;2,"FIX_TRACKING",IF(CB29="guardrail_fail","STOP_VARIANT_GUARDRAIL",IF(CB29="watchlist","WATCHLIST_ONLY",IF(AND(BV29="high",BY29="low"),"KEEP_HOOK_REWRITE_CTA",IF(AND(BW29="high",BX29="low"),"KEEP_STRUCTURE_CHANGE_DISCUSSION_ANGLE",IF(AND(BX29="high",BZ29="low"),"DOWNWEIGHT_TEMPLATE",IF(CB29="win","RETEST_WINNER",IF(CB29="loss","RETURN_TO_BASELINE","COLLECT_MORE_DATA")))))))))</x:f>
        <x:v>COLLECT_MORE_DATA</x:v>
      </x:c>
      <x:c r="CD29" s="75"/>
    </x:row>
    <x:row r="30">
      <x:c r="A30" s="68"/>
      <x:c r="B30" s="69"/>
      <x:c r="C30" s="68"/>
      <x:c r="D30" s="68"/>
      <x:c r="E30" s="68"/>
      <x:c r="F30" s="68"/>
      <x:c r="G30" s="68"/>
      <x:c r="H30" s="70"/>
      <x:c r="I30" s="68"/>
      <x:c r="J30" s="68"/>
      <x:c r="K30" s="68"/>
      <x:c r="L30" s="71" t="str">
        <x:f>IF(K30="","unknown",IF(K30=0,"baseline",IF(K30=1,"pure","mixed")))</x:f>
        <x:v>unknown</x:v>
      </x:c>
      <x:c r="M30" s="68"/>
      <x:c r="N30" s="68"/>
      <x:c r="O30" s="68"/>
      <x:c r="P30" s="68"/>
      <x:c r="Q30" s="68"/>
      <x:c r="R30" s="68"/>
      <x:c r="S30" s="68"/>
      <x:c r="T30" s="68"/>
      <x:c r="U30" s="68"/>
      <x:c r="V30" s="68"/>
      <x:c r="W30" s="68"/>
      <x:c r="X30" s="68"/>
      <x:c r="Y30" s="68"/>
      <x:c r="Z30" s="68"/>
      <x:c r="AA30" s="68"/>
      <x:c r="AB30" s="68"/>
      <x:c r="AC30" s="68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2"/>
      <x:c r="AU30" s="72"/>
      <x:c r="AV30" s="72"/>
      <x:c r="AW30" s="72"/>
      <x:c r="AX30" s="72"/>
      <x:c r="AY30" s="72"/>
      <x:c r="AZ30" s="72"/>
      <x:c r="BA30" s="73" t="str">
        <x:f>IF(C30="xiaohongshu",IF(COUNT(AF30,AE30)&lt;2,"",IFERROR(AF30/AE30,"")),"")</x:f>
      </x:c>
      <x:c r="BB30" s="73" t="str">
        <x:f>IF(C30="xiaohongshu",IF(COUNT(AG30,AE30)&lt;2,"",IFERROR(AG30/AE30,"")),"")</x:f>
      </x:c>
      <x:c r="BC30" s="73" t="str">
        <x:f>IF(C30="xiaohongshu",IF(COUNT(AN30,AE30)&lt;2,"",IFERROR(AN30/AE30,"")),"")</x:f>
      </x:c>
      <x:c r="BD30" s="73" t="str">
        <x:f>IF(C30="xiaohongshu",IF(COUNT(AQ30,AE30)&lt;2,"",IFERROR(AQ30/AE30,"")),"")</x:f>
      </x:c>
      <x:c r="BE30" s="73" t="str">
        <x:f>IF(C30="xiaohongshu",IF(COUNT(AI30,AE30)&lt;2,"",IFERROR(AI30/AE30,"")),"")</x:f>
      </x:c>
      <x:c r="BF30" s="73" t="str">
        <x:f>IF(C30="xiaohongshu",IF(OR(COUNT(AE30)=0,COUNT(AR30,AS30)=0),"",IFERROR((AR30+AS30)/AE30,"")),"")</x:f>
      </x:c>
      <x:c r="BG30" s="73" t="str">
        <x:f>IF(C30="x",IF(COUNT(AD30)=0,"",IF(COUNT(AM30)=1,IFERROR(AM30/AD30,""),IF(COUNT(AH30,AI30,AK30,AL30)=0,"",IFERROR(SUM(AH30,AI30,AK30,AL30)/AD30,"")))),"")</x:f>
      </x:c>
      <x:c r="BH30" s="73" t="str">
        <x:f>IF(C30="x",IF(COUNT(AJ30,AD30)&lt;2,"",IFERROR(AJ30/AD30,"")),"")</x:f>
      </x:c>
      <x:c r="BI30" s="73" t="str">
        <x:f>IF(C30="x",IF(COUNT(AO30,AD30)&lt;2,"",IFERROR(AO30/AD30,"")),"")</x:f>
      </x:c>
      <x:c r="BJ30" s="73" t="str">
        <x:f>IF(C30="x",IF(COUNT(AP30,AD30)&lt;2,"",IFERROR(AP30/AD30,"")),"")</x:f>
      </x:c>
      <x:c r="BK30" s="73" t="str">
        <x:f>IF(C30="x",IF(COUNT(AL30,AD30)&lt;2,"",IFERROR(AL30/AD30,"")),"")</x:f>
      </x:c>
      <x:c r="BL30" s="73" t="str">
        <x:f>IF(C30="x",IF(OR(COUNT(AD30)=0,COUNT(AR30,AS30)=0),"",IFERROR((AR30+AS30)/AD30,"")),"")</x:f>
      </x:c>
      <x:c r="BM30" s="73" t="str">
        <x:f>IF(AB30="xhs_save_rate",BA30,IF(AB30="xhs_completion_rate",BB30,IF(AB30="xhs_profile_visit_rate",BC30,IF(AB30="xhs_dm_intent_rate",BD30,IF(AB30="xhs_discussion_rate",BE30,IF(AB30="xhs_product_relevance_rate",BF30,IF(AB30="x_first_screen_engaged_rate_proxy",BG30,IF(AB30="x_qualified_reply_rate",BH30,IF(AB30="x_profile_click_rate",BI30,IF(AB30="x_link_intent_rate",BJ30,IF(AB30="x_bookmark_rate",BK30,IF(AB30="x_product_relevance_rate",BL30,""))))))))))))</x:f>
      </x:c>
      <x:c r="BN30" s="73" t="str">
        <x:f>IFERROR(BM30/AT30-1,"")</x:f>
      </x:c>
      <x:c r="BO30" s="73" t="str">
        <x:f>IF(AC30="","",IF(AC30="xhs_save_rate",BA30,IF(AC30="xhs_completion_rate",BB30,IF(AC30="xhs_profile_visit_rate",BC30,IF(AC30="xhs_dm_intent_rate",BD30,IF(AC30="xhs_discussion_rate",BE30,IF(AC30="xhs_product_relevance_rate",BF30,IF(AC30="x_first_screen_engaged_rate_proxy",BG30,IF(AC30="x_qualified_reply_rate",BH30,IF(AC30="x_profile_click_rate",BI30,IF(AC30="x_link_intent_rate",BJ30,IF(AC30="x_bookmark_rate",BK30,IF(AC30="x_product_relevance_rate",BL30,"")))))))))))))</x:f>
      </x:c>
      <x:c r="BP30" s="73" t="str">
        <x:f>IFERROR(BO30/AU30-1,"")</x:f>
      </x:c>
      <x:c r="BQ30" s="74" t="str">
        <x:f>IF(COUNT(AD30)=0,"",AD30)</x:f>
      </x:c>
      <x:c r="BR30" s="73" t="str">
        <x:f>IF(C30="xiaohongshu",IF(COUNT(BA30,BB30)=2,AVERAGE(BA30,BB30),IF(COUNT(BA30)=1,BA30,BB30)),BK30)</x:f>
      </x:c>
      <x:c r="BS30" s="73" t="str">
        <x:f>IF(C30="xiaohongshu",BE30,BH30)</x:f>
      </x:c>
      <x:c r="BT30" s="73" t="str">
        <x:f>IF(C30="xiaohongshu",IF(I30="save",BA30,IF(I30="discussion",BE30,IF(I30="profile_visit",BC30,IF(I30="dm",BD30,IF(OR(I30="product_question",I30="trial_intent"),BF30,""))))),IF(I30="save",BK30,IF(I30="discussion",BH30,IF(OR(I30="profile_visit",I30="dm"),BI30,IF(I30="link_click",BJ30,IF(OR(I30="product_question",I30="trial_intent"),BL30,""))))))</x:f>
      </x:c>
      <x:c r="BU30" s="73" t="str">
        <x:f>IF(C30="xiaohongshu",BF30,BL30)</x:f>
      </x:c>
      <x:c r="BV30" s="65" t="str">
        <x:f>IF(COUNT(BQ30,AV30)&lt;2,"unknown",IF(BQ30/AV30-1&gt;=0.2,"high",IF(BQ30/AV30-1&lt;=-0.2,"low","normal")))</x:f>
        <x:v>unknown</x:v>
      </x:c>
      <x:c r="BW30" s="65" t="str">
        <x:f>IF(COUNT(BR30,AW30)&lt;2,"unknown",IF(BR30/AW30-1&gt;=0.2,"high",IF(BR30/AW30-1&lt;=-0.2,"low","normal")))</x:f>
        <x:v>unknown</x:v>
      </x:c>
      <x:c r="BX30" s="65" t="str">
        <x:f>IF(COUNT(BS30,AX30)&lt;2,"unknown",IF(BS30/AX30-1&gt;=0.2,"high",IF(BS30/AX30-1&lt;=-0.2,"low","normal")))</x:f>
        <x:v>unknown</x:v>
      </x:c>
      <x:c r="BY30" s="65" t="str">
        <x:f>IF(COUNT(BT30,AY30)&lt;2,"unknown",IF(BT30/AY30-1&gt;=0.2,"high",IF(BT30/AY30-1&lt;=-0.2,"low","normal")))</x:f>
        <x:v>unknown</x:v>
      </x:c>
      <x:c r="BZ30" s="65" t="str">
        <x:f>IF(COUNT(BU30,AZ30)&lt;2,"unknown",IF(BU30/AZ30-1&gt;=0.2,"high",IF(BU30/AZ30-1&lt;=-0.2,"low","normal")))</x:f>
        <x:v>unknown</x:v>
      </x:c>
      <x:c r="CA30" s="65" t="str">
        <x:f>IF(T30&lt;&gt;"complete","pending",IF(OR(L30&lt;&gt;"pure",U30="true",COUNT(BM30,AT30)&lt;2,AND(AC30&lt;&gt;"",COUNT(BO30,AU30)&lt;2)),"not_attributable","attributable"))</x:f>
        <x:v>pending</x:v>
      </x:c>
      <x:c r="CB30" s="65" t="str">
        <x:f>IF(T30&lt;&gt;"complete","not_evaluated",IF(COUNT(BM30,AT30)&lt;2,"insufficient_data",IF(AND(AC30&lt;&gt;"",COUNT(BP30)=1,BP30&lt;=-0.2),"guardrail_fail",IF(AND(CA30="not_attributable",OR(BV30="high",BN30&gt;=0.2)),"watchlist",IF(CA30&lt;&gt;"attributable","insufficient_data",IF(BN30&gt;=0.2,"win",IF(BN30&lt;=-0.2,"loss","inconclusive")))))))</x:f>
        <x:v>not_evaluated</x:v>
      </x:c>
      <x:c r="CC30" s="65" t="str">
        <x:f>IF(T30&lt;&gt;"complete","COLLECT_MORE_DATA",IF(COUNT(BM30,AT30)&lt;2,"FIX_TRACKING",IF(CB30="guardrail_fail","STOP_VARIANT_GUARDRAIL",IF(CB30="watchlist","WATCHLIST_ONLY",IF(AND(BV30="high",BY30="low"),"KEEP_HOOK_REWRITE_CTA",IF(AND(BW30="high",BX30="low"),"KEEP_STRUCTURE_CHANGE_DISCUSSION_ANGLE",IF(AND(BX30="high",BZ30="low"),"DOWNWEIGHT_TEMPLATE",IF(CB30="win","RETEST_WINNER",IF(CB30="loss","RETURN_TO_BASELINE","COLLECT_MORE_DATA")))))))))</x:f>
        <x:v>COLLECT_MORE_DATA</x:v>
      </x:c>
      <x:c r="CD30" s="75"/>
    </x:row>
    <x:row r="31">
      <x:c r="A31" s="68"/>
      <x:c r="B31" s="69"/>
      <x:c r="C31" s="68"/>
      <x:c r="D31" s="68"/>
      <x:c r="E31" s="68"/>
      <x:c r="F31" s="68"/>
      <x:c r="G31" s="68"/>
      <x:c r="H31" s="70"/>
      <x:c r="I31" s="68"/>
      <x:c r="J31" s="68"/>
      <x:c r="K31" s="68"/>
      <x:c r="L31" s="71" t="str">
        <x:f>IF(K31="","unknown",IF(K31=0,"baseline",IF(K31=1,"pure","mixed")))</x:f>
        <x:v>unknown</x:v>
      </x:c>
      <x:c r="M31" s="68"/>
      <x:c r="N31" s="68"/>
      <x:c r="O31" s="68"/>
      <x:c r="P31" s="68"/>
      <x:c r="Q31" s="68"/>
      <x:c r="R31" s="68"/>
      <x:c r="S31" s="68"/>
      <x:c r="T31" s="68"/>
      <x:c r="U31" s="68"/>
      <x:c r="V31" s="68"/>
      <x:c r="W31" s="68"/>
      <x:c r="X31" s="68"/>
      <x:c r="Y31" s="68"/>
      <x:c r="Z31" s="68"/>
      <x:c r="AA31" s="68"/>
      <x:c r="AB31" s="68"/>
      <x:c r="AC31" s="68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2"/>
      <x:c r="AU31" s="72"/>
      <x:c r="AV31" s="72"/>
      <x:c r="AW31" s="72"/>
      <x:c r="AX31" s="72"/>
      <x:c r="AY31" s="72"/>
      <x:c r="AZ31" s="72"/>
      <x:c r="BA31" s="73" t="str">
        <x:f>IF(C31="xiaohongshu",IF(COUNT(AF31,AE31)&lt;2,"",IFERROR(AF31/AE31,"")),"")</x:f>
      </x:c>
      <x:c r="BB31" s="73" t="str">
        <x:f>IF(C31="xiaohongshu",IF(COUNT(AG31,AE31)&lt;2,"",IFERROR(AG31/AE31,"")),"")</x:f>
      </x:c>
      <x:c r="BC31" s="73" t="str">
        <x:f>IF(C31="xiaohongshu",IF(COUNT(AN31,AE31)&lt;2,"",IFERROR(AN31/AE31,"")),"")</x:f>
      </x:c>
      <x:c r="BD31" s="73" t="str">
        <x:f>IF(C31="xiaohongshu",IF(COUNT(AQ31,AE31)&lt;2,"",IFERROR(AQ31/AE31,"")),"")</x:f>
      </x:c>
      <x:c r="BE31" s="73" t="str">
        <x:f>IF(C31="xiaohongshu",IF(COUNT(AI31,AE31)&lt;2,"",IFERROR(AI31/AE31,"")),"")</x:f>
      </x:c>
      <x:c r="BF31" s="73" t="str">
        <x:f>IF(C31="xiaohongshu",IF(OR(COUNT(AE31)=0,COUNT(AR31,AS31)=0),"",IFERROR((AR31+AS31)/AE31,"")),"")</x:f>
      </x:c>
      <x:c r="BG31" s="73" t="str">
        <x:f>IF(C31="x",IF(COUNT(AD31)=0,"",IF(COUNT(AM31)=1,IFERROR(AM31/AD31,""),IF(COUNT(AH31,AI31,AK31,AL31)=0,"",IFERROR(SUM(AH31,AI31,AK31,AL31)/AD31,"")))),"")</x:f>
      </x:c>
      <x:c r="BH31" s="73" t="str">
        <x:f>IF(C31="x",IF(COUNT(AJ31,AD31)&lt;2,"",IFERROR(AJ31/AD31,"")),"")</x:f>
      </x:c>
      <x:c r="BI31" s="73" t="str">
        <x:f>IF(C31="x",IF(COUNT(AO31,AD31)&lt;2,"",IFERROR(AO31/AD31,"")),"")</x:f>
      </x:c>
      <x:c r="BJ31" s="73" t="str">
        <x:f>IF(C31="x",IF(COUNT(AP31,AD31)&lt;2,"",IFERROR(AP31/AD31,"")),"")</x:f>
      </x:c>
      <x:c r="BK31" s="73" t="str">
        <x:f>IF(C31="x",IF(COUNT(AL31,AD31)&lt;2,"",IFERROR(AL31/AD31,"")),"")</x:f>
      </x:c>
      <x:c r="BL31" s="73" t="str">
        <x:f>IF(C31="x",IF(OR(COUNT(AD31)=0,COUNT(AR31,AS31)=0),"",IFERROR((AR31+AS31)/AD31,"")),"")</x:f>
      </x:c>
      <x:c r="BM31" s="73" t="str">
        <x:f>IF(AB31="xhs_save_rate",BA31,IF(AB31="xhs_completion_rate",BB31,IF(AB31="xhs_profile_visit_rate",BC31,IF(AB31="xhs_dm_intent_rate",BD31,IF(AB31="xhs_discussion_rate",BE31,IF(AB31="xhs_product_relevance_rate",BF31,IF(AB31="x_first_screen_engaged_rate_proxy",BG31,IF(AB31="x_qualified_reply_rate",BH31,IF(AB31="x_profile_click_rate",BI31,IF(AB31="x_link_intent_rate",BJ31,IF(AB31="x_bookmark_rate",BK31,IF(AB31="x_product_relevance_rate",BL31,""))))))))))))</x:f>
      </x:c>
      <x:c r="BN31" s="73" t="str">
        <x:f>IFERROR(BM31/AT31-1,"")</x:f>
      </x:c>
      <x:c r="BO31" s="73" t="str">
        <x:f>IF(AC31="","",IF(AC31="xhs_save_rate",BA31,IF(AC31="xhs_completion_rate",BB31,IF(AC31="xhs_profile_visit_rate",BC31,IF(AC31="xhs_dm_intent_rate",BD31,IF(AC31="xhs_discussion_rate",BE31,IF(AC31="xhs_product_relevance_rate",BF31,IF(AC31="x_first_screen_engaged_rate_proxy",BG31,IF(AC31="x_qualified_reply_rate",BH31,IF(AC31="x_profile_click_rate",BI31,IF(AC31="x_link_intent_rate",BJ31,IF(AC31="x_bookmark_rate",BK31,IF(AC31="x_product_relevance_rate",BL31,"")))))))))))))</x:f>
      </x:c>
      <x:c r="BP31" s="73" t="str">
        <x:f>IFERROR(BO31/AU31-1,"")</x:f>
      </x:c>
      <x:c r="BQ31" s="74" t="str">
        <x:f>IF(COUNT(AD31)=0,"",AD31)</x:f>
      </x:c>
      <x:c r="BR31" s="73" t="str">
        <x:f>IF(C31="xiaohongshu",IF(COUNT(BA31,BB31)=2,AVERAGE(BA31,BB31),IF(COUNT(BA31)=1,BA31,BB31)),BK31)</x:f>
      </x:c>
      <x:c r="BS31" s="73" t="str">
        <x:f>IF(C31="xiaohongshu",BE31,BH31)</x:f>
      </x:c>
      <x:c r="BT31" s="73" t="str">
        <x:f>IF(C31="xiaohongshu",IF(I31="save",BA31,IF(I31="discussion",BE31,IF(I31="profile_visit",BC31,IF(I31="dm",BD31,IF(OR(I31="product_question",I31="trial_intent"),BF31,""))))),IF(I31="save",BK31,IF(I31="discussion",BH31,IF(OR(I31="profile_visit",I31="dm"),BI31,IF(I31="link_click",BJ31,IF(OR(I31="product_question",I31="trial_intent"),BL31,""))))))</x:f>
      </x:c>
      <x:c r="BU31" s="73" t="str">
        <x:f>IF(C31="xiaohongshu",BF31,BL31)</x:f>
      </x:c>
      <x:c r="BV31" s="65" t="str">
        <x:f>IF(COUNT(BQ31,AV31)&lt;2,"unknown",IF(BQ31/AV31-1&gt;=0.2,"high",IF(BQ31/AV31-1&lt;=-0.2,"low","normal")))</x:f>
        <x:v>unknown</x:v>
      </x:c>
      <x:c r="BW31" s="65" t="str">
        <x:f>IF(COUNT(BR31,AW31)&lt;2,"unknown",IF(BR31/AW31-1&gt;=0.2,"high",IF(BR31/AW31-1&lt;=-0.2,"low","normal")))</x:f>
        <x:v>unknown</x:v>
      </x:c>
      <x:c r="BX31" s="65" t="str">
        <x:f>IF(COUNT(BS31,AX31)&lt;2,"unknown",IF(BS31/AX31-1&gt;=0.2,"high",IF(BS31/AX31-1&lt;=-0.2,"low","normal")))</x:f>
        <x:v>unknown</x:v>
      </x:c>
      <x:c r="BY31" s="65" t="str">
        <x:f>IF(COUNT(BT31,AY31)&lt;2,"unknown",IF(BT31/AY31-1&gt;=0.2,"high",IF(BT31/AY31-1&lt;=-0.2,"low","normal")))</x:f>
        <x:v>unknown</x:v>
      </x:c>
      <x:c r="BZ31" s="65" t="str">
        <x:f>IF(COUNT(BU31,AZ31)&lt;2,"unknown",IF(BU31/AZ31-1&gt;=0.2,"high",IF(BU31/AZ31-1&lt;=-0.2,"low","normal")))</x:f>
        <x:v>unknown</x:v>
      </x:c>
      <x:c r="CA31" s="65" t="str">
        <x:f>IF(T31&lt;&gt;"complete","pending",IF(OR(L31&lt;&gt;"pure",U31="true",COUNT(BM31,AT31)&lt;2,AND(AC31&lt;&gt;"",COUNT(BO31,AU31)&lt;2)),"not_attributable","attributable"))</x:f>
        <x:v>pending</x:v>
      </x:c>
      <x:c r="CB31" s="65" t="str">
        <x:f>IF(T31&lt;&gt;"complete","not_evaluated",IF(COUNT(BM31,AT31)&lt;2,"insufficient_data",IF(AND(AC31&lt;&gt;"",COUNT(BP31)=1,BP31&lt;=-0.2),"guardrail_fail",IF(AND(CA31="not_attributable",OR(BV31="high",BN31&gt;=0.2)),"watchlist",IF(CA31&lt;&gt;"attributable","insufficient_data",IF(BN31&gt;=0.2,"win",IF(BN31&lt;=-0.2,"loss","inconclusive")))))))</x:f>
        <x:v>not_evaluated</x:v>
      </x:c>
      <x:c r="CC31" s="65" t="str">
        <x:f>IF(T31&lt;&gt;"complete","COLLECT_MORE_DATA",IF(COUNT(BM31,AT31)&lt;2,"FIX_TRACKING",IF(CB31="guardrail_fail","STOP_VARIANT_GUARDRAIL",IF(CB31="watchlist","WATCHLIST_ONLY",IF(AND(BV31="high",BY31="low"),"KEEP_HOOK_REWRITE_CTA",IF(AND(BW31="high",BX31="low"),"KEEP_STRUCTURE_CHANGE_DISCUSSION_ANGLE",IF(AND(BX31="high",BZ31="low"),"DOWNWEIGHT_TEMPLATE",IF(CB31="win","RETEST_WINNER",IF(CB31="loss","RETURN_TO_BASELINE","COLLECT_MORE_DATA")))))))))</x:f>
        <x:v>COLLECT_MORE_DATA</x:v>
      </x:c>
      <x:c r="CD31" s="75"/>
    </x:row>
    <x:row r="32">
      <x:c r="A32" s="68"/>
      <x:c r="B32" s="69"/>
      <x:c r="C32" s="68"/>
      <x:c r="D32" s="68"/>
      <x:c r="E32" s="68"/>
      <x:c r="F32" s="68"/>
      <x:c r="G32" s="68"/>
      <x:c r="H32" s="70"/>
      <x:c r="I32" s="68"/>
      <x:c r="J32" s="68"/>
      <x:c r="K32" s="68"/>
      <x:c r="L32" s="71" t="str">
        <x:f>IF(K32="","unknown",IF(K32=0,"baseline",IF(K32=1,"pure","mixed")))</x:f>
        <x:v>unknown</x:v>
      </x:c>
      <x:c r="M32" s="68"/>
      <x:c r="N32" s="68"/>
      <x:c r="O32" s="68"/>
      <x:c r="P32" s="68"/>
      <x:c r="Q32" s="68"/>
      <x:c r="R32" s="68"/>
      <x:c r="S32" s="68"/>
      <x:c r="T32" s="68"/>
      <x:c r="U32" s="68"/>
      <x:c r="V32" s="68"/>
      <x:c r="W32" s="68"/>
      <x:c r="X32" s="68"/>
      <x:c r="Y32" s="68"/>
      <x:c r="Z32" s="68"/>
      <x:c r="AA32" s="68"/>
      <x:c r="AB32" s="68"/>
      <x:c r="AC32" s="68"/>
      <x:c r="AD32" s="70"/>
      <x:c r="AE32" s="70"/>
      <x:c r="AF32" s="70"/>
      <x:c r="AG32" s="70"/>
      <x:c r="AH32" s="70"/>
      <x:c r="AI32" s="70"/>
      <x:c r="AJ32" s="70"/>
      <x:c r="AK32" s="70"/>
      <x:c r="AL32" s="70"/>
      <x:c r="AM32" s="70"/>
      <x:c r="AN32" s="70"/>
      <x:c r="AO32" s="70"/>
      <x:c r="AP32" s="70"/>
      <x:c r="AQ32" s="70"/>
      <x:c r="AR32" s="70"/>
      <x:c r="AS32" s="70"/>
      <x:c r="AT32" s="72"/>
      <x:c r="AU32" s="72"/>
      <x:c r="AV32" s="72"/>
      <x:c r="AW32" s="72"/>
      <x:c r="AX32" s="72"/>
      <x:c r="AY32" s="72"/>
      <x:c r="AZ32" s="72"/>
      <x:c r="BA32" s="73" t="str">
        <x:f>IF(C32="xiaohongshu",IF(COUNT(AF32,AE32)&lt;2,"",IFERROR(AF32/AE32,"")),"")</x:f>
      </x:c>
      <x:c r="BB32" s="73" t="str">
        <x:f>IF(C32="xiaohongshu",IF(COUNT(AG32,AE32)&lt;2,"",IFERROR(AG32/AE32,"")),"")</x:f>
      </x:c>
      <x:c r="BC32" s="73" t="str">
        <x:f>IF(C32="xiaohongshu",IF(COUNT(AN32,AE32)&lt;2,"",IFERROR(AN32/AE32,"")),"")</x:f>
      </x:c>
      <x:c r="BD32" s="73" t="str">
        <x:f>IF(C32="xiaohongshu",IF(COUNT(AQ32,AE32)&lt;2,"",IFERROR(AQ32/AE32,"")),"")</x:f>
      </x:c>
      <x:c r="BE32" s="73" t="str">
        <x:f>IF(C32="xiaohongshu",IF(COUNT(AI32,AE32)&lt;2,"",IFERROR(AI32/AE32,"")),"")</x:f>
      </x:c>
      <x:c r="BF32" s="73" t="str">
        <x:f>IF(C32="xiaohongshu",IF(OR(COUNT(AE32)=0,COUNT(AR32,AS32)=0),"",IFERROR((AR32+AS32)/AE32,"")),"")</x:f>
      </x:c>
      <x:c r="BG32" s="73" t="str">
        <x:f>IF(C32="x",IF(COUNT(AD32)=0,"",IF(COUNT(AM32)=1,IFERROR(AM32/AD32,""),IF(COUNT(AH32,AI32,AK32,AL32)=0,"",IFERROR(SUM(AH32,AI32,AK32,AL32)/AD32,"")))),"")</x:f>
      </x:c>
      <x:c r="BH32" s="73" t="str">
        <x:f>IF(C32="x",IF(COUNT(AJ32,AD32)&lt;2,"",IFERROR(AJ32/AD32,"")),"")</x:f>
      </x:c>
      <x:c r="BI32" s="73" t="str">
        <x:f>IF(C32="x",IF(COUNT(AO32,AD32)&lt;2,"",IFERROR(AO32/AD32,"")),"")</x:f>
      </x:c>
      <x:c r="BJ32" s="73" t="str">
        <x:f>IF(C32="x",IF(COUNT(AP32,AD32)&lt;2,"",IFERROR(AP32/AD32,"")),"")</x:f>
      </x:c>
      <x:c r="BK32" s="73" t="str">
        <x:f>IF(C32="x",IF(COUNT(AL32,AD32)&lt;2,"",IFERROR(AL32/AD32,"")),"")</x:f>
      </x:c>
      <x:c r="BL32" s="73" t="str">
        <x:f>IF(C32="x",IF(OR(COUNT(AD32)=0,COUNT(AR32,AS32)=0),"",IFERROR((AR32+AS32)/AD32,"")),"")</x:f>
      </x:c>
      <x:c r="BM32" s="73" t="str">
        <x:f>IF(AB32="xhs_save_rate",BA32,IF(AB32="xhs_completion_rate",BB32,IF(AB32="xhs_profile_visit_rate",BC32,IF(AB32="xhs_dm_intent_rate",BD32,IF(AB32="xhs_discussion_rate",BE32,IF(AB32="xhs_product_relevance_rate",BF32,IF(AB32="x_first_screen_engaged_rate_proxy",BG32,IF(AB32="x_qualified_reply_rate",BH32,IF(AB32="x_profile_click_rate",BI32,IF(AB32="x_link_intent_rate",BJ32,IF(AB32="x_bookmark_rate",BK32,IF(AB32="x_product_relevance_rate",BL32,""))))))))))))</x:f>
      </x:c>
      <x:c r="BN32" s="73" t="str">
        <x:f>IFERROR(BM32/AT32-1,"")</x:f>
      </x:c>
      <x:c r="BO32" s="73" t="str">
        <x:f>IF(AC32="","",IF(AC32="xhs_save_rate",BA32,IF(AC32="xhs_completion_rate",BB32,IF(AC32="xhs_profile_visit_rate",BC32,IF(AC32="xhs_dm_intent_rate",BD32,IF(AC32="xhs_discussion_rate",BE32,IF(AC32="xhs_product_relevance_rate",BF32,IF(AC32="x_first_screen_engaged_rate_proxy",BG32,IF(AC32="x_qualified_reply_rate",BH32,IF(AC32="x_profile_click_rate",BI32,IF(AC32="x_link_intent_rate",BJ32,IF(AC32="x_bookmark_rate",BK32,IF(AC32="x_product_relevance_rate",BL32,"")))))))))))))</x:f>
      </x:c>
      <x:c r="BP32" s="73" t="str">
        <x:f>IFERROR(BO32/AU32-1,"")</x:f>
      </x:c>
      <x:c r="BQ32" s="74" t="str">
        <x:f>IF(COUNT(AD32)=0,"",AD32)</x:f>
      </x:c>
      <x:c r="BR32" s="73" t="str">
        <x:f>IF(C32="xiaohongshu",IF(COUNT(BA32,BB32)=2,AVERAGE(BA32,BB32),IF(COUNT(BA32)=1,BA32,BB32)),BK32)</x:f>
      </x:c>
      <x:c r="BS32" s="73" t="str">
        <x:f>IF(C32="xiaohongshu",BE32,BH32)</x:f>
      </x:c>
      <x:c r="BT32" s="73" t="str">
        <x:f>IF(C32="xiaohongshu",IF(I32="save",BA32,IF(I32="discussion",BE32,IF(I32="profile_visit",BC32,IF(I32="dm",BD32,IF(OR(I32="product_question",I32="trial_intent"),BF32,""))))),IF(I32="save",BK32,IF(I32="discussion",BH32,IF(OR(I32="profile_visit",I32="dm"),BI32,IF(I32="link_click",BJ32,IF(OR(I32="product_question",I32="trial_intent"),BL32,""))))))</x:f>
      </x:c>
      <x:c r="BU32" s="73" t="str">
        <x:f>IF(C32="xiaohongshu",BF32,BL32)</x:f>
      </x:c>
      <x:c r="BV32" s="65" t="str">
        <x:f>IF(COUNT(BQ32,AV32)&lt;2,"unknown",IF(BQ32/AV32-1&gt;=0.2,"high",IF(BQ32/AV32-1&lt;=-0.2,"low","normal")))</x:f>
        <x:v>unknown</x:v>
      </x:c>
      <x:c r="BW32" s="65" t="str">
        <x:f>IF(COUNT(BR32,AW32)&lt;2,"unknown",IF(BR32/AW32-1&gt;=0.2,"high",IF(BR32/AW32-1&lt;=-0.2,"low","normal")))</x:f>
        <x:v>unknown</x:v>
      </x:c>
      <x:c r="BX32" s="65" t="str">
        <x:f>IF(COUNT(BS32,AX32)&lt;2,"unknown",IF(BS32/AX32-1&gt;=0.2,"high",IF(BS32/AX32-1&lt;=-0.2,"low","normal")))</x:f>
        <x:v>unknown</x:v>
      </x:c>
      <x:c r="BY32" s="65" t="str">
        <x:f>IF(COUNT(BT32,AY32)&lt;2,"unknown",IF(BT32/AY32-1&gt;=0.2,"high",IF(BT32/AY32-1&lt;=-0.2,"low","normal")))</x:f>
        <x:v>unknown</x:v>
      </x:c>
      <x:c r="BZ32" s="65" t="str">
        <x:f>IF(COUNT(BU32,AZ32)&lt;2,"unknown",IF(BU32/AZ32-1&gt;=0.2,"high",IF(BU32/AZ32-1&lt;=-0.2,"low","normal")))</x:f>
        <x:v>unknown</x:v>
      </x:c>
      <x:c r="CA32" s="65" t="str">
        <x:f>IF(T32&lt;&gt;"complete","pending",IF(OR(L32&lt;&gt;"pure",U32="true",COUNT(BM32,AT32)&lt;2,AND(AC32&lt;&gt;"",COUNT(BO32,AU32)&lt;2)),"not_attributable","attributable"))</x:f>
        <x:v>pending</x:v>
      </x:c>
      <x:c r="CB32" s="65" t="str">
        <x:f>IF(T32&lt;&gt;"complete","not_evaluated",IF(COUNT(BM32,AT32)&lt;2,"insufficient_data",IF(AND(AC32&lt;&gt;"",COUNT(BP32)=1,BP32&lt;=-0.2),"guardrail_fail",IF(AND(CA32="not_attributable",OR(BV32="high",BN32&gt;=0.2)),"watchlist",IF(CA32&lt;&gt;"attributable","insufficient_data",IF(BN32&gt;=0.2,"win",IF(BN32&lt;=-0.2,"loss","inconclusive")))))))</x:f>
        <x:v>not_evaluated</x:v>
      </x:c>
      <x:c r="CC32" s="65" t="str">
        <x:f>IF(T32&lt;&gt;"complete","COLLECT_MORE_DATA",IF(COUNT(BM32,AT32)&lt;2,"FIX_TRACKING",IF(CB32="guardrail_fail","STOP_VARIANT_GUARDRAIL",IF(CB32="watchlist","WATCHLIST_ONLY",IF(AND(BV32="high",BY32="low"),"KEEP_HOOK_REWRITE_CTA",IF(AND(BW32="high",BX32="low"),"KEEP_STRUCTURE_CHANGE_DISCUSSION_ANGLE",IF(AND(BX32="high",BZ32="low"),"DOWNWEIGHT_TEMPLATE",IF(CB32="win","RETEST_WINNER",IF(CB32="loss","RETURN_TO_BASELINE","COLLECT_MORE_DATA")))))))))</x:f>
        <x:v>COLLECT_MORE_DATA</x:v>
      </x:c>
      <x:c r="CD32" s="75"/>
    </x:row>
    <x:row r="33">
      <x:c r="A33" s="68"/>
      <x:c r="B33" s="69"/>
      <x:c r="C33" s="68"/>
      <x:c r="D33" s="68"/>
      <x:c r="E33" s="68"/>
      <x:c r="F33" s="68"/>
      <x:c r="G33" s="68"/>
      <x:c r="H33" s="70"/>
      <x:c r="I33" s="68"/>
      <x:c r="J33" s="68"/>
      <x:c r="K33" s="68"/>
      <x:c r="L33" s="71" t="str">
        <x:f>IF(K33="","unknown",IF(K33=0,"baseline",IF(K33=1,"pure","mixed")))</x:f>
        <x:v>unknown</x:v>
      </x:c>
      <x:c r="M33" s="68"/>
      <x:c r="N33" s="68"/>
      <x:c r="O33" s="68"/>
      <x:c r="P33" s="68"/>
      <x:c r="Q33" s="68"/>
      <x:c r="R33" s="68"/>
      <x:c r="S33" s="68"/>
      <x:c r="T33" s="68"/>
      <x:c r="U33" s="68"/>
      <x:c r="V33" s="68"/>
      <x:c r="W33" s="68"/>
      <x:c r="X33" s="68"/>
      <x:c r="Y33" s="68"/>
      <x:c r="Z33" s="68"/>
      <x:c r="AA33" s="68"/>
      <x:c r="AB33" s="68"/>
      <x:c r="AC33" s="68"/>
      <x:c r="AD33" s="70"/>
      <x:c r="AE33" s="70"/>
      <x:c r="AF33" s="70"/>
      <x:c r="AG33" s="70"/>
      <x:c r="AH33" s="70"/>
      <x:c r="AI33" s="70"/>
      <x:c r="AJ33" s="70"/>
      <x:c r="AK33" s="70"/>
      <x:c r="AL33" s="70"/>
      <x:c r="AM33" s="70"/>
      <x:c r="AN33" s="70"/>
      <x:c r="AO33" s="70"/>
      <x:c r="AP33" s="70"/>
      <x:c r="AQ33" s="70"/>
      <x:c r="AR33" s="70"/>
      <x:c r="AS33" s="70"/>
      <x:c r="AT33" s="72"/>
      <x:c r="AU33" s="72"/>
      <x:c r="AV33" s="72"/>
      <x:c r="AW33" s="72"/>
      <x:c r="AX33" s="72"/>
      <x:c r="AY33" s="72"/>
      <x:c r="AZ33" s="72"/>
      <x:c r="BA33" s="73" t="str">
        <x:f>IF(C33="xiaohongshu",IF(COUNT(AF33,AE33)&lt;2,"",IFERROR(AF33/AE33,"")),"")</x:f>
      </x:c>
      <x:c r="BB33" s="73" t="str">
        <x:f>IF(C33="xiaohongshu",IF(COUNT(AG33,AE33)&lt;2,"",IFERROR(AG33/AE33,"")),"")</x:f>
      </x:c>
      <x:c r="BC33" s="73" t="str">
        <x:f>IF(C33="xiaohongshu",IF(COUNT(AN33,AE33)&lt;2,"",IFERROR(AN33/AE33,"")),"")</x:f>
      </x:c>
      <x:c r="BD33" s="73" t="str">
        <x:f>IF(C33="xiaohongshu",IF(COUNT(AQ33,AE33)&lt;2,"",IFERROR(AQ33/AE33,"")),"")</x:f>
      </x:c>
      <x:c r="BE33" s="73" t="str">
        <x:f>IF(C33="xiaohongshu",IF(COUNT(AI33,AE33)&lt;2,"",IFERROR(AI33/AE33,"")),"")</x:f>
      </x:c>
      <x:c r="BF33" s="73" t="str">
        <x:f>IF(C33="xiaohongshu",IF(OR(COUNT(AE33)=0,COUNT(AR33,AS33)=0),"",IFERROR((AR33+AS33)/AE33,"")),"")</x:f>
      </x:c>
      <x:c r="BG33" s="73" t="str">
        <x:f>IF(C33="x",IF(COUNT(AD33)=0,"",IF(COUNT(AM33)=1,IFERROR(AM33/AD33,""),IF(COUNT(AH33,AI33,AK33,AL33)=0,"",IFERROR(SUM(AH33,AI33,AK33,AL33)/AD33,"")))),"")</x:f>
      </x:c>
      <x:c r="BH33" s="73" t="str">
        <x:f>IF(C33="x",IF(COUNT(AJ33,AD33)&lt;2,"",IFERROR(AJ33/AD33,"")),"")</x:f>
      </x:c>
      <x:c r="BI33" s="73" t="str">
        <x:f>IF(C33="x",IF(COUNT(AO33,AD33)&lt;2,"",IFERROR(AO33/AD33,"")),"")</x:f>
      </x:c>
      <x:c r="BJ33" s="73" t="str">
        <x:f>IF(C33="x",IF(COUNT(AP33,AD33)&lt;2,"",IFERROR(AP33/AD33,"")),"")</x:f>
      </x:c>
      <x:c r="BK33" s="73" t="str">
        <x:f>IF(C33="x",IF(COUNT(AL33,AD33)&lt;2,"",IFERROR(AL33/AD33,"")),"")</x:f>
      </x:c>
      <x:c r="BL33" s="73" t="str">
        <x:f>IF(C33="x",IF(OR(COUNT(AD33)=0,COUNT(AR33,AS33)=0),"",IFERROR((AR33+AS33)/AD33,"")),"")</x:f>
      </x:c>
      <x:c r="BM33" s="73" t="str">
        <x:f>IF(AB33="xhs_save_rate",BA33,IF(AB33="xhs_completion_rate",BB33,IF(AB33="xhs_profile_visit_rate",BC33,IF(AB33="xhs_dm_intent_rate",BD33,IF(AB33="xhs_discussion_rate",BE33,IF(AB33="xhs_product_relevance_rate",BF33,IF(AB33="x_first_screen_engaged_rate_proxy",BG33,IF(AB33="x_qualified_reply_rate",BH33,IF(AB33="x_profile_click_rate",BI33,IF(AB33="x_link_intent_rate",BJ33,IF(AB33="x_bookmark_rate",BK33,IF(AB33="x_product_relevance_rate",BL33,""))))))))))))</x:f>
      </x:c>
      <x:c r="BN33" s="73" t="str">
        <x:f>IFERROR(BM33/AT33-1,"")</x:f>
      </x:c>
      <x:c r="BO33" s="73" t="str">
        <x:f>IF(AC33="","",IF(AC33="xhs_save_rate",BA33,IF(AC33="xhs_completion_rate",BB33,IF(AC33="xhs_profile_visit_rate",BC33,IF(AC33="xhs_dm_intent_rate",BD33,IF(AC33="xhs_discussion_rate",BE33,IF(AC33="xhs_product_relevance_rate",BF33,IF(AC33="x_first_screen_engaged_rate_proxy",BG33,IF(AC33="x_qualified_reply_rate",BH33,IF(AC33="x_profile_click_rate",BI33,IF(AC33="x_link_intent_rate",BJ33,IF(AC33="x_bookmark_rate",BK33,IF(AC33="x_product_relevance_rate",BL33,"")))))))))))))</x:f>
      </x:c>
      <x:c r="BP33" s="73" t="str">
        <x:f>IFERROR(BO33/AU33-1,"")</x:f>
      </x:c>
      <x:c r="BQ33" s="74" t="str">
        <x:f>IF(COUNT(AD33)=0,"",AD33)</x:f>
      </x:c>
      <x:c r="BR33" s="73" t="str">
        <x:f>IF(C33="xiaohongshu",IF(COUNT(BA33,BB33)=2,AVERAGE(BA33,BB33),IF(COUNT(BA33)=1,BA33,BB33)),BK33)</x:f>
      </x:c>
      <x:c r="BS33" s="73" t="str">
        <x:f>IF(C33="xiaohongshu",BE33,BH33)</x:f>
      </x:c>
      <x:c r="BT33" s="73" t="str">
        <x:f>IF(C33="xiaohongshu",IF(I33="save",BA33,IF(I33="discussion",BE33,IF(I33="profile_visit",BC33,IF(I33="dm",BD33,IF(OR(I33="product_question",I33="trial_intent"),BF33,""))))),IF(I33="save",BK33,IF(I33="discussion",BH33,IF(OR(I33="profile_visit",I33="dm"),BI33,IF(I33="link_click",BJ33,IF(OR(I33="product_question",I33="trial_intent"),BL33,""))))))</x:f>
      </x:c>
      <x:c r="BU33" s="73" t="str">
        <x:f>IF(C33="xiaohongshu",BF33,BL33)</x:f>
      </x:c>
      <x:c r="BV33" s="65" t="str">
        <x:f>IF(COUNT(BQ33,AV33)&lt;2,"unknown",IF(BQ33/AV33-1&gt;=0.2,"high",IF(BQ33/AV33-1&lt;=-0.2,"low","normal")))</x:f>
        <x:v>unknown</x:v>
      </x:c>
      <x:c r="BW33" s="65" t="str">
        <x:f>IF(COUNT(BR33,AW33)&lt;2,"unknown",IF(BR33/AW33-1&gt;=0.2,"high",IF(BR33/AW33-1&lt;=-0.2,"low","normal")))</x:f>
        <x:v>unknown</x:v>
      </x:c>
      <x:c r="BX33" s="65" t="str">
        <x:f>IF(COUNT(BS33,AX33)&lt;2,"unknown",IF(BS33/AX33-1&gt;=0.2,"high",IF(BS33/AX33-1&lt;=-0.2,"low","normal")))</x:f>
        <x:v>unknown</x:v>
      </x:c>
      <x:c r="BY33" s="65" t="str">
        <x:f>IF(COUNT(BT33,AY33)&lt;2,"unknown",IF(BT33/AY33-1&gt;=0.2,"high",IF(BT33/AY33-1&lt;=-0.2,"low","normal")))</x:f>
        <x:v>unknown</x:v>
      </x:c>
      <x:c r="BZ33" s="65" t="str">
        <x:f>IF(COUNT(BU33,AZ33)&lt;2,"unknown",IF(BU33/AZ33-1&gt;=0.2,"high",IF(BU33/AZ33-1&lt;=-0.2,"low","normal")))</x:f>
        <x:v>unknown</x:v>
      </x:c>
      <x:c r="CA33" s="65" t="str">
        <x:f>IF(T33&lt;&gt;"complete","pending",IF(OR(L33&lt;&gt;"pure",U33="true",COUNT(BM33,AT33)&lt;2,AND(AC33&lt;&gt;"",COUNT(BO33,AU33)&lt;2)),"not_attributable","attributable"))</x:f>
        <x:v>pending</x:v>
      </x:c>
      <x:c r="CB33" s="65" t="str">
        <x:f>IF(T33&lt;&gt;"complete","not_evaluated",IF(COUNT(BM33,AT33)&lt;2,"insufficient_data",IF(AND(AC33&lt;&gt;"",COUNT(BP33)=1,BP33&lt;=-0.2),"guardrail_fail",IF(AND(CA33="not_attributable",OR(BV33="high",BN33&gt;=0.2)),"watchlist",IF(CA33&lt;&gt;"attributable","insufficient_data",IF(BN33&gt;=0.2,"win",IF(BN33&lt;=-0.2,"loss","inconclusive")))))))</x:f>
        <x:v>not_evaluated</x:v>
      </x:c>
      <x:c r="CC33" s="65" t="str">
        <x:f>IF(T33&lt;&gt;"complete","COLLECT_MORE_DATA",IF(COUNT(BM33,AT33)&lt;2,"FIX_TRACKING",IF(CB33="guardrail_fail","STOP_VARIANT_GUARDRAIL",IF(CB33="watchlist","WATCHLIST_ONLY",IF(AND(BV33="high",BY33="low"),"KEEP_HOOK_REWRITE_CTA",IF(AND(BW33="high",BX33="low"),"KEEP_STRUCTURE_CHANGE_DISCUSSION_ANGLE",IF(AND(BX33="high",BZ33="low"),"DOWNWEIGHT_TEMPLATE",IF(CB33="win","RETEST_WINNER",IF(CB33="loss","RETURN_TO_BASELINE","COLLECT_MORE_DATA")))))))))</x:f>
        <x:v>COLLECT_MORE_DATA</x:v>
      </x:c>
      <x:c r="CD33" s="75"/>
    </x:row>
    <x:row r="34">
      <x:c r="A34" s="68"/>
      <x:c r="B34" s="69"/>
      <x:c r="C34" s="68"/>
      <x:c r="D34" s="68"/>
      <x:c r="E34" s="68"/>
      <x:c r="F34" s="68"/>
      <x:c r="G34" s="68"/>
      <x:c r="H34" s="70"/>
      <x:c r="I34" s="68"/>
      <x:c r="J34" s="68"/>
      <x:c r="K34" s="68"/>
      <x:c r="L34" s="71" t="str">
        <x:f>IF(K34="","unknown",IF(K34=0,"baseline",IF(K34=1,"pure","mixed")))</x:f>
        <x:v>unknown</x:v>
      </x:c>
      <x:c r="M34" s="68"/>
      <x:c r="N34" s="68"/>
      <x:c r="O34" s="68"/>
      <x:c r="P34" s="68"/>
      <x:c r="Q34" s="68"/>
      <x:c r="R34" s="68"/>
      <x:c r="S34" s="68"/>
      <x:c r="T34" s="68"/>
      <x:c r="U34" s="68"/>
      <x:c r="V34" s="68"/>
      <x:c r="W34" s="68"/>
      <x:c r="X34" s="68"/>
      <x:c r="Y34" s="68"/>
      <x:c r="Z34" s="68"/>
      <x:c r="AA34" s="68"/>
      <x:c r="AB34" s="68"/>
      <x:c r="AC34" s="68"/>
      <x:c r="AD34" s="70"/>
      <x:c r="AE34" s="70"/>
      <x:c r="AF34" s="70"/>
      <x:c r="AG34" s="70"/>
      <x:c r="AH34" s="70"/>
      <x:c r="AI34" s="70"/>
      <x:c r="AJ34" s="70"/>
      <x:c r="AK34" s="70"/>
      <x:c r="AL34" s="70"/>
      <x:c r="AM34" s="70"/>
      <x:c r="AN34" s="70"/>
      <x:c r="AO34" s="70"/>
      <x:c r="AP34" s="70"/>
      <x:c r="AQ34" s="70"/>
      <x:c r="AR34" s="70"/>
      <x:c r="AS34" s="70"/>
      <x:c r="AT34" s="72"/>
      <x:c r="AU34" s="72"/>
      <x:c r="AV34" s="72"/>
      <x:c r="AW34" s="72"/>
      <x:c r="AX34" s="72"/>
      <x:c r="AY34" s="72"/>
      <x:c r="AZ34" s="72"/>
      <x:c r="BA34" s="73" t="str">
        <x:f>IF(C34="xiaohongshu",IF(COUNT(AF34,AE34)&lt;2,"",IFERROR(AF34/AE34,"")),"")</x:f>
      </x:c>
      <x:c r="BB34" s="73" t="str">
        <x:f>IF(C34="xiaohongshu",IF(COUNT(AG34,AE34)&lt;2,"",IFERROR(AG34/AE34,"")),"")</x:f>
      </x:c>
      <x:c r="BC34" s="73" t="str">
        <x:f>IF(C34="xiaohongshu",IF(COUNT(AN34,AE34)&lt;2,"",IFERROR(AN34/AE34,"")),"")</x:f>
      </x:c>
      <x:c r="BD34" s="73" t="str">
        <x:f>IF(C34="xiaohongshu",IF(COUNT(AQ34,AE34)&lt;2,"",IFERROR(AQ34/AE34,"")),"")</x:f>
      </x:c>
      <x:c r="BE34" s="73" t="str">
        <x:f>IF(C34="xiaohongshu",IF(COUNT(AI34,AE34)&lt;2,"",IFERROR(AI34/AE34,"")),"")</x:f>
      </x:c>
      <x:c r="BF34" s="73" t="str">
        <x:f>IF(C34="xiaohongshu",IF(OR(COUNT(AE34)=0,COUNT(AR34,AS34)=0),"",IFERROR((AR34+AS34)/AE34,"")),"")</x:f>
      </x:c>
      <x:c r="BG34" s="73" t="str">
        <x:f>IF(C34="x",IF(COUNT(AD34)=0,"",IF(COUNT(AM34)=1,IFERROR(AM34/AD34,""),IF(COUNT(AH34,AI34,AK34,AL34)=0,"",IFERROR(SUM(AH34,AI34,AK34,AL34)/AD34,"")))),"")</x:f>
      </x:c>
      <x:c r="BH34" s="73" t="str">
        <x:f>IF(C34="x",IF(COUNT(AJ34,AD34)&lt;2,"",IFERROR(AJ34/AD34,"")),"")</x:f>
      </x:c>
      <x:c r="BI34" s="73" t="str">
        <x:f>IF(C34="x",IF(COUNT(AO34,AD34)&lt;2,"",IFERROR(AO34/AD34,"")),"")</x:f>
      </x:c>
      <x:c r="BJ34" s="73" t="str">
        <x:f>IF(C34="x",IF(COUNT(AP34,AD34)&lt;2,"",IFERROR(AP34/AD34,"")),"")</x:f>
      </x:c>
      <x:c r="BK34" s="73" t="str">
        <x:f>IF(C34="x",IF(COUNT(AL34,AD34)&lt;2,"",IFERROR(AL34/AD34,"")),"")</x:f>
      </x:c>
      <x:c r="BL34" s="73" t="str">
        <x:f>IF(C34="x",IF(OR(COUNT(AD34)=0,COUNT(AR34,AS34)=0),"",IFERROR((AR34+AS34)/AD34,"")),"")</x:f>
      </x:c>
      <x:c r="BM34" s="73" t="str">
        <x:f>IF(AB34="xhs_save_rate",BA34,IF(AB34="xhs_completion_rate",BB34,IF(AB34="xhs_profile_visit_rate",BC34,IF(AB34="xhs_dm_intent_rate",BD34,IF(AB34="xhs_discussion_rate",BE34,IF(AB34="xhs_product_relevance_rate",BF34,IF(AB34="x_first_screen_engaged_rate_proxy",BG34,IF(AB34="x_qualified_reply_rate",BH34,IF(AB34="x_profile_click_rate",BI34,IF(AB34="x_link_intent_rate",BJ34,IF(AB34="x_bookmark_rate",BK34,IF(AB34="x_product_relevance_rate",BL34,""))))))))))))</x:f>
      </x:c>
      <x:c r="BN34" s="73" t="str">
        <x:f>IFERROR(BM34/AT34-1,"")</x:f>
      </x:c>
      <x:c r="BO34" s="73" t="str">
        <x:f>IF(AC34="","",IF(AC34="xhs_save_rate",BA34,IF(AC34="xhs_completion_rate",BB34,IF(AC34="xhs_profile_visit_rate",BC34,IF(AC34="xhs_dm_intent_rate",BD34,IF(AC34="xhs_discussion_rate",BE34,IF(AC34="xhs_product_relevance_rate",BF34,IF(AC34="x_first_screen_engaged_rate_proxy",BG34,IF(AC34="x_qualified_reply_rate",BH34,IF(AC34="x_profile_click_rate",BI34,IF(AC34="x_link_intent_rate",BJ34,IF(AC34="x_bookmark_rate",BK34,IF(AC34="x_product_relevance_rate",BL34,"")))))))))))))</x:f>
      </x:c>
      <x:c r="BP34" s="73" t="str">
        <x:f>IFERROR(BO34/AU34-1,"")</x:f>
      </x:c>
      <x:c r="BQ34" s="74" t="str">
        <x:f>IF(COUNT(AD34)=0,"",AD34)</x:f>
      </x:c>
      <x:c r="BR34" s="73" t="str">
        <x:f>IF(C34="xiaohongshu",IF(COUNT(BA34,BB34)=2,AVERAGE(BA34,BB34),IF(COUNT(BA34)=1,BA34,BB34)),BK34)</x:f>
      </x:c>
      <x:c r="BS34" s="73" t="str">
        <x:f>IF(C34="xiaohongshu",BE34,BH34)</x:f>
      </x:c>
      <x:c r="BT34" s="73" t="str">
        <x:f>IF(C34="xiaohongshu",IF(I34="save",BA34,IF(I34="discussion",BE34,IF(I34="profile_visit",BC34,IF(I34="dm",BD34,IF(OR(I34="product_question",I34="trial_intent"),BF34,""))))),IF(I34="save",BK34,IF(I34="discussion",BH34,IF(OR(I34="profile_visit",I34="dm"),BI34,IF(I34="link_click",BJ34,IF(OR(I34="product_question",I34="trial_intent"),BL34,""))))))</x:f>
      </x:c>
      <x:c r="BU34" s="73" t="str">
        <x:f>IF(C34="xiaohongshu",BF34,BL34)</x:f>
      </x:c>
      <x:c r="BV34" s="65" t="str">
        <x:f>IF(COUNT(BQ34,AV34)&lt;2,"unknown",IF(BQ34/AV34-1&gt;=0.2,"high",IF(BQ34/AV34-1&lt;=-0.2,"low","normal")))</x:f>
        <x:v>unknown</x:v>
      </x:c>
      <x:c r="BW34" s="65" t="str">
        <x:f>IF(COUNT(BR34,AW34)&lt;2,"unknown",IF(BR34/AW34-1&gt;=0.2,"high",IF(BR34/AW34-1&lt;=-0.2,"low","normal")))</x:f>
        <x:v>unknown</x:v>
      </x:c>
      <x:c r="BX34" s="65" t="str">
        <x:f>IF(COUNT(BS34,AX34)&lt;2,"unknown",IF(BS34/AX34-1&gt;=0.2,"high",IF(BS34/AX34-1&lt;=-0.2,"low","normal")))</x:f>
        <x:v>unknown</x:v>
      </x:c>
      <x:c r="BY34" s="65" t="str">
        <x:f>IF(COUNT(BT34,AY34)&lt;2,"unknown",IF(BT34/AY34-1&gt;=0.2,"high",IF(BT34/AY34-1&lt;=-0.2,"low","normal")))</x:f>
        <x:v>unknown</x:v>
      </x:c>
      <x:c r="BZ34" s="65" t="str">
        <x:f>IF(COUNT(BU34,AZ34)&lt;2,"unknown",IF(BU34/AZ34-1&gt;=0.2,"high",IF(BU34/AZ34-1&lt;=-0.2,"low","normal")))</x:f>
        <x:v>unknown</x:v>
      </x:c>
      <x:c r="CA34" s="65" t="str">
        <x:f>IF(T34&lt;&gt;"complete","pending",IF(OR(L34&lt;&gt;"pure",U34="true",COUNT(BM34,AT34)&lt;2,AND(AC34&lt;&gt;"",COUNT(BO34,AU34)&lt;2)),"not_attributable","attributable"))</x:f>
        <x:v>pending</x:v>
      </x:c>
      <x:c r="CB34" s="65" t="str">
        <x:f>IF(T34&lt;&gt;"complete","not_evaluated",IF(COUNT(BM34,AT34)&lt;2,"insufficient_data",IF(AND(AC34&lt;&gt;"",COUNT(BP34)=1,BP34&lt;=-0.2),"guardrail_fail",IF(AND(CA34="not_attributable",OR(BV34="high",BN34&gt;=0.2)),"watchlist",IF(CA34&lt;&gt;"attributable","insufficient_data",IF(BN34&gt;=0.2,"win",IF(BN34&lt;=-0.2,"loss","inconclusive")))))))</x:f>
        <x:v>not_evaluated</x:v>
      </x:c>
      <x:c r="CC34" s="65" t="str">
        <x:f>IF(T34&lt;&gt;"complete","COLLECT_MORE_DATA",IF(COUNT(BM34,AT34)&lt;2,"FIX_TRACKING",IF(CB34="guardrail_fail","STOP_VARIANT_GUARDRAIL",IF(CB34="watchlist","WATCHLIST_ONLY",IF(AND(BV34="high",BY34="low"),"KEEP_HOOK_REWRITE_CTA",IF(AND(BW34="high",BX34="low"),"KEEP_STRUCTURE_CHANGE_DISCUSSION_ANGLE",IF(AND(BX34="high",BZ34="low"),"DOWNWEIGHT_TEMPLATE",IF(CB34="win","RETEST_WINNER",IF(CB34="loss","RETURN_TO_BASELINE","COLLECT_MORE_DATA")))))))))</x:f>
        <x:v>COLLECT_MORE_DATA</x:v>
      </x:c>
      <x:c r="CD34" s="75"/>
    </x:row>
    <x:row r="35">
      <x:c r="A35" s="68"/>
      <x:c r="B35" s="69"/>
      <x:c r="C35" s="68"/>
      <x:c r="D35" s="68"/>
      <x:c r="E35" s="68"/>
      <x:c r="F35" s="68"/>
      <x:c r="G35" s="68"/>
      <x:c r="H35" s="70"/>
      <x:c r="I35" s="68"/>
      <x:c r="J35" s="68"/>
      <x:c r="K35" s="68"/>
      <x:c r="L35" s="71" t="str">
        <x:f>IF(K35="","unknown",IF(K35=0,"baseline",IF(K35=1,"pure","mixed")))</x:f>
        <x:v>unknown</x:v>
      </x:c>
      <x:c r="M35" s="68"/>
      <x:c r="N35" s="68"/>
      <x:c r="O35" s="68"/>
      <x:c r="P35" s="68"/>
      <x:c r="Q35" s="68"/>
      <x:c r="R35" s="68"/>
      <x:c r="S35" s="68"/>
      <x:c r="T35" s="68"/>
      <x:c r="U35" s="68"/>
      <x:c r="V35" s="68"/>
      <x:c r="W35" s="68"/>
      <x:c r="X35" s="68"/>
      <x:c r="Y35" s="68"/>
      <x:c r="Z35" s="68"/>
      <x:c r="AA35" s="68"/>
      <x:c r="AB35" s="68"/>
      <x:c r="AC35" s="68"/>
      <x:c r="AD35" s="70"/>
      <x:c r="AE35" s="70"/>
      <x:c r="AF35" s="70"/>
      <x:c r="AG35" s="70"/>
      <x:c r="AH35" s="70"/>
      <x:c r="AI35" s="70"/>
      <x:c r="AJ35" s="70"/>
      <x:c r="AK35" s="70"/>
      <x:c r="AL35" s="70"/>
      <x:c r="AM35" s="70"/>
      <x:c r="AN35" s="70"/>
      <x:c r="AO35" s="70"/>
      <x:c r="AP35" s="70"/>
      <x:c r="AQ35" s="70"/>
      <x:c r="AR35" s="70"/>
      <x:c r="AS35" s="70"/>
      <x:c r="AT35" s="72"/>
      <x:c r="AU35" s="72"/>
      <x:c r="AV35" s="72"/>
      <x:c r="AW35" s="72"/>
      <x:c r="AX35" s="72"/>
      <x:c r="AY35" s="72"/>
      <x:c r="AZ35" s="72"/>
      <x:c r="BA35" s="73" t="str">
        <x:f>IF(C35="xiaohongshu",IF(COUNT(AF35,AE35)&lt;2,"",IFERROR(AF35/AE35,"")),"")</x:f>
      </x:c>
      <x:c r="BB35" s="73" t="str">
        <x:f>IF(C35="xiaohongshu",IF(COUNT(AG35,AE35)&lt;2,"",IFERROR(AG35/AE35,"")),"")</x:f>
      </x:c>
      <x:c r="BC35" s="73" t="str">
        <x:f>IF(C35="xiaohongshu",IF(COUNT(AN35,AE35)&lt;2,"",IFERROR(AN35/AE35,"")),"")</x:f>
      </x:c>
      <x:c r="BD35" s="73" t="str">
        <x:f>IF(C35="xiaohongshu",IF(COUNT(AQ35,AE35)&lt;2,"",IFERROR(AQ35/AE35,"")),"")</x:f>
      </x:c>
      <x:c r="BE35" s="73" t="str">
        <x:f>IF(C35="xiaohongshu",IF(COUNT(AI35,AE35)&lt;2,"",IFERROR(AI35/AE35,"")),"")</x:f>
      </x:c>
      <x:c r="BF35" s="73" t="str">
        <x:f>IF(C35="xiaohongshu",IF(OR(COUNT(AE35)=0,COUNT(AR35,AS35)=0),"",IFERROR((AR35+AS35)/AE35,"")),"")</x:f>
      </x:c>
      <x:c r="BG35" s="73" t="str">
        <x:f>IF(C35="x",IF(COUNT(AD35)=0,"",IF(COUNT(AM35)=1,IFERROR(AM35/AD35,""),IF(COUNT(AH35,AI35,AK35,AL35)=0,"",IFERROR(SUM(AH35,AI35,AK35,AL35)/AD35,"")))),"")</x:f>
      </x:c>
      <x:c r="BH35" s="73" t="str">
        <x:f>IF(C35="x",IF(COUNT(AJ35,AD35)&lt;2,"",IFERROR(AJ35/AD35,"")),"")</x:f>
      </x:c>
      <x:c r="BI35" s="73" t="str">
        <x:f>IF(C35="x",IF(COUNT(AO35,AD35)&lt;2,"",IFERROR(AO35/AD35,"")),"")</x:f>
      </x:c>
      <x:c r="BJ35" s="73" t="str">
        <x:f>IF(C35="x",IF(COUNT(AP35,AD35)&lt;2,"",IFERROR(AP35/AD35,"")),"")</x:f>
      </x:c>
      <x:c r="BK35" s="73" t="str">
        <x:f>IF(C35="x",IF(COUNT(AL35,AD35)&lt;2,"",IFERROR(AL35/AD35,"")),"")</x:f>
      </x:c>
      <x:c r="BL35" s="73" t="str">
        <x:f>IF(C35="x",IF(OR(COUNT(AD35)=0,COUNT(AR35,AS35)=0),"",IFERROR((AR35+AS35)/AD35,"")),"")</x:f>
      </x:c>
      <x:c r="BM35" s="73" t="str">
        <x:f>IF(AB35="xhs_save_rate",BA35,IF(AB35="xhs_completion_rate",BB35,IF(AB35="xhs_profile_visit_rate",BC35,IF(AB35="xhs_dm_intent_rate",BD35,IF(AB35="xhs_discussion_rate",BE35,IF(AB35="xhs_product_relevance_rate",BF35,IF(AB35="x_first_screen_engaged_rate_proxy",BG35,IF(AB35="x_qualified_reply_rate",BH35,IF(AB35="x_profile_click_rate",BI35,IF(AB35="x_link_intent_rate",BJ35,IF(AB35="x_bookmark_rate",BK35,IF(AB35="x_product_relevance_rate",BL35,""))))))))))))</x:f>
      </x:c>
      <x:c r="BN35" s="73" t="str">
        <x:f>IFERROR(BM35/AT35-1,"")</x:f>
      </x:c>
      <x:c r="BO35" s="73" t="str">
        <x:f>IF(AC35="","",IF(AC35="xhs_save_rate",BA35,IF(AC35="xhs_completion_rate",BB35,IF(AC35="xhs_profile_visit_rate",BC35,IF(AC35="xhs_dm_intent_rate",BD35,IF(AC35="xhs_discussion_rate",BE35,IF(AC35="xhs_product_relevance_rate",BF35,IF(AC35="x_first_screen_engaged_rate_proxy",BG35,IF(AC35="x_qualified_reply_rate",BH35,IF(AC35="x_profile_click_rate",BI35,IF(AC35="x_link_intent_rate",BJ35,IF(AC35="x_bookmark_rate",BK35,IF(AC35="x_product_relevance_rate",BL35,"")))))))))))))</x:f>
      </x:c>
      <x:c r="BP35" s="73" t="str">
        <x:f>IFERROR(BO35/AU35-1,"")</x:f>
      </x:c>
      <x:c r="BQ35" s="74" t="str">
        <x:f>IF(COUNT(AD35)=0,"",AD35)</x:f>
      </x:c>
      <x:c r="BR35" s="73" t="str">
        <x:f>IF(C35="xiaohongshu",IF(COUNT(BA35,BB35)=2,AVERAGE(BA35,BB35),IF(COUNT(BA35)=1,BA35,BB35)),BK35)</x:f>
      </x:c>
      <x:c r="BS35" s="73" t="str">
        <x:f>IF(C35="xiaohongshu",BE35,BH35)</x:f>
      </x:c>
      <x:c r="BT35" s="73" t="str">
        <x:f>IF(C35="xiaohongshu",IF(I35="save",BA35,IF(I35="discussion",BE35,IF(I35="profile_visit",BC35,IF(I35="dm",BD35,IF(OR(I35="product_question",I35="trial_intent"),BF35,""))))),IF(I35="save",BK35,IF(I35="discussion",BH35,IF(OR(I35="profile_visit",I35="dm"),BI35,IF(I35="link_click",BJ35,IF(OR(I35="product_question",I35="trial_intent"),BL35,""))))))</x:f>
      </x:c>
      <x:c r="BU35" s="73" t="str">
        <x:f>IF(C35="xiaohongshu",BF35,BL35)</x:f>
      </x:c>
      <x:c r="BV35" s="65" t="str">
        <x:f>IF(COUNT(BQ35,AV35)&lt;2,"unknown",IF(BQ35/AV35-1&gt;=0.2,"high",IF(BQ35/AV35-1&lt;=-0.2,"low","normal")))</x:f>
        <x:v>unknown</x:v>
      </x:c>
      <x:c r="BW35" s="65" t="str">
        <x:f>IF(COUNT(BR35,AW35)&lt;2,"unknown",IF(BR35/AW35-1&gt;=0.2,"high",IF(BR35/AW35-1&lt;=-0.2,"low","normal")))</x:f>
        <x:v>unknown</x:v>
      </x:c>
      <x:c r="BX35" s="65" t="str">
        <x:f>IF(COUNT(BS35,AX35)&lt;2,"unknown",IF(BS35/AX35-1&gt;=0.2,"high",IF(BS35/AX35-1&lt;=-0.2,"low","normal")))</x:f>
        <x:v>unknown</x:v>
      </x:c>
      <x:c r="BY35" s="65" t="str">
        <x:f>IF(COUNT(BT35,AY35)&lt;2,"unknown",IF(BT35/AY35-1&gt;=0.2,"high",IF(BT35/AY35-1&lt;=-0.2,"low","normal")))</x:f>
        <x:v>unknown</x:v>
      </x:c>
      <x:c r="BZ35" s="65" t="str">
        <x:f>IF(COUNT(BU35,AZ35)&lt;2,"unknown",IF(BU35/AZ35-1&gt;=0.2,"high",IF(BU35/AZ35-1&lt;=-0.2,"low","normal")))</x:f>
        <x:v>unknown</x:v>
      </x:c>
      <x:c r="CA35" s="65" t="str">
        <x:f>IF(T35&lt;&gt;"complete","pending",IF(OR(L35&lt;&gt;"pure",U35="true",COUNT(BM35,AT35)&lt;2,AND(AC35&lt;&gt;"",COUNT(BO35,AU35)&lt;2)),"not_attributable","attributable"))</x:f>
        <x:v>pending</x:v>
      </x:c>
      <x:c r="CB35" s="65" t="str">
        <x:f>IF(T35&lt;&gt;"complete","not_evaluated",IF(COUNT(BM35,AT35)&lt;2,"insufficient_data",IF(AND(AC35&lt;&gt;"",COUNT(BP35)=1,BP35&lt;=-0.2),"guardrail_fail",IF(AND(CA35="not_attributable",OR(BV35="high",BN35&gt;=0.2)),"watchlist",IF(CA35&lt;&gt;"attributable","insufficient_data",IF(BN35&gt;=0.2,"win",IF(BN35&lt;=-0.2,"loss","inconclusive")))))))</x:f>
        <x:v>not_evaluated</x:v>
      </x:c>
      <x:c r="CC35" s="65" t="str">
        <x:f>IF(T35&lt;&gt;"complete","COLLECT_MORE_DATA",IF(COUNT(BM35,AT35)&lt;2,"FIX_TRACKING",IF(CB35="guardrail_fail","STOP_VARIANT_GUARDRAIL",IF(CB35="watchlist","WATCHLIST_ONLY",IF(AND(BV35="high",BY35="low"),"KEEP_HOOK_REWRITE_CTA",IF(AND(BW35="high",BX35="low"),"KEEP_STRUCTURE_CHANGE_DISCUSSION_ANGLE",IF(AND(BX35="high",BZ35="low"),"DOWNWEIGHT_TEMPLATE",IF(CB35="win","RETEST_WINNER",IF(CB35="loss","RETURN_TO_BASELINE","COLLECT_MORE_DATA")))))))))</x:f>
        <x:v>COLLECT_MORE_DATA</x:v>
      </x:c>
      <x:c r="CD35" s="75"/>
    </x:row>
    <x:row r="36">
      <x:c r="A36" s="68"/>
      <x:c r="B36" s="69"/>
      <x:c r="C36" s="68"/>
      <x:c r="D36" s="68"/>
      <x:c r="E36" s="68"/>
      <x:c r="F36" s="68"/>
      <x:c r="G36" s="68"/>
      <x:c r="H36" s="70"/>
      <x:c r="I36" s="68"/>
      <x:c r="J36" s="68"/>
      <x:c r="K36" s="68"/>
      <x:c r="L36" s="71" t="str">
        <x:f>IF(K36="","unknown",IF(K36=0,"baseline",IF(K36=1,"pure","mixed")))</x:f>
        <x:v>unknown</x:v>
      </x:c>
      <x:c r="M36" s="68"/>
      <x:c r="N36" s="68"/>
      <x:c r="O36" s="68"/>
      <x:c r="P36" s="68"/>
      <x:c r="Q36" s="68"/>
      <x:c r="R36" s="68"/>
      <x:c r="S36" s="68"/>
      <x:c r="T36" s="68"/>
      <x:c r="U36" s="68"/>
      <x:c r="V36" s="68"/>
      <x:c r="W36" s="68"/>
      <x:c r="X36" s="68"/>
      <x:c r="Y36" s="68"/>
      <x:c r="Z36" s="68"/>
      <x:c r="AA36" s="68"/>
      <x:c r="AB36" s="68"/>
      <x:c r="AC36" s="68"/>
      <x:c r="AD36" s="70"/>
      <x:c r="AE36" s="70"/>
      <x:c r="AF36" s="70"/>
      <x:c r="AG36" s="70"/>
      <x:c r="AH36" s="70"/>
      <x:c r="AI36" s="70"/>
      <x:c r="AJ36" s="70"/>
      <x:c r="AK36" s="70"/>
      <x:c r="AL36" s="70"/>
      <x:c r="AM36" s="70"/>
      <x:c r="AN36" s="70"/>
      <x:c r="AO36" s="70"/>
      <x:c r="AP36" s="70"/>
      <x:c r="AQ36" s="70"/>
      <x:c r="AR36" s="70"/>
      <x:c r="AS36" s="70"/>
      <x:c r="AT36" s="72"/>
      <x:c r="AU36" s="72"/>
      <x:c r="AV36" s="72"/>
      <x:c r="AW36" s="72"/>
      <x:c r="AX36" s="72"/>
      <x:c r="AY36" s="72"/>
      <x:c r="AZ36" s="72"/>
      <x:c r="BA36" s="73" t="str">
        <x:f>IF(C36="xiaohongshu",IF(COUNT(AF36,AE36)&lt;2,"",IFERROR(AF36/AE36,"")),"")</x:f>
      </x:c>
      <x:c r="BB36" s="73" t="str">
        <x:f>IF(C36="xiaohongshu",IF(COUNT(AG36,AE36)&lt;2,"",IFERROR(AG36/AE36,"")),"")</x:f>
      </x:c>
      <x:c r="BC36" s="73" t="str">
        <x:f>IF(C36="xiaohongshu",IF(COUNT(AN36,AE36)&lt;2,"",IFERROR(AN36/AE36,"")),"")</x:f>
      </x:c>
      <x:c r="BD36" s="73" t="str">
        <x:f>IF(C36="xiaohongshu",IF(COUNT(AQ36,AE36)&lt;2,"",IFERROR(AQ36/AE36,"")),"")</x:f>
      </x:c>
      <x:c r="BE36" s="73" t="str">
        <x:f>IF(C36="xiaohongshu",IF(COUNT(AI36,AE36)&lt;2,"",IFERROR(AI36/AE36,"")),"")</x:f>
      </x:c>
      <x:c r="BF36" s="73" t="str">
        <x:f>IF(C36="xiaohongshu",IF(OR(COUNT(AE36)=0,COUNT(AR36,AS36)=0),"",IFERROR((AR36+AS36)/AE36,"")),"")</x:f>
      </x:c>
      <x:c r="BG36" s="73" t="str">
        <x:f>IF(C36="x",IF(COUNT(AD36)=0,"",IF(COUNT(AM36)=1,IFERROR(AM36/AD36,""),IF(COUNT(AH36,AI36,AK36,AL36)=0,"",IFERROR(SUM(AH36,AI36,AK36,AL36)/AD36,"")))),"")</x:f>
      </x:c>
      <x:c r="BH36" s="73" t="str">
        <x:f>IF(C36="x",IF(COUNT(AJ36,AD36)&lt;2,"",IFERROR(AJ36/AD36,"")),"")</x:f>
      </x:c>
      <x:c r="BI36" s="73" t="str">
        <x:f>IF(C36="x",IF(COUNT(AO36,AD36)&lt;2,"",IFERROR(AO36/AD36,"")),"")</x:f>
      </x:c>
      <x:c r="BJ36" s="73" t="str">
        <x:f>IF(C36="x",IF(COUNT(AP36,AD36)&lt;2,"",IFERROR(AP36/AD36,"")),"")</x:f>
      </x:c>
      <x:c r="BK36" s="73" t="str">
        <x:f>IF(C36="x",IF(COUNT(AL36,AD36)&lt;2,"",IFERROR(AL36/AD36,"")),"")</x:f>
      </x:c>
      <x:c r="BL36" s="73" t="str">
        <x:f>IF(C36="x",IF(OR(COUNT(AD36)=0,COUNT(AR36,AS36)=0),"",IFERROR((AR36+AS36)/AD36,"")),"")</x:f>
      </x:c>
      <x:c r="BM36" s="73" t="str">
        <x:f>IF(AB36="xhs_save_rate",BA36,IF(AB36="xhs_completion_rate",BB36,IF(AB36="xhs_profile_visit_rate",BC36,IF(AB36="xhs_dm_intent_rate",BD36,IF(AB36="xhs_discussion_rate",BE36,IF(AB36="xhs_product_relevance_rate",BF36,IF(AB36="x_first_screen_engaged_rate_proxy",BG36,IF(AB36="x_qualified_reply_rate",BH36,IF(AB36="x_profile_click_rate",BI36,IF(AB36="x_link_intent_rate",BJ36,IF(AB36="x_bookmark_rate",BK36,IF(AB36="x_product_relevance_rate",BL36,""))))))))))))</x:f>
      </x:c>
      <x:c r="BN36" s="73" t="str">
        <x:f>IFERROR(BM36/AT36-1,"")</x:f>
      </x:c>
      <x:c r="BO36" s="73" t="str">
        <x:f>IF(AC36="","",IF(AC36="xhs_save_rate",BA36,IF(AC36="xhs_completion_rate",BB36,IF(AC36="xhs_profile_visit_rate",BC36,IF(AC36="xhs_dm_intent_rate",BD36,IF(AC36="xhs_discussion_rate",BE36,IF(AC36="xhs_product_relevance_rate",BF36,IF(AC36="x_first_screen_engaged_rate_proxy",BG36,IF(AC36="x_qualified_reply_rate",BH36,IF(AC36="x_profile_click_rate",BI36,IF(AC36="x_link_intent_rate",BJ36,IF(AC36="x_bookmark_rate",BK36,IF(AC36="x_product_relevance_rate",BL36,"")))))))))))))</x:f>
      </x:c>
      <x:c r="BP36" s="73" t="str">
        <x:f>IFERROR(BO36/AU36-1,"")</x:f>
      </x:c>
      <x:c r="BQ36" s="74" t="str">
        <x:f>IF(COUNT(AD36)=0,"",AD36)</x:f>
      </x:c>
      <x:c r="BR36" s="73" t="str">
        <x:f>IF(C36="xiaohongshu",IF(COUNT(BA36,BB36)=2,AVERAGE(BA36,BB36),IF(COUNT(BA36)=1,BA36,BB36)),BK36)</x:f>
      </x:c>
      <x:c r="BS36" s="73" t="str">
        <x:f>IF(C36="xiaohongshu",BE36,BH36)</x:f>
      </x:c>
      <x:c r="BT36" s="73" t="str">
        <x:f>IF(C36="xiaohongshu",IF(I36="save",BA36,IF(I36="discussion",BE36,IF(I36="profile_visit",BC36,IF(I36="dm",BD36,IF(OR(I36="product_question",I36="trial_intent"),BF36,""))))),IF(I36="save",BK36,IF(I36="discussion",BH36,IF(OR(I36="profile_visit",I36="dm"),BI36,IF(I36="link_click",BJ36,IF(OR(I36="product_question",I36="trial_intent"),BL36,""))))))</x:f>
      </x:c>
      <x:c r="BU36" s="73" t="str">
        <x:f>IF(C36="xiaohongshu",BF36,BL36)</x:f>
      </x:c>
      <x:c r="BV36" s="65" t="str">
        <x:f>IF(COUNT(BQ36,AV36)&lt;2,"unknown",IF(BQ36/AV36-1&gt;=0.2,"high",IF(BQ36/AV36-1&lt;=-0.2,"low","normal")))</x:f>
        <x:v>unknown</x:v>
      </x:c>
      <x:c r="BW36" s="65" t="str">
        <x:f>IF(COUNT(BR36,AW36)&lt;2,"unknown",IF(BR36/AW36-1&gt;=0.2,"high",IF(BR36/AW36-1&lt;=-0.2,"low","normal")))</x:f>
        <x:v>unknown</x:v>
      </x:c>
      <x:c r="BX36" s="65" t="str">
        <x:f>IF(COUNT(BS36,AX36)&lt;2,"unknown",IF(BS36/AX36-1&gt;=0.2,"high",IF(BS36/AX36-1&lt;=-0.2,"low","normal")))</x:f>
        <x:v>unknown</x:v>
      </x:c>
      <x:c r="BY36" s="65" t="str">
        <x:f>IF(COUNT(BT36,AY36)&lt;2,"unknown",IF(BT36/AY36-1&gt;=0.2,"high",IF(BT36/AY36-1&lt;=-0.2,"low","normal")))</x:f>
        <x:v>unknown</x:v>
      </x:c>
      <x:c r="BZ36" s="65" t="str">
        <x:f>IF(COUNT(BU36,AZ36)&lt;2,"unknown",IF(BU36/AZ36-1&gt;=0.2,"high",IF(BU36/AZ36-1&lt;=-0.2,"low","normal")))</x:f>
        <x:v>unknown</x:v>
      </x:c>
      <x:c r="CA36" s="65" t="str">
        <x:f>IF(T36&lt;&gt;"complete","pending",IF(OR(L36&lt;&gt;"pure",U36="true",COUNT(BM36,AT36)&lt;2,AND(AC36&lt;&gt;"",COUNT(BO36,AU36)&lt;2)),"not_attributable","attributable"))</x:f>
        <x:v>pending</x:v>
      </x:c>
      <x:c r="CB36" s="65" t="str">
        <x:f>IF(T36&lt;&gt;"complete","not_evaluated",IF(COUNT(BM36,AT36)&lt;2,"insufficient_data",IF(AND(AC36&lt;&gt;"",COUNT(BP36)=1,BP36&lt;=-0.2),"guardrail_fail",IF(AND(CA36="not_attributable",OR(BV36="high",BN36&gt;=0.2)),"watchlist",IF(CA36&lt;&gt;"attributable","insufficient_data",IF(BN36&gt;=0.2,"win",IF(BN36&lt;=-0.2,"loss","inconclusive")))))))</x:f>
        <x:v>not_evaluated</x:v>
      </x:c>
      <x:c r="CC36" s="65" t="str">
        <x:f>IF(T36&lt;&gt;"complete","COLLECT_MORE_DATA",IF(COUNT(BM36,AT36)&lt;2,"FIX_TRACKING",IF(CB36="guardrail_fail","STOP_VARIANT_GUARDRAIL",IF(CB36="watchlist","WATCHLIST_ONLY",IF(AND(BV36="high",BY36="low"),"KEEP_HOOK_REWRITE_CTA",IF(AND(BW36="high",BX36="low"),"KEEP_STRUCTURE_CHANGE_DISCUSSION_ANGLE",IF(AND(BX36="high",BZ36="low"),"DOWNWEIGHT_TEMPLATE",IF(CB36="win","RETEST_WINNER",IF(CB36="loss","RETURN_TO_BASELINE","COLLECT_MORE_DATA")))))))))</x:f>
        <x:v>COLLECT_MORE_DATA</x:v>
      </x:c>
      <x:c r="CD36" s="75"/>
    </x:row>
    <x:row r="37">
      <x:c r="A37" s="68"/>
      <x:c r="B37" s="69"/>
      <x:c r="C37" s="68"/>
      <x:c r="D37" s="68"/>
      <x:c r="E37" s="68"/>
      <x:c r="F37" s="68"/>
      <x:c r="G37" s="68"/>
      <x:c r="H37" s="70"/>
      <x:c r="I37" s="68"/>
      <x:c r="J37" s="68"/>
      <x:c r="K37" s="68"/>
      <x:c r="L37" s="71" t="str">
        <x:f>IF(K37="","unknown",IF(K37=0,"baseline",IF(K37=1,"pure","mixed")))</x:f>
        <x:v>unknown</x:v>
      </x:c>
      <x:c r="M37" s="68"/>
      <x:c r="N37" s="68"/>
      <x:c r="O37" s="68"/>
      <x:c r="P37" s="68"/>
      <x:c r="Q37" s="68"/>
      <x:c r="R37" s="68"/>
      <x:c r="S37" s="68"/>
      <x:c r="T37" s="68"/>
      <x:c r="U37" s="68"/>
      <x:c r="V37" s="68"/>
      <x:c r="W37" s="68"/>
      <x:c r="X37" s="68"/>
      <x:c r="Y37" s="68"/>
      <x:c r="Z37" s="68"/>
      <x:c r="AA37" s="68"/>
      <x:c r="AB37" s="68"/>
      <x:c r="AC37" s="68"/>
      <x:c r="AD37" s="70"/>
      <x:c r="AE37" s="70"/>
      <x:c r="AF37" s="70"/>
      <x:c r="AG37" s="70"/>
      <x:c r="AH37" s="70"/>
      <x:c r="AI37" s="70"/>
      <x:c r="AJ37" s="70"/>
      <x:c r="AK37" s="70"/>
      <x:c r="AL37" s="70"/>
      <x:c r="AM37" s="70"/>
      <x:c r="AN37" s="70"/>
      <x:c r="AO37" s="70"/>
      <x:c r="AP37" s="70"/>
      <x:c r="AQ37" s="70"/>
      <x:c r="AR37" s="70"/>
      <x:c r="AS37" s="70"/>
      <x:c r="AT37" s="72"/>
      <x:c r="AU37" s="72"/>
      <x:c r="AV37" s="72"/>
      <x:c r="AW37" s="72"/>
      <x:c r="AX37" s="72"/>
      <x:c r="AY37" s="72"/>
      <x:c r="AZ37" s="72"/>
      <x:c r="BA37" s="73" t="str">
        <x:f>IF(C37="xiaohongshu",IF(COUNT(AF37,AE37)&lt;2,"",IFERROR(AF37/AE37,"")),"")</x:f>
      </x:c>
      <x:c r="BB37" s="73" t="str">
        <x:f>IF(C37="xiaohongshu",IF(COUNT(AG37,AE37)&lt;2,"",IFERROR(AG37/AE37,"")),"")</x:f>
      </x:c>
      <x:c r="BC37" s="73" t="str">
        <x:f>IF(C37="xiaohongshu",IF(COUNT(AN37,AE37)&lt;2,"",IFERROR(AN37/AE37,"")),"")</x:f>
      </x:c>
      <x:c r="BD37" s="73" t="str">
        <x:f>IF(C37="xiaohongshu",IF(COUNT(AQ37,AE37)&lt;2,"",IFERROR(AQ37/AE37,"")),"")</x:f>
      </x:c>
      <x:c r="BE37" s="73" t="str">
        <x:f>IF(C37="xiaohongshu",IF(COUNT(AI37,AE37)&lt;2,"",IFERROR(AI37/AE37,"")),"")</x:f>
      </x:c>
      <x:c r="BF37" s="73" t="str">
        <x:f>IF(C37="xiaohongshu",IF(OR(COUNT(AE37)=0,COUNT(AR37,AS37)=0),"",IFERROR((AR37+AS37)/AE37,"")),"")</x:f>
      </x:c>
      <x:c r="BG37" s="73" t="str">
        <x:f>IF(C37="x",IF(COUNT(AD37)=0,"",IF(COUNT(AM37)=1,IFERROR(AM37/AD37,""),IF(COUNT(AH37,AI37,AK37,AL37)=0,"",IFERROR(SUM(AH37,AI37,AK37,AL37)/AD37,"")))),"")</x:f>
      </x:c>
      <x:c r="BH37" s="73" t="str">
        <x:f>IF(C37="x",IF(COUNT(AJ37,AD37)&lt;2,"",IFERROR(AJ37/AD37,"")),"")</x:f>
      </x:c>
      <x:c r="BI37" s="73" t="str">
        <x:f>IF(C37="x",IF(COUNT(AO37,AD37)&lt;2,"",IFERROR(AO37/AD37,"")),"")</x:f>
      </x:c>
      <x:c r="BJ37" s="73" t="str">
        <x:f>IF(C37="x",IF(COUNT(AP37,AD37)&lt;2,"",IFERROR(AP37/AD37,"")),"")</x:f>
      </x:c>
      <x:c r="BK37" s="73" t="str">
        <x:f>IF(C37="x",IF(COUNT(AL37,AD37)&lt;2,"",IFERROR(AL37/AD37,"")),"")</x:f>
      </x:c>
      <x:c r="BL37" s="73" t="str">
        <x:f>IF(C37="x",IF(OR(COUNT(AD37)=0,COUNT(AR37,AS37)=0),"",IFERROR((AR37+AS37)/AD37,"")),"")</x:f>
      </x:c>
      <x:c r="BM37" s="73" t="str">
        <x:f>IF(AB37="xhs_save_rate",BA37,IF(AB37="xhs_completion_rate",BB37,IF(AB37="xhs_profile_visit_rate",BC37,IF(AB37="xhs_dm_intent_rate",BD37,IF(AB37="xhs_discussion_rate",BE37,IF(AB37="xhs_product_relevance_rate",BF37,IF(AB37="x_first_screen_engaged_rate_proxy",BG37,IF(AB37="x_qualified_reply_rate",BH37,IF(AB37="x_profile_click_rate",BI37,IF(AB37="x_link_intent_rate",BJ37,IF(AB37="x_bookmark_rate",BK37,IF(AB37="x_product_relevance_rate",BL37,""))))))))))))</x:f>
      </x:c>
      <x:c r="BN37" s="73" t="str">
        <x:f>IFERROR(BM37/AT37-1,"")</x:f>
      </x:c>
      <x:c r="BO37" s="73" t="str">
        <x:f>IF(AC37="","",IF(AC37="xhs_save_rate",BA37,IF(AC37="xhs_completion_rate",BB37,IF(AC37="xhs_profile_visit_rate",BC37,IF(AC37="xhs_dm_intent_rate",BD37,IF(AC37="xhs_discussion_rate",BE37,IF(AC37="xhs_product_relevance_rate",BF37,IF(AC37="x_first_screen_engaged_rate_proxy",BG37,IF(AC37="x_qualified_reply_rate",BH37,IF(AC37="x_profile_click_rate",BI37,IF(AC37="x_link_intent_rate",BJ37,IF(AC37="x_bookmark_rate",BK37,IF(AC37="x_product_relevance_rate",BL37,"")))))))))))))</x:f>
      </x:c>
      <x:c r="BP37" s="73" t="str">
        <x:f>IFERROR(BO37/AU37-1,"")</x:f>
      </x:c>
      <x:c r="BQ37" s="74" t="str">
        <x:f>IF(COUNT(AD37)=0,"",AD37)</x:f>
      </x:c>
      <x:c r="BR37" s="73" t="str">
        <x:f>IF(C37="xiaohongshu",IF(COUNT(BA37,BB37)=2,AVERAGE(BA37,BB37),IF(COUNT(BA37)=1,BA37,BB37)),BK37)</x:f>
      </x:c>
      <x:c r="BS37" s="73" t="str">
        <x:f>IF(C37="xiaohongshu",BE37,BH37)</x:f>
      </x:c>
      <x:c r="BT37" s="73" t="str">
        <x:f>IF(C37="xiaohongshu",IF(I37="save",BA37,IF(I37="discussion",BE37,IF(I37="profile_visit",BC37,IF(I37="dm",BD37,IF(OR(I37="product_question",I37="trial_intent"),BF37,""))))),IF(I37="save",BK37,IF(I37="discussion",BH37,IF(OR(I37="profile_visit",I37="dm"),BI37,IF(I37="link_click",BJ37,IF(OR(I37="product_question",I37="trial_intent"),BL37,""))))))</x:f>
      </x:c>
      <x:c r="BU37" s="73" t="str">
        <x:f>IF(C37="xiaohongshu",BF37,BL37)</x:f>
      </x:c>
      <x:c r="BV37" s="65" t="str">
        <x:f>IF(COUNT(BQ37,AV37)&lt;2,"unknown",IF(BQ37/AV37-1&gt;=0.2,"high",IF(BQ37/AV37-1&lt;=-0.2,"low","normal")))</x:f>
        <x:v>unknown</x:v>
      </x:c>
      <x:c r="BW37" s="65" t="str">
        <x:f>IF(COUNT(BR37,AW37)&lt;2,"unknown",IF(BR37/AW37-1&gt;=0.2,"high",IF(BR37/AW37-1&lt;=-0.2,"low","normal")))</x:f>
        <x:v>unknown</x:v>
      </x:c>
      <x:c r="BX37" s="65" t="str">
        <x:f>IF(COUNT(BS37,AX37)&lt;2,"unknown",IF(BS37/AX37-1&gt;=0.2,"high",IF(BS37/AX37-1&lt;=-0.2,"low","normal")))</x:f>
        <x:v>unknown</x:v>
      </x:c>
      <x:c r="BY37" s="65" t="str">
        <x:f>IF(COUNT(BT37,AY37)&lt;2,"unknown",IF(BT37/AY37-1&gt;=0.2,"high",IF(BT37/AY37-1&lt;=-0.2,"low","normal")))</x:f>
        <x:v>unknown</x:v>
      </x:c>
      <x:c r="BZ37" s="65" t="str">
        <x:f>IF(COUNT(BU37,AZ37)&lt;2,"unknown",IF(BU37/AZ37-1&gt;=0.2,"high",IF(BU37/AZ37-1&lt;=-0.2,"low","normal")))</x:f>
        <x:v>unknown</x:v>
      </x:c>
      <x:c r="CA37" s="65" t="str">
        <x:f>IF(T37&lt;&gt;"complete","pending",IF(OR(L37&lt;&gt;"pure",U37="true",COUNT(BM37,AT37)&lt;2,AND(AC37&lt;&gt;"",COUNT(BO37,AU37)&lt;2)),"not_attributable","attributable"))</x:f>
        <x:v>pending</x:v>
      </x:c>
      <x:c r="CB37" s="65" t="str">
        <x:f>IF(T37&lt;&gt;"complete","not_evaluated",IF(COUNT(BM37,AT37)&lt;2,"insufficient_data",IF(AND(AC37&lt;&gt;"",COUNT(BP37)=1,BP37&lt;=-0.2),"guardrail_fail",IF(AND(CA37="not_attributable",OR(BV37="high",BN37&gt;=0.2)),"watchlist",IF(CA37&lt;&gt;"attributable","insufficient_data",IF(BN37&gt;=0.2,"win",IF(BN37&lt;=-0.2,"loss","inconclusive")))))))</x:f>
        <x:v>not_evaluated</x:v>
      </x:c>
      <x:c r="CC37" s="65" t="str">
        <x:f>IF(T37&lt;&gt;"complete","COLLECT_MORE_DATA",IF(COUNT(BM37,AT37)&lt;2,"FIX_TRACKING",IF(CB37="guardrail_fail","STOP_VARIANT_GUARDRAIL",IF(CB37="watchlist","WATCHLIST_ONLY",IF(AND(BV37="high",BY37="low"),"KEEP_HOOK_REWRITE_CTA",IF(AND(BW37="high",BX37="low"),"KEEP_STRUCTURE_CHANGE_DISCUSSION_ANGLE",IF(AND(BX37="high",BZ37="low"),"DOWNWEIGHT_TEMPLATE",IF(CB37="win","RETEST_WINNER",IF(CB37="loss","RETURN_TO_BASELINE","COLLECT_MORE_DATA")))))))))</x:f>
        <x:v>COLLECT_MORE_DATA</x:v>
      </x:c>
      <x:c r="CD37" s="75"/>
    </x:row>
    <x:row r="38">
      <x:c r="A38" s="68"/>
      <x:c r="B38" s="69"/>
      <x:c r="C38" s="68"/>
      <x:c r="D38" s="68"/>
      <x:c r="E38" s="68"/>
      <x:c r="F38" s="68"/>
      <x:c r="G38" s="68"/>
      <x:c r="H38" s="70"/>
      <x:c r="I38" s="68"/>
      <x:c r="J38" s="68"/>
      <x:c r="K38" s="68"/>
      <x:c r="L38" s="71" t="str">
        <x:f>IF(K38="","unknown",IF(K38=0,"baseline",IF(K38=1,"pure","mixed")))</x:f>
        <x:v>unknown</x:v>
      </x:c>
      <x:c r="M38" s="68"/>
      <x:c r="N38" s="68"/>
      <x:c r="O38" s="68"/>
      <x:c r="P38" s="68"/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  <x:c r="AA38" s="68"/>
      <x:c r="AB38" s="68"/>
      <x:c r="AC38" s="68"/>
      <x:c r="AD38" s="70"/>
      <x:c r="AE38" s="70"/>
      <x:c r="AF38" s="70"/>
      <x:c r="AG38" s="70"/>
      <x:c r="AH38" s="70"/>
      <x:c r="AI38" s="70"/>
      <x:c r="AJ38" s="70"/>
      <x:c r="AK38" s="70"/>
      <x:c r="AL38" s="70"/>
      <x:c r="AM38" s="70"/>
      <x:c r="AN38" s="70"/>
      <x:c r="AO38" s="70"/>
      <x:c r="AP38" s="70"/>
      <x:c r="AQ38" s="70"/>
      <x:c r="AR38" s="70"/>
      <x:c r="AS38" s="70"/>
      <x:c r="AT38" s="72"/>
      <x:c r="AU38" s="72"/>
      <x:c r="AV38" s="72"/>
      <x:c r="AW38" s="72"/>
      <x:c r="AX38" s="72"/>
      <x:c r="AY38" s="72"/>
      <x:c r="AZ38" s="72"/>
      <x:c r="BA38" s="73" t="str">
        <x:f>IF(C38="xiaohongshu",IF(COUNT(AF38,AE38)&lt;2,"",IFERROR(AF38/AE38,"")),"")</x:f>
      </x:c>
      <x:c r="BB38" s="73" t="str">
        <x:f>IF(C38="xiaohongshu",IF(COUNT(AG38,AE38)&lt;2,"",IFERROR(AG38/AE38,"")),"")</x:f>
      </x:c>
      <x:c r="BC38" s="73" t="str">
        <x:f>IF(C38="xiaohongshu",IF(COUNT(AN38,AE38)&lt;2,"",IFERROR(AN38/AE38,"")),"")</x:f>
      </x:c>
      <x:c r="BD38" s="73" t="str">
        <x:f>IF(C38="xiaohongshu",IF(COUNT(AQ38,AE38)&lt;2,"",IFERROR(AQ38/AE38,"")),"")</x:f>
      </x:c>
      <x:c r="BE38" s="73" t="str">
        <x:f>IF(C38="xiaohongshu",IF(COUNT(AI38,AE38)&lt;2,"",IFERROR(AI38/AE38,"")),"")</x:f>
      </x:c>
      <x:c r="BF38" s="73" t="str">
        <x:f>IF(C38="xiaohongshu",IF(OR(COUNT(AE38)=0,COUNT(AR38,AS38)=0),"",IFERROR((AR38+AS38)/AE38,"")),"")</x:f>
      </x:c>
      <x:c r="BG38" s="73" t="str">
        <x:f>IF(C38="x",IF(COUNT(AD38)=0,"",IF(COUNT(AM38)=1,IFERROR(AM38/AD38,""),IF(COUNT(AH38,AI38,AK38,AL38)=0,"",IFERROR(SUM(AH38,AI38,AK38,AL38)/AD38,"")))),"")</x:f>
      </x:c>
      <x:c r="BH38" s="73" t="str">
        <x:f>IF(C38="x",IF(COUNT(AJ38,AD38)&lt;2,"",IFERROR(AJ38/AD38,"")),"")</x:f>
      </x:c>
      <x:c r="BI38" s="73" t="str">
        <x:f>IF(C38="x",IF(COUNT(AO38,AD38)&lt;2,"",IFERROR(AO38/AD38,"")),"")</x:f>
      </x:c>
      <x:c r="BJ38" s="73" t="str">
        <x:f>IF(C38="x",IF(COUNT(AP38,AD38)&lt;2,"",IFERROR(AP38/AD38,"")),"")</x:f>
      </x:c>
      <x:c r="BK38" s="73" t="str">
        <x:f>IF(C38="x",IF(COUNT(AL38,AD38)&lt;2,"",IFERROR(AL38/AD38,"")),"")</x:f>
      </x:c>
      <x:c r="BL38" s="73" t="str">
        <x:f>IF(C38="x",IF(OR(COUNT(AD38)=0,COUNT(AR38,AS38)=0),"",IFERROR((AR38+AS38)/AD38,"")),"")</x:f>
      </x:c>
      <x:c r="BM38" s="73" t="str">
        <x:f>IF(AB38="xhs_save_rate",BA38,IF(AB38="xhs_completion_rate",BB38,IF(AB38="xhs_profile_visit_rate",BC38,IF(AB38="xhs_dm_intent_rate",BD38,IF(AB38="xhs_discussion_rate",BE38,IF(AB38="xhs_product_relevance_rate",BF38,IF(AB38="x_first_screen_engaged_rate_proxy",BG38,IF(AB38="x_qualified_reply_rate",BH38,IF(AB38="x_profile_click_rate",BI38,IF(AB38="x_link_intent_rate",BJ38,IF(AB38="x_bookmark_rate",BK38,IF(AB38="x_product_relevance_rate",BL38,""))))))))))))</x:f>
      </x:c>
      <x:c r="BN38" s="73" t="str">
        <x:f>IFERROR(BM38/AT38-1,"")</x:f>
      </x:c>
      <x:c r="BO38" s="73" t="str">
        <x:f>IF(AC38="","",IF(AC38="xhs_save_rate",BA38,IF(AC38="xhs_completion_rate",BB38,IF(AC38="xhs_profile_visit_rate",BC38,IF(AC38="xhs_dm_intent_rate",BD38,IF(AC38="xhs_discussion_rate",BE38,IF(AC38="xhs_product_relevance_rate",BF38,IF(AC38="x_first_screen_engaged_rate_proxy",BG38,IF(AC38="x_qualified_reply_rate",BH38,IF(AC38="x_profile_click_rate",BI38,IF(AC38="x_link_intent_rate",BJ38,IF(AC38="x_bookmark_rate",BK38,IF(AC38="x_product_relevance_rate",BL38,"")))))))))))))</x:f>
      </x:c>
      <x:c r="BP38" s="73" t="str">
        <x:f>IFERROR(BO38/AU38-1,"")</x:f>
      </x:c>
      <x:c r="BQ38" s="74" t="str">
        <x:f>IF(COUNT(AD38)=0,"",AD38)</x:f>
      </x:c>
      <x:c r="BR38" s="73" t="str">
        <x:f>IF(C38="xiaohongshu",IF(COUNT(BA38,BB38)=2,AVERAGE(BA38,BB38),IF(COUNT(BA38)=1,BA38,BB38)),BK38)</x:f>
      </x:c>
      <x:c r="BS38" s="73" t="str">
        <x:f>IF(C38="xiaohongshu",BE38,BH38)</x:f>
      </x:c>
      <x:c r="BT38" s="73" t="str">
        <x:f>IF(C38="xiaohongshu",IF(I38="save",BA38,IF(I38="discussion",BE38,IF(I38="profile_visit",BC38,IF(I38="dm",BD38,IF(OR(I38="product_question",I38="trial_intent"),BF38,""))))),IF(I38="save",BK38,IF(I38="discussion",BH38,IF(OR(I38="profile_visit",I38="dm"),BI38,IF(I38="link_click",BJ38,IF(OR(I38="product_question",I38="trial_intent"),BL38,""))))))</x:f>
      </x:c>
      <x:c r="BU38" s="73" t="str">
        <x:f>IF(C38="xiaohongshu",BF38,BL38)</x:f>
      </x:c>
      <x:c r="BV38" s="65" t="str">
        <x:f>IF(COUNT(BQ38,AV38)&lt;2,"unknown",IF(BQ38/AV38-1&gt;=0.2,"high",IF(BQ38/AV38-1&lt;=-0.2,"low","normal")))</x:f>
        <x:v>unknown</x:v>
      </x:c>
      <x:c r="BW38" s="65" t="str">
        <x:f>IF(COUNT(BR38,AW38)&lt;2,"unknown",IF(BR38/AW38-1&gt;=0.2,"high",IF(BR38/AW38-1&lt;=-0.2,"low","normal")))</x:f>
        <x:v>unknown</x:v>
      </x:c>
      <x:c r="BX38" s="65" t="str">
        <x:f>IF(COUNT(BS38,AX38)&lt;2,"unknown",IF(BS38/AX38-1&gt;=0.2,"high",IF(BS38/AX38-1&lt;=-0.2,"low","normal")))</x:f>
        <x:v>unknown</x:v>
      </x:c>
      <x:c r="BY38" s="65" t="str">
        <x:f>IF(COUNT(BT38,AY38)&lt;2,"unknown",IF(BT38/AY38-1&gt;=0.2,"high",IF(BT38/AY38-1&lt;=-0.2,"low","normal")))</x:f>
        <x:v>unknown</x:v>
      </x:c>
      <x:c r="BZ38" s="65" t="str">
        <x:f>IF(COUNT(BU38,AZ38)&lt;2,"unknown",IF(BU38/AZ38-1&gt;=0.2,"high",IF(BU38/AZ38-1&lt;=-0.2,"low","normal")))</x:f>
        <x:v>unknown</x:v>
      </x:c>
      <x:c r="CA38" s="65" t="str">
        <x:f>IF(T38&lt;&gt;"complete","pending",IF(OR(L38&lt;&gt;"pure",U38="true",COUNT(BM38,AT38)&lt;2,AND(AC38&lt;&gt;"",COUNT(BO38,AU38)&lt;2)),"not_attributable","attributable"))</x:f>
        <x:v>pending</x:v>
      </x:c>
      <x:c r="CB38" s="65" t="str">
        <x:f>IF(T38&lt;&gt;"complete","not_evaluated",IF(COUNT(BM38,AT38)&lt;2,"insufficient_data",IF(AND(AC38&lt;&gt;"",COUNT(BP38)=1,BP38&lt;=-0.2),"guardrail_fail",IF(AND(CA38="not_attributable",OR(BV38="high",BN38&gt;=0.2)),"watchlist",IF(CA38&lt;&gt;"attributable","insufficient_data",IF(BN38&gt;=0.2,"win",IF(BN38&lt;=-0.2,"loss","inconclusive")))))))</x:f>
        <x:v>not_evaluated</x:v>
      </x:c>
      <x:c r="CC38" s="65" t="str">
        <x:f>IF(T38&lt;&gt;"complete","COLLECT_MORE_DATA",IF(COUNT(BM38,AT38)&lt;2,"FIX_TRACKING",IF(CB38="guardrail_fail","STOP_VARIANT_GUARDRAIL",IF(CB38="watchlist","WATCHLIST_ONLY",IF(AND(BV38="high",BY38="low"),"KEEP_HOOK_REWRITE_CTA",IF(AND(BW38="high",BX38="low"),"KEEP_STRUCTURE_CHANGE_DISCUSSION_ANGLE",IF(AND(BX38="high",BZ38="low"),"DOWNWEIGHT_TEMPLATE",IF(CB38="win","RETEST_WINNER",IF(CB38="loss","RETURN_TO_BASELINE","COLLECT_MORE_DATA")))))))))</x:f>
        <x:v>COLLECT_MORE_DATA</x:v>
      </x:c>
      <x:c r="CD38" s="75"/>
    </x:row>
    <x:row r="39">
      <x:c r="A39" s="68"/>
      <x:c r="B39" s="69"/>
      <x:c r="C39" s="68"/>
      <x:c r="D39" s="68"/>
      <x:c r="E39" s="68"/>
      <x:c r="F39" s="68"/>
      <x:c r="G39" s="68"/>
      <x:c r="H39" s="70"/>
      <x:c r="I39" s="68"/>
      <x:c r="J39" s="68"/>
      <x:c r="K39" s="68"/>
      <x:c r="L39" s="71" t="str">
        <x:f>IF(K39="","unknown",IF(K39=0,"baseline",IF(K39=1,"pure","mixed")))</x:f>
        <x:v>unknown</x:v>
      </x:c>
      <x:c r="M39" s="68"/>
      <x:c r="N39" s="68"/>
      <x:c r="O39" s="68"/>
      <x:c r="P39" s="68"/>
      <x:c r="Q39" s="68"/>
      <x:c r="R39" s="68"/>
      <x:c r="S39" s="68"/>
      <x:c r="T39" s="68"/>
      <x:c r="U39" s="68"/>
      <x:c r="V39" s="68"/>
      <x:c r="W39" s="68"/>
      <x:c r="X39" s="68"/>
      <x:c r="Y39" s="68"/>
      <x:c r="Z39" s="68"/>
      <x:c r="AA39" s="68"/>
      <x:c r="AB39" s="68"/>
      <x:c r="AC39" s="68"/>
      <x:c r="AD39" s="70"/>
      <x:c r="AE39" s="70"/>
      <x:c r="AF39" s="70"/>
      <x:c r="AG39" s="70"/>
      <x:c r="AH39" s="70"/>
      <x:c r="AI39" s="70"/>
      <x:c r="AJ39" s="70"/>
      <x:c r="AK39" s="70"/>
      <x:c r="AL39" s="70"/>
      <x:c r="AM39" s="70"/>
      <x:c r="AN39" s="70"/>
      <x:c r="AO39" s="70"/>
      <x:c r="AP39" s="70"/>
      <x:c r="AQ39" s="70"/>
      <x:c r="AR39" s="70"/>
      <x:c r="AS39" s="70"/>
      <x:c r="AT39" s="72"/>
      <x:c r="AU39" s="72"/>
      <x:c r="AV39" s="72"/>
      <x:c r="AW39" s="72"/>
      <x:c r="AX39" s="72"/>
      <x:c r="AY39" s="72"/>
      <x:c r="AZ39" s="72"/>
      <x:c r="BA39" s="73" t="str">
        <x:f>IF(C39="xiaohongshu",IF(COUNT(AF39,AE39)&lt;2,"",IFERROR(AF39/AE39,"")),"")</x:f>
      </x:c>
      <x:c r="BB39" s="73" t="str">
        <x:f>IF(C39="xiaohongshu",IF(COUNT(AG39,AE39)&lt;2,"",IFERROR(AG39/AE39,"")),"")</x:f>
      </x:c>
      <x:c r="BC39" s="73" t="str">
        <x:f>IF(C39="xiaohongshu",IF(COUNT(AN39,AE39)&lt;2,"",IFERROR(AN39/AE39,"")),"")</x:f>
      </x:c>
      <x:c r="BD39" s="73" t="str">
        <x:f>IF(C39="xiaohongshu",IF(COUNT(AQ39,AE39)&lt;2,"",IFERROR(AQ39/AE39,"")),"")</x:f>
      </x:c>
      <x:c r="BE39" s="73" t="str">
        <x:f>IF(C39="xiaohongshu",IF(COUNT(AI39,AE39)&lt;2,"",IFERROR(AI39/AE39,"")),"")</x:f>
      </x:c>
      <x:c r="BF39" s="73" t="str">
        <x:f>IF(C39="xiaohongshu",IF(OR(COUNT(AE39)=0,COUNT(AR39,AS39)=0),"",IFERROR((AR39+AS39)/AE39,"")),"")</x:f>
      </x:c>
      <x:c r="BG39" s="73" t="str">
        <x:f>IF(C39="x",IF(COUNT(AD39)=0,"",IF(COUNT(AM39)=1,IFERROR(AM39/AD39,""),IF(COUNT(AH39,AI39,AK39,AL39)=0,"",IFERROR(SUM(AH39,AI39,AK39,AL39)/AD39,"")))),"")</x:f>
      </x:c>
      <x:c r="BH39" s="73" t="str">
        <x:f>IF(C39="x",IF(COUNT(AJ39,AD39)&lt;2,"",IFERROR(AJ39/AD39,"")),"")</x:f>
      </x:c>
      <x:c r="BI39" s="73" t="str">
        <x:f>IF(C39="x",IF(COUNT(AO39,AD39)&lt;2,"",IFERROR(AO39/AD39,"")),"")</x:f>
      </x:c>
      <x:c r="BJ39" s="73" t="str">
        <x:f>IF(C39="x",IF(COUNT(AP39,AD39)&lt;2,"",IFERROR(AP39/AD39,"")),"")</x:f>
      </x:c>
      <x:c r="BK39" s="73" t="str">
        <x:f>IF(C39="x",IF(COUNT(AL39,AD39)&lt;2,"",IFERROR(AL39/AD39,"")),"")</x:f>
      </x:c>
      <x:c r="BL39" s="73" t="str">
        <x:f>IF(C39="x",IF(OR(COUNT(AD39)=0,COUNT(AR39,AS39)=0),"",IFERROR((AR39+AS39)/AD39,"")),"")</x:f>
      </x:c>
      <x:c r="BM39" s="73" t="str">
        <x:f>IF(AB39="xhs_save_rate",BA39,IF(AB39="xhs_completion_rate",BB39,IF(AB39="xhs_profile_visit_rate",BC39,IF(AB39="xhs_dm_intent_rate",BD39,IF(AB39="xhs_discussion_rate",BE39,IF(AB39="xhs_product_relevance_rate",BF39,IF(AB39="x_first_screen_engaged_rate_proxy",BG39,IF(AB39="x_qualified_reply_rate",BH39,IF(AB39="x_profile_click_rate",BI39,IF(AB39="x_link_intent_rate",BJ39,IF(AB39="x_bookmark_rate",BK39,IF(AB39="x_product_relevance_rate",BL39,""))))))))))))</x:f>
      </x:c>
      <x:c r="BN39" s="73" t="str">
        <x:f>IFERROR(BM39/AT39-1,"")</x:f>
      </x:c>
      <x:c r="BO39" s="73" t="str">
        <x:f>IF(AC39="","",IF(AC39="xhs_save_rate",BA39,IF(AC39="xhs_completion_rate",BB39,IF(AC39="xhs_profile_visit_rate",BC39,IF(AC39="xhs_dm_intent_rate",BD39,IF(AC39="xhs_discussion_rate",BE39,IF(AC39="xhs_product_relevance_rate",BF39,IF(AC39="x_first_screen_engaged_rate_proxy",BG39,IF(AC39="x_qualified_reply_rate",BH39,IF(AC39="x_profile_click_rate",BI39,IF(AC39="x_link_intent_rate",BJ39,IF(AC39="x_bookmark_rate",BK39,IF(AC39="x_product_relevance_rate",BL39,"")))))))))))))</x:f>
      </x:c>
      <x:c r="BP39" s="73" t="str">
        <x:f>IFERROR(BO39/AU39-1,"")</x:f>
      </x:c>
      <x:c r="BQ39" s="74" t="str">
        <x:f>IF(COUNT(AD39)=0,"",AD39)</x:f>
      </x:c>
      <x:c r="BR39" s="73" t="str">
        <x:f>IF(C39="xiaohongshu",IF(COUNT(BA39,BB39)=2,AVERAGE(BA39,BB39),IF(COUNT(BA39)=1,BA39,BB39)),BK39)</x:f>
      </x:c>
      <x:c r="BS39" s="73" t="str">
        <x:f>IF(C39="xiaohongshu",BE39,BH39)</x:f>
      </x:c>
      <x:c r="BT39" s="73" t="str">
        <x:f>IF(C39="xiaohongshu",IF(I39="save",BA39,IF(I39="discussion",BE39,IF(I39="profile_visit",BC39,IF(I39="dm",BD39,IF(OR(I39="product_question",I39="trial_intent"),BF39,""))))),IF(I39="save",BK39,IF(I39="discussion",BH39,IF(OR(I39="profile_visit",I39="dm"),BI39,IF(I39="link_click",BJ39,IF(OR(I39="product_question",I39="trial_intent"),BL39,""))))))</x:f>
      </x:c>
      <x:c r="BU39" s="73" t="str">
        <x:f>IF(C39="xiaohongshu",BF39,BL39)</x:f>
      </x:c>
      <x:c r="BV39" s="65" t="str">
        <x:f>IF(COUNT(BQ39,AV39)&lt;2,"unknown",IF(BQ39/AV39-1&gt;=0.2,"high",IF(BQ39/AV39-1&lt;=-0.2,"low","normal")))</x:f>
        <x:v>unknown</x:v>
      </x:c>
      <x:c r="BW39" s="65" t="str">
        <x:f>IF(COUNT(BR39,AW39)&lt;2,"unknown",IF(BR39/AW39-1&gt;=0.2,"high",IF(BR39/AW39-1&lt;=-0.2,"low","normal")))</x:f>
        <x:v>unknown</x:v>
      </x:c>
      <x:c r="BX39" s="65" t="str">
        <x:f>IF(COUNT(BS39,AX39)&lt;2,"unknown",IF(BS39/AX39-1&gt;=0.2,"high",IF(BS39/AX39-1&lt;=-0.2,"low","normal")))</x:f>
        <x:v>unknown</x:v>
      </x:c>
      <x:c r="BY39" s="65" t="str">
        <x:f>IF(COUNT(BT39,AY39)&lt;2,"unknown",IF(BT39/AY39-1&gt;=0.2,"high",IF(BT39/AY39-1&lt;=-0.2,"low","normal")))</x:f>
        <x:v>unknown</x:v>
      </x:c>
      <x:c r="BZ39" s="65" t="str">
        <x:f>IF(COUNT(BU39,AZ39)&lt;2,"unknown",IF(BU39/AZ39-1&gt;=0.2,"high",IF(BU39/AZ39-1&lt;=-0.2,"low","normal")))</x:f>
        <x:v>unknown</x:v>
      </x:c>
      <x:c r="CA39" s="65" t="str">
        <x:f>IF(T39&lt;&gt;"complete","pending",IF(OR(L39&lt;&gt;"pure",U39="true",COUNT(BM39,AT39)&lt;2,AND(AC39&lt;&gt;"",COUNT(BO39,AU39)&lt;2)),"not_attributable","attributable"))</x:f>
        <x:v>pending</x:v>
      </x:c>
      <x:c r="CB39" s="65" t="str">
        <x:f>IF(T39&lt;&gt;"complete","not_evaluated",IF(COUNT(BM39,AT39)&lt;2,"insufficient_data",IF(AND(AC39&lt;&gt;"",COUNT(BP39)=1,BP39&lt;=-0.2),"guardrail_fail",IF(AND(CA39="not_attributable",OR(BV39="high",BN39&gt;=0.2)),"watchlist",IF(CA39&lt;&gt;"attributable","insufficient_data",IF(BN39&gt;=0.2,"win",IF(BN39&lt;=-0.2,"loss","inconclusive")))))))</x:f>
        <x:v>not_evaluated</x:v>
      </x:c>
      <x:c r="CC39" s="65" t="str">
        <x:f>IF(T39&lt;&gt;"complete","COLLECT_MORE_DATA",IF(COUNT(BM39,AT39)&lt;2,"FIX_TRACKING",IF(CB39="guardrail_fail","STOP_VARIANT_GUARDRAIL",IF(CB39="watchlist","WATCHLIST_ONLY",IF(AND(BV39="high",BY39="low"),"KEEP_HOOK_REWRITE_CTA",IF(AND(BW39="high",BX39="low"),"KEEP_STRUCTURE_CHANGE_DISCUSSION_ANGLE",IF(AND(BX39="high",BZ39="low"),"DOWNWEIGHT_TEMPLATE",IF(CB39="win","RETEST_WINNER",IF(CB39="loss","RETURN_TO_BASELINE","COLLECT_MORE_DATA")))))))))</x:f>
        <x:v>COLLECT_MORE_DATA</x:v>
      </x:c>
      <x:c r="CD39" s="75"/>
    </x:row>
    <x:row r="40">
      <x:c r="A40" s="68"/>
      <x:c r="B40" s="69"/>
      <x:c r="C40" s="68"/>
      <x:c r="D40" s="68"/>
      <x:c r="E40" s="68"/>
      <x:c r="F40" s="68"/>
      <x:c r="G40" s="68"/>
      <x:c r="H40" s="70"/>
      <x:c r="I40" s="68"/>
      <x:c r="J40" s="68"/>
      <x:c r="K40" s="68"/>
      <x:c r="L40" s="71" t="str">
        <x:f>IF(K40="","unknown",IF(K40=0,"baseline",IF(K40=1,"pure","mixed")))</x:f>
        <x:v>unknown</x:v>
      </x:c>
      <x:c r="M40" s="68"/>
      <x:c r="N40" s="68"/>
      <x:c r="O40" s="68"/>
      <x:c r="P40" s="68"/>
      <x:c r="Q40" s="68"/>
      <x:c r="R40" s="68"/>
      <x:c r="S40" s="68"/>
      <x:c r="T40" s="68"/>
      <x:c r="U40" s="68"/>
      <x:c r="V40" s="68"/>
      <x:c r="W40" s="68"/>
      <x:c r="X40" s="68"/>
      <x:c r="Y40" s="68"/>
      <x:c r="Z40" s="68"/>
      <x:c r="AA40" s="68"/>
      <x:c r="AB40" s="68"/>
      <x:c r="AC40" s="68"/>
      <x:c r="AD40" s="70"/>
      <x:c r="AE40" s="70"/>
      <x:c r="AF40" s="70"/>
      <x:c r="AG40" s="70"/>
      <x:c r="AH40" s="70"/>
      <x:c r="AI40" s="70"/>
      <x:c r="AJ40" s="70"/>
      <x:c r="AK40" s="70"/>
      <x:c r="AL40" s="70"/>
      <x:c r="AM40" s="70"/>
      <x:c r="AN40" s="70"/>
      <x:c r="AO40" s="70"/>
      <x:c r="AP40" s="70"/>
      <x:c r="AQ40" s="70"/>
      <x:c r="AR40" s="70"/>
      <x:c r="AS40" s="70"/>
      <x:c r="AT40" s="72"/>
      <x:c r="AU40" s="72"/>
      <x:c r="AV40" s="72"/>
      <x:c r="AW40" s="72"/>
      <x:c r="AX40" s="72"/>
      <x:c r="AY40" s="72"/>
      <x:c r="AZ40" s="72"/>
      <x:c r="BA40" s="73" t="str">
        <x:f>IF(C40="xiaohongshu",IF(COUNT(AF40,AE40)&lt;2,"",IFERROR(AF40/AE40,"")),"")</x:f>
      </x:c>
      <x:c r="BB40" s="73" t="str">
        <x:f>IF(C40="xiaohongshu",IF(COUNT(AG40,AE40)&lt;2,"",IFERROR(AG40/AE40,"")),"")</x:f>
      </x:c>
      <x:c r="BC40" s="73" t="str">
        <x:f>IF(C40="xiaohongshu",IF(COUNT(AN40,AE40)&lt;2,"",IFERROR(AN40/AE40,"")),"")</x:f>
      </x:c>
      <x:c r="BD40" s="73" t="str">
        <x:f>IF(C40="xiaohongshu",IF(COUNT(AQ40,AE40)&lt;2,"",IFERROR(AQ40/AE40,"")),"")</x:f>
      </x:c>
      <x:c r="BE40" s="73" t="str">
        <x:f>IF(C40="xiaohongshu",IF(COUNT(AI40,AE40)&lt;2,"",IFERROR(AI40/AE40,"")),"")</x:f>
      </x:c>
      <x:c r="BF40" s="73" t="str">
        <x:f>IF(C40="xiaohongshu",IF(OR(COUNT(AE40)=0,COUNT(AR40,AS40)=0),"",IFERROR((AR40+AS40)/AE40,"")),"")</x:f>
      </x:c>
      <x:c r="BG40" s="73" t="str">
        <x:f>IF(C40="x",IF(COUNT(AD40)=0,"",IF(COUNT(AM40)=1,IFERROR(AM40/AD40,""),IF(COUNT(AH40,AI40,AK40,AL40)=0,"",IFERROR(SUM(AH40,AI40,AK40,AL40)/AD40,"")))),"")</x:f>
      </x:c>
      <x:c r="BH40" s="73" t="str">
        <x:f>IF(C40="x",IF(COUNT(AJ40,AD40)&lt;2,"",IFERROR(AJ40/AD40,"")),"")</x:f>
      </x:c>
      <x:c r="BI40" s="73" t="str">
        <x:f>IF(C40="x",IF(COUNT(AO40,AD40)&lt;2,"",IFERROR(AO40/AD40,"")),"")</x:f>
      </x:c>
      <x:c r="BJ40" s="73" t="str">
        <x:f>IF(C40="x",IF(COUNT(AP40,AD40)&lt;2,"",IFERROR(AP40/AD40,"")),"")</x:f>
      </x:c>
      <x:c r="BK40" s="73" t="str">
        <x:f>IF(C40="x",IF(COUNT(AL40,AD40)&lt;2,"",IFERROR(AL40/AD40,"")),"")</x:f>
      </x:c>
      <x:c r="BL40" s="73" t="str">
        <x:f>IF(C40="x",IF(OR(COUNT(AD40)=0,COUNT(AR40,AS40)=0),"",IFERROR((AR40+AS40)/AD40,"")),"")</x:f>
      </x:c>
      <x:c r="BM40" s="73" t="str">
        <x:f>IF(AB40="xhs_save_rate",BA40,IF(AB40="xhs_completion_rate",BB40,IF(AB40="xhs_profile_visit_rate",BC40,IF(AB40="xhs_dm_intent_rate",BD40,IF(AB40="xhs_discussion_rate",BE40,IF(AB40="xhs_product_relevance_rate",BF40,IF(AB40="x_first_screen_engaged_rate_proxy",BG40,IF(AB40="x_qualified_reply_rate",BH40,IF(AB40="x_profile_click_rate",BI40,IF(AB40="x_link_intent_rate",BJ40,IF(AB40="x_bookmark_rate",BK40,IF(AB40="x_product_relevance_rate",BL40,""))))))))))))</x:f>
      </x:c>
      <x:c r="BN40" s="73" t="str">
        <x:f>IFERROR(BM40/AT40-1,"")</x:f>
      </x:c>
      <x:c r="BO40" s="73" t="str">
        <x:f>IF(AC40="","",IF(AC40="xhs_save_rate",BA40,IF(AC40="xhs_completion_rate",BB40,IF(AC40="xhs_profile_visit_rate",BC40,IF(AC40="xhs_dm_intent_rate",BD40,IF(AC40="xhs_discussion_rate",BE40,IF(AC40="xhs_product_relevance_rate",BF40,IF(AC40="x_first_screen_engaged_rate_proxy",BG40,IF(AC40="x_qualified_reply_rate",BH40,IF(AC40="x_profile_click_rate",BI40,IF(AC40="x_link_intent_rate",BJ40,IF(AC40="x_bookmark_rate",BK40,IF(AC40="x_product_relevance_rate",BL40,"")))))))))))))</x:f>
      </x:c>
      <x:c r="BP40" s="73" t="str">
        <x:f>IFERROR(BO40/AU40-1,"")</x:f>
      </x:c>
      <x:c r="BQ40" s="74" t="str">
        <x:f>IF(COUNT(AD40)=0,"",AD40)</x:f>
      </x:c>
      <x:c r="BR40" s="73" t="str">
        <x:f>IF(C40="xiaohongshu",IF(COUNT(BA40,BB40)=2,AVERAGE(BA40,BB40),IF(COUNT(BA40)=1,BA40,BB40)),BK40)</x:f>
      </x:c>
      <x:c r="BS40" s="73" t="str">
        <x:f>IF(C40="xiaohongshu",BE40,BH40)</x:f>
      </x:c>
      <x:c r="BT40" s="73" t="str">
        <x:f>IF(C40="xiaohongshu",IF(I40="save",BA40,IF(I40="discussion",BE40,IF(I40="profile_visit",BC40,IF(I40="dm",BD40,IF(OR(I40="product_question",I40="trial_intent"),BF40,""))))),IF(I40="save",BK40,IF(I40="discussion",BH40,IF(OR(I40="profile_visit",I40="dm"),BI40,IF(I40="link_click",BJ40,IF(OR(I40="product_question",I40="trial_intent"),BL40,""))))))</x:f>
      </x:c>
      <x:c r="BU40" s="73" t="str">
        <x:f>IF(C40="xiaohongshu",BF40,BL40)</x:f>
      </x:c>
      <x:c r="BV40" s="65" t="str">
        <x:f>IF(COUNT(BQ40,AV40)&lt;2,"unknown",IF(BQ40/AV40-1&gt;=0.2,"high",IF(BQ40/AV40-1&lt;=-0.2,"low","normal")))</x:f>
        <x:v>unknown</x:v>
      </x:c>
      <x:c r="BW40" s="65" t="str">
        <x:f>IF(COUNT(BR40,AW40)&lt;2,"unknown",IF(BR40/AW40-1&gt;=0.2,"high",IF(BR40/AW40-1&lt;=-0.2,"low","normal")))</x:f>
        <x:v>unknown</x:v>
      </x:c>
      <x:c r="BX40" s="65" t="str">
        <x:f>IF(COUNT(BS40,AX40)&lt;2,"unknown",IF(BS40/AX40-1&gt;=0.2,"high",IF(BS40/AX40-1&lt;=-0.2,"low","normal")))</x:f>
        <x:v>unknown</x:v>
      </x:c>
      <x:c r="BY40" s="65" t="str">
        <x:f>IF(COUNT(BT40,AY40)&lt;2,"unknown",IF(BT40/AY40-1&gt;=0.2,"high",IF(BT40/AY40-1&lt;=-0.2,"low","normal")))</x:f>
        <x:v>unknown</x:v>
      </x:c>
      <x:c r="BZ40" s="65" t="str">
        <x:f>IF(COUNT(BU40,AZ40)&lt;2,"unknown",IF(BU40/AZ40-1&gt;=0.2,"high",IF(BU40/AZ40-1&lt;=-0.2,"low","normal")))</x:f>
        <x:v>unknown</x:v>
      </x:c>
      <x:c r="CA40" s="65" t="str">
        <x:f>IF(T40&lt;&gt;"complete","pending",IF(OR(L40&lt;&gt;"pure",U40="true",COUNT(BM40,AT40)&lt;2,AND(AC40&lt;&gt;"",COUNT(BO40,AU40)&lt;2)),"not_attributable","attributable"))</x:f>
        <x:v>pending</x:v>
      </x:c>
      <x:c r="CB40" s="65" t="str">
        <x:f>IF(T40&lt;&gt;"complete","not_evaluated",IF(COUNT(BM40,AT40)&lt;2,"insufficient_data",IF(AND(AC40&lt;&gt;"",COUNT(BP40)=1,BP40&lt;=-0.2),"guardrail_fail",IF(AND(CA40="not_attributable",OR(BV40="high",BN40&gt;=0.2)),"watchlist",IF(CA40&lt;&gt;"attributable","insufficient_data",IF(BN40&gt;=0.2,"win",IF(BN40&lt;=-0.2,"loss","inconclusive")))))))</x:f>
        <x:v>not_evaluated</x:v>
      </x:c>
      <x:c r="CC40" s="65" t="str">
        <x:f>IF(T40&lt;&gt;"complete","COLLECT_MORE_DATA",IF(COUNT(BM40,AT40)&lt;2,"FIX_TRACKING",IF(CB40="guardrail_fail","STOP_VARIANT_GUARDRAIL",IF(CB40="watchlist","WATCHLIST_ONLY",IF(AND(BV40="high",BY40="low"),"KEEP_HOOK_REWRITE_CTA",IF(AND(BW40="high",BX40="low"),"KEEP_STRUCTURE_CHANGE_DISCUSSION_ANGLE",IF(AND(BX40="high",BZ40="low"),"DOWNWEIGHT_TEMPLATE",IF(CB40="win","RETEST_WINNER",IF(CB40="loss","RETURN_TO_BASELINE","COLLECT_MORE_DATA")))))))))</x:f>
        <x:v>COLLECT_MORE_DATA</x:v>
      </x:c>
      <x:c r="CD40" s="75"/>
    </x:row>
    <x:row r="41">
      <x:c r="A41" s="68"/>
      <x:c r="B41" s="69"/>
      <x:c r="C41" s="68"/>
      <x:c r="D41" s="68"/>
      <x:c r="E41" s="68"/>
      <x:c r="F41" s="68"/>
      <x:c r="G41" s="68"/>
      <x:c r="H41" s="70"/>
      <x:c r="I41" s="68"/>
      <x:c r="J41" s="68"/>
      <x:c r="K41" s="68"/>
      <x:c r="L41" s="71" t="str">
        <x:f>IF(K41="","unknown",IF(K41=0,"baseline",IF(K41=1,"pure","mixed")))</x:f>
        <x:v>unknown</x:v>
      </x:c>
      <x:c r="M41" s="68"/>
      <x:c r="N41" s="68"/>
      <x:c r="O41" s="68"/>
      <x:c r="P41" s="68"/>
      <x:c r="Q41" s="68"/>
      <x:c r="R41" s="68"/>
      <x:c r="S41" s="68"/>
      <x:c r="T41" s="68"/>
      <x:c r="U41" s="68"/>
      <x:c r="V41" s="68"/>
      <x:c r="W41" s="68"/>
      <x:c r="X41" s="68"/>
      <x:c r="Y41" s="68"/>
      <x:c r="Z41" s="68"/>
      <x:c r="AA41" s="68"/>
      <x:c r="AB41" s="68"/>
      <x:c r="AC41" s="68"/>
      <x:c r="AD41" s="70"/>
      <x:c r="AE41" s="70"/>
      <x:c r="AF41" s="70"/>
      <x:c r="AG41" s="70"/>
      <x:c r="AH41" s="70"/>
      <x:c r="AI41" s="70"/>
      <x:c r="AJ41" s="70"/>
      <x:c r="AK41" s="70"/>
      <x:c r="AL41" s="70"/>
      <x:c r="AM41" s="70"/>
      <x:c r="AN41" s="70"/>
      <x:c r="AO41" s="70"/>
      <x:c r="AP41" s="70"/>
      <x:c r="AQ41" s="70"/>
      <x:c r="AR41" s="70"/>
      <x:c r="AS41" s="70"/>
      <x:c r="AT41" s="72"/>
      <x:c r="AU41" s="72"/>
      <x:c r="AV41" s="72"/>
      <x:c r="AW41" s="72"/>
      <x:c r="AX41" s="72"/>
      <x:c r="AY41" s="72"/>
      <x:c r="AZ41" s="72"/>
      <x:c r="BA41" s="73" t="str">
        <x:f>IF(C41="xiaohongshu",IF(COUNT(AF41,AE41)&lt;2,"",IFERROR(AF41/AE41,"")),"")</x:f>
      </x:c>
      <x:c r="BB41" s="73" t="str">
        <x:f>IF(C41="xiaohongshu",IF(COUNT(AG41,AE41)&lt;2,"",IFERROR(AG41/AE41,"")),"")</x:f>
      </x:c>
      <x:c r="BC41" s="73" t="str">
        <x:f>IF(C41="xiaohongshu",IF(COUNT(AN41,AE41)&lt;2,"",IFERROR(AN41/AE41,"")),"")</x:f>
      </x:c>
      <x:c r="BD41" s="73" t="str">
        <x:f>IF(C41="xiaohongshu",IF(COUNT(AQ41,AE41)&lt;2,"",IFERROR(AQ41/AE41,"")),"")</x:f>
      </x:c>
      <x:c r="BE41" s="73" t="str">
        <x:f>IF(C41="xiaohongshu",IF(COUNT(AI41,AE41)&lt;2,"",IFERROR(AI41/AE41,"")),"")</x:f>
      </x:c>
      <x:c r="BF41" s="73" t="str">
        <x:f>IF(C41="xiaohongshu",IF(OR(COUNT(AE41)=0,COUNT(AR41,AS41)=0),"",IFERROR((AR41+AS41)/AE41,"")),"")</x:f>
      </x:c>
      <x:c r="BG41" s="73" t="str">
        <x:f>IF(C41="x",IF(COUNT(AD41)=0,"",IF(COUNT(AM41)=1,IFERROR(AM41/AD41,""),IF(COUNT(AH41,AI41,AK41,AL41)=0,"",IFERROR(SUM(AH41,AI41,AK41,AL41)/AD41,"")))),"")</x:f>
      </x:c>
      <x:c r="BH41" s="73" t="str">
        <x:f>IF(C41="x",IF(COUNT(AJ41,AD41)&lt;2,"",IFERROR(AJ41/AD41,"")),"")</x:f>
      </x:c>
      <x:c r="BI41" s="73" t="str">
        <x:f>IF(C41="x",IF(COUNT(AO41,AD41)&lt;2,"",IFERROR(AO41/AD41,"")),"")</x:f>
      </x:c>
      <x:c r="BJ41" s="73" t="str">
        <x:f>IF(C41="x",IF(COUNT(AP41,AD41)&lt;2,"",IFERROR(AP41/AD41,"")),"")</x:f>
      </x:c>
      <x:c r="BK41" s="73" t="str">
        <x:f>IF(C41="x",IF(COUNT(AL41,AD41)&lt;2,"",IFERROR(AL41/AD41,"")),"")</x:f>
      </x:c>
      <x:c r="BL41" s="73" t="str">
        <x:f>IF(C41="x",IF(OR(COUNT(AD41)=0,COUNT(AR41,AS41)=0),"",IFERROR((AR41+AS41)/AD41,"")),"")</x:f>
      </x:c>
      <x:c r="BM41" s="73" t="str">
        <x:f>IF(AB41="xhs_save_rate",BA41,IF(AB41="xhs_completion_rate",BB41,IF(AB41="xhs_profile_visit_rate",BC41,IF(AB41="xhs_dm_intent_rate",BD41,IF(AB41="xhs_discussion_rate",BE41,IF(AB41="xhs_product_relevance_rate",BF41,IF(AB41="x_first_screen_engaged_rate_proxy",BG41,IF(AB41="x_qualified_reply_rate",BH41,IF(AB41="x_profile_click_rate",BI41,IF(AB41="x_link_intent_rate",BJ41,IF(AB41="x_bookmark_rate",BK41,IF(AB41="x_product_relevance_rate",BL41,""))))))))))))</x:f>
      </x:c>
      <x:c r="BN41" s="73" t="str">
        <x:f>IFERROR(BM41/AT41-1,"")</x:f>
      </x:c>
      <x:c r="BO41" s="73" t="str">
        <x:f>IF(AC41="","",IF(AC41="xhs_save_rate",BA41,IF(AC41="xhs_completion_rate",BB41,IF(AC41="xhs_profile_visit_rate",BC41,IF(AC41="xhs_dm_intent_rate",BD41,IF(AC41="xhs_discussion_rate",BE41,IF(AC41="xhs_product_relevance_rate",BF41,IF(AC41="x_first_screen_engaged_rate_proxy",BG41,IF(AC41="x_qualified_reply_rate",BH41,IF(AC41="x_profile_click_rate",BI41,IF(AC41="x_link_intent_rate",BJ41,IF(AC41="x_bookmark_rate",BK41,IF(AC41="x_product_relevance_rate",BL41,"")))))))))))))</x:f>
      </x:c>
      <x:c r="BP41" s="73" t="str">
        <x:f>IFERROR(BO41/AU41-1,"")</x:f>
      </x:c>
      <x:c r="BQ41" s="74" t="str">
        <x:f>IF(COUNT(AD41)=0,"",AD41)</x:f>
      </x:c>
      <x:c r="BR41" s="73" t="str">
        <x:f>IF(C41="xiaohongshu",IF(COUNT(BA41,BB41)=2,AVERAGE(BA41,BB41),IF(COUNT(BA41)=1,BA41,BB41)),BK41)</x:f>
      </x:c>
      <x:c r="BS41" s="73" t="str">
        <x:f>IF(C41="xiaohongshu",BE41,BH41)</x:f>
      </x:c>
      <x:c r="BT41" s="73" t="str">
        <x:f>IF(C41="xiaohongshu",IF(I41="save",BA41,IF(I41="discussion",BE41,IF(I41="profile_visit",BC41,IF(I41="dm",BD41,IF(OR(I41="product_question",I41="trial_intent"),BF41,""))))),IF(I41="save",BK41,IF(I41="discussion",BH41,IF(OR(I41="profile_visit",I41="dm"),BI41,IF(I41="link_click",BJ41,IF(OR(I41="product_question",I41="trial_intent"),BL41,""))))))</x:f>
      </x:c>
      <x:c r="BU41" s="73" t="str">
        <x:f>IF(C41="xiaohongshu",BF41,BL41)</x:f>
      </x:c>
      <x:c r="BV41" s="65" t="str">
        <x:f>IF(COUNT(BQ41,AV41)&lt;2,"unknown",IF(BQ41/AV41-1&gt;=0.2,"high",IF(BQ41/AV41-1&lt;=-0.2,"low","normal")))</x:f>
        <x:v>unknown</x:v>
      </x:c>
      <x:c r="BW41" s="65" t="str">
        <x:f>IF(COUNT(BR41,AW41)&lt;2,"unknown",IF(BR41/AW41-1&gt;=0.2,"high",IF(BR41/AW41-1&lt;=-0.2,"low","normal")))</x:f>
        <x:v>unknown</x:v>
      </x:c>
      <x:c r="BX41" s="65" t="str">
        <x:f>IF(COUNT(BS41,AX41)&lt;2,"unknown",IF(BS41/AX41-1&gt;=0.2,"high",IF(BS41/AX41-1&lt;=-0.2,"low","normal")))</x:f>
        <x:v>unknown</x:v>
      </x:c>
      <x:c r="BY41" s="65" t="str">
        <x:f>IF(COUNT(BT41,AY41)&lt;2,"unknown",IF(BT41/AY41-1&gt;=0.2,"high",IF(BT41/AY41-1&lt;=-0.2,"low","normal")))</x:f>
        <x:v>unknown</x:v>
      </x:c>
      <x:c r="BZ41" s="65" t="str">
        <x:f>IF(COUNT(BU41,AZ41)&lt;2,"unknown",IF(BU41/AZ41-1&gt;=0.2,"high",IF(BU41/AZ41-1&lt;=-0.2,"low","normal")))</x:f>
        <x:v>unknown</x:v>
      </x:c>
      <x:c r="CA41" s="65" t="str">
        <x:f>IF(T41&lt;&gt;"complete","pending",IF(OR(L41&lt;&gt;"pure",U41="true",COUNT(BM41,AT41)&lt;2,AND(AC41&lt;&gt;"",COUNT(BO41,AU41)&lt;2)),"not_attributable","attributable"))</x:f>
        <x:v>pending</x:v>
      </x:c>
      <x:c r="CB41" s="65" t="str">
        <x:f>IF(T41&lt;&gt;"complete","not_evaluated",IF(COUNT(BM41,AT41)&lt;2,"insufficient_data",IF(AND(AC41&lt;&gt;"",COUNT(BP41)=1,BP41&lt;=-0.2),"guardrail_fail",IF(AND(CA41="not_attributable",OR(BV41="high",BN41&gt;=0.2)),"watchlist",IF(CA41&lt;&gt;"attributable","insufficient_data",IF(BN41&gt;=0.2,"win",IF(BN41&lt;=-0.2,"loss","inconclusive")))))))</x:f>
        <x:v>not_evaluated</x:v>
      </x:c>
      <x:c r="CC41" s="65" t="str">
        <x:f>IF(T41&lt;&gt;"complete","COLLECT_MORE_DATA",IF(COUNT(BM41,AT41)&lt;2,"FIX_TRACKING",IF(CB41="guardrail_fail","STOP_VARIANT_GUARDRAIL",IF(CB41="watchlist","WATCHLIST_ONLY",IF(AND(BV41="high",BY41="low"),"KEEP_HOOK_REWRITE_CTA",IF(AND(BW41="high",BX41="low"),"KEEP_STRUCTURE_CHANGE_DISCUSSION_ANGLE",IF(AND(BX41="high",BZ41="low"),"DOWNWEIGHT_TEMPLATE",IF(CB41="win","RETEST_WINNER",IF(CB41="loss","RETURN_TO_BASELINE","COLLECT_MORE_DATA")))))))))</x:f>
        <x:v>COLLECT_MORE_DATA</x:v>
      </x:c>
      <x:c r="CD41" s="75"/>
    </x:row>
    <x:row r="42">
      <x:c r="A42" s="68"/>
      <x:c r="B42" s="69"/>
      <x:c r="C42" s="68"/>
      <x:c r="D42" s="68"/>
      <x:c r="E42" s="68"/>
      <x:c r="F42" s="68"/>
      <x:c r="G42" s="68"/>
      <x:c r="H42" s="70"/>
      <x:c r="I42" s="68"/>
      <x:c r="J42" s="68"/>
      <x:c r="K42" s="68"/>
      <x:c r="L42" s="71" t="str">
        <x:f>IF(K42="","unknown",IF(K42=0,"baseline",IF(K42=1,"pure","mixed")))</x:f>
        <x:v>unknown</x:v>
      </x:c>
      <x:c r="M42" s="68"/>
      <x:c r="N42" s="68"/>
      <x:c r="O42" s="68"/>
      <x:c r="P42" s="68"/>
      <x:c r="Q42" s="68"/>
      <x:c r="R42" s="68"/>
      <x:c r="S42" s="68"/>
      <x:c r="T42" s="68"/>
      <x:c r="U42" s="68"/>
      <x:c r="V42" s="68"/>
      <x:c r="W42" s="68"/>
      <x:c r="X42" s="68"/>
      <x:c r="Y42" s="68"/>
      <x:c r="Z42" s="68"/>
      <x:c r="AA42" s="68"/>
      <x:c r="AB42" s="68"/>
      <x:c r="AC42" s="68"/>
      <x:c r="AD42" s="70"/>
      <x:c r="AE42" s="70"/>
      <x:c r="AF42" s="70"/>
      <x:c r="AG42" s="70"/>
      <x:c r="AH42" s="70"/>
      <x:c r="AI42" s="70"/>
      <x:c r="AJ42" s="70"/>
      <x:c r="AK42" s="70"/>
      <x:c r="AL42" s="70"/>
      <x:c r="AM42" s="70"/>
      <x:c r="AN42" s="70"/>
      <x:c r="AO42" s="70"/>
      <x:c r="AP42" s="70"/>
      <x:c r="AQ42" s="70"/>
      <x:c r="AR42" s="70"/>
      <x:c r="AS42" s="70"/>
      <x:c r="AT42" s="72"/>
      <x:c r="AU42" s="72"/>
      <x:c r="AV42" s="72"/>
      <x:c r="AW42" s="72"/>
      <x:c r="AX42" s="72"/>
      <x:c r="AY42" s="72"/>
      <x:c r="AZ42" s="72"/>
      <x:c r="BA42" s="73" t="str">
        <x:f>IF(C42="xiaohongshu",IF(COUNT(AF42,AE42)&lt;2,"",IFERROR(AF42/AE42,"")),"")</x:f>
      </x:c>
      <x:c r="BB42" s="73" t="str">
        <x:f>IF(C42="xiaohongshu",IF(COUNT(AG42,AE42)&lt;2,"",IFERROR(AG42/AE42,"")),"")</x:f>
      </x:c>
      <x:c r="BC42" s="73" t="str">
        <x:f>IF(C42="xiaohongshu",IF(COUNT(AN42,AE42)&lt;2,"",IFERROR(AN42/AE42,"")),"")</x:f>
      </x:c>
      <x:c r="BD42" s="73" t="str">
        <x:f>IF(C42="xiaohongshu",IF(COUNT(AQ42,AE42)&lt;2,"",IFERROR(AQ42/AE42,"")),"")</x:f>
      </x:c>
      <x:c r="BE42" s="73" t="str">
        <x:f>IF(C42="xiaohongshu",IF(COUNT(AI42,AE42)&lt;2,"",IFERROR(AI42/AE42,"")),"")</x:f>
      </x:c>
      <x:c r="BF42" s="73" t="str">
        <x:f>IF(C42="xiaohongshu",IF(OR(COUNT(AE42)=0,COUNT(AR42,AS42)=0),"",IFERROR((AR42+AS42)/AE42,"")),"")</x:f>
      </x:c>
      <x:c r="BG42" s="73" t="str">
        <x:f>IF(C42="x",IF(COUNT(AD42)=0,"",IF(COUNT(AM42)=1,IFERROR(AM42/AD42,""),IF(COUNT(AH42,AI42,AK42,AL42)=0,"",IFERROR(SUM(AH42,AI42,AK42,AL42)/AD42,"")))),"")</x:f>
      </x:c>
      <x:c r="BH42" s="73" t="str">
        <x:f>IF(C42="x",IF(COUNT(AJ42,AD42)&lt;2,"",IFERROR(AJ42/AD42,"")),"")</x:f>
      </x:c>
      <x:c r="BI42" s="73" t="str">
        <x:f>IF(C42="x",IF(COUNT(AO42,AD42)&lt;2,"",IFERROR(AO42/AD42,"")),"")</x:f>
      </x:c>
      <x:c r="BJ42" s="73" t="str">
        <x:f>IF(C42="x",IF(COUNT(AP42,AD42)&lt;2,"",IFERROR(AP42/AD42,"")),"")</x:f>
      </x:c>
      <x:c r="BK42" s="73" t="str">
        <x:f>IF(C42="x",IF(COUNT(AL42,AD42)&lt;2,"",IFERROR(AL42/AD42,"")),"")</x:f>
      </x:c>
      <x:c r="BL42" s="73" t="str">
        <x:f>IF(C42="x",IF(OR(COUNT(AD42)=0,COUNT(AR42,AS42)=0),"",IFERROR((AR42+AS42)/AD42,"")),"")</x:f>
      </x:c>
      <x:c r="BM42" s="73" t="str">
        <x:f>IF(AB42="xhs_save_rate",BA42,IF(AB42="xhs_completion_rate",BB42,IF(AB42="xhs_profile_visit_rate",BC42,IF(AB42="xhs_dm_intent_rate",BD42,IF(AB42="xhs_discussion_rate",BE42,IF(AB42="xhs_product_relevance_rate",BF42,IF(AB42="x_first_screen_engaged_rate_proxy",BG42,IF(AB42="x_qualified_reply_rate",BH42,IF(AB42="x_profile_click_rate",BI42,IF(AB42="x_link_intent_rate",BJ42,IF(AB42="x_bookmark_rate",BK42,IF(AB42="x_product_relevance_rate",BL42,""))))))))))))</x:f>
      </x:c>
      <x:c r="BN42" s="73" t="str">
        <x:f>IFERROR(BM42/AT42-1,"")</x:f>
      </x:c>
      <x:c r="BO42" s="73" t="str">
        <x:f>IF(AC42="","",IF(AC42="xhs_save_rate",BA42,IF(AC42="xhs_completion_rate",BB42,IF(AC42="xhs_profile_visit_rate",BC42,IF(AC42="xhs_dm_intent_rate",BD42,IF(AC42="xhs_discussion_rate",BE42,IF(AC42="xhs_product_relevance_rate",BF42,IF(AC42="x_first_screen_engaged_rate_proxy",BG42,IF(AC42="x_qualified_reply_rate",BH42,IF(AC42="x_profile_click_rate",BI42,IF(AC42="x_link_intent_rate",BJ42,IF(AC42="x_bookmark_rate",BK42,IF(AC42="x_product_relevance_rate",BL42,"")))))))))))))</x:f>
      </x:c>
      <x:c r="BP42" s="73" t="str">
        <x:f>IFERROR(BO42/AU42-1,"")</x:f>
      </x:c>
      <x:c r="BQ42" s="74" t="str">
        <x:f>IF(COUNT(AD42)=0,"",AD42)</x:f>
      </x:c>
      <x:c r="BR42" s="73" t="str">
        <x:f>IF(C42="xiaohongshu",IF(COUNT(BA42,BB42)=2,AVERAGE(BA42,BB42),IF(COUNT(BA42)=1,BA42,BB42)),BK42)</x:f>
      </x:c>
      <x:c r="BS42" s="73" t="str">
        <x:f>IF(C42="xiaohongshu",BE42,BH42)</x:f>
      </x:c>
      <x:c r="BT42" s="73" t="str">
        <x:f>IF(C42="xiaohongshu",IF(I42="save",BA42,IF(I42="discussion",BE42,IF(I42="profile_visit",BC42,IF(I42="dm",BD42,IF(OR(I42="product_question",I42="trial_intent"),BF42,""))))),IF(I42="save",BK42,IF(I42="discussion",BH42,IF(OR(I42="profile_visit",I42="dm"),BI42,IF(I42="link_click",BJ42,IF(OR(I42="product_question",I42="trial_intent"),BL42,""))))))</x:f>
      </x:c>
      <x:c r="BU42" s="73" t="str">
        <x:f>IF(C42="xiaohongshu",BF42,BL42)</x:f>
      </x:c>
      <x:c r="BV42" s="65" t="str">
        <x:f>IF(COUNT(BQ42,AV42)&lt;2,"unknown",IF(BQ42/AV42-1&gt;=0.2,"high",IF(BQ42/AV42-1&lt;=-0.2,"low","normal")))</x:f>
        <x:v>unknown</x:v>
      </x:c>
      <x:c r="BW42" s="65" t="str">
        <x:f>IF(COUNT(BR42,AW42)&lt;2,"unknown",IF(BR42/AW42-1&gt;=0.2,"high",IF(BR42/AW42-1&lt;=-0.2,"low","normal")))</x:f>
        <x:v>unknown</x:v>
      </x:c>
      <x:c r="BX42" s="65" t="str">
        <x:f>IF(COUNT(BS42,AX42)&lt;2,"unknown",IF(BS42/AX42-1&gt;=0.2,"high",IF(BS42/AX42-1&lt;=-0.2,"low","normal")))</x:f>
        <x:v>unknown</x:v>
      </x:c>
      <x:c r="BY42" s="65" t="str">
        <x:f>IF(COUNT(BT42,AY42)&lt;2,"unknown",IF(BT42/AY42-1&gt;=0.2,"high",IF(BT42/AY42-1&lt;=-0.2,"low","normal")))</x:f>
        <x:v>unknown</x:v>
      </x:c>
      <x:c r="BZ42" s="65" t="str">
        <x:f>IF(COUNT(BU42,AZ42)&lt;2,"unknown",IF(BU42/AZ42-1&gt;=0.2,"high",IF(BU42/AZ42-1&lt;=-0.2,"low","normal")))</x:f>
        <x:v>unknown</x:v>
      </x:c>
      <x:c r="CA42" s="65" t="str">
        <x:f>IF(T42&lt;&gt;"complete","pending",IF(OR(L42&lt;&gt;"pure",U42="true",COUNT(BM42,AT42)&lt;2,AND(AC42&lt;&gt;"",COUNT(BO42,AU42)&lt;2)),"not_attributable","attributable"))</x:f>
        <x:v>pending</x:v>
      </x:c>
      <x:c r="CB42" s="65" t="str">
        <x:f>IF(T42&lt;&gt;"complete","not_evaluated",IF(COUNT(BM42,AT42)&lt;2,"insufficient_data",IF(AND(AC42&lt;&gt;"",COUNT(BP42)=1,BP42&lt;=-0.2),"guardrail_fail",IF(AND(CA42="not_attributable",OR(BV42="high",BN42&gt;=0.2)),"watchlist",IF(CA42&lt;&gt;"attributable","insufficient_data",IF(BN42&gt;=0.2,"win",IF(BN42&lt;=-0.2,"loss","inconclusive")))))))</x:f>
        <x:v>not_evaluated</x:v>
      </x:c>
      <x:c r="CC42" s="65" t="str">
        <x:f>IF(T42&lt;&gt;"complete","COLLECT_MORE_DATA",IF(COUNT(BM42,AT42)&lt;2,"FIX_TRACKING",IF(CB42="guardrail_fail","STOP_VARIANT_GUARDRAIL",IF(CB42="watchlist","WATCHLIST_ONLY",IF(AND(BV42="high",BY42="low"),"KEEP_HOOK_REWRITE_CTA",IF(AND(BW42="high",BX42="low"),"KEEP_STRUCTURE_CHANGE_DISCUSSION_ANGLE",IF(AND(BX42="high",BZ42="low"),"DOWNWEIGHT_TEMPLATE",IF(CB42="win","RETEST_WINNER",IF(CB42="loss","RETURN_TO_BASELINE","COLLECT_MORE_DATA")))))))))</x:f>
        <x:v>COLLECT_MORE_DATA</x:v>
      </x:c>
      <x:c r="CD42" s="75"/>
    </x:row>
    <x:row r="43">
      <x:c r="A43" s="68"/>
      <x:c r="B43" s="69"/>
      <x:c r="C43" s="68"/>
      <x:c r="D43" s="68"/>
      <x:c r="E43" s="68"/>
      <x:c r="F43" s="68"/>
      <x:c r="G43" s="68"/>
      <x:c r="H43" s="70"/>
      <x:c r="I43" s="68"/>
      <x:c r="J43" s="68"/>
      <x:c r="K43" s="68"/>
      <x:c r="L43" s="71" t="str">
        <x:f>IF(K43="","unknown",IF(K43=0,"baseline",IF(K43=1,"pure","mixed")))</x:f>
        <x:v>unknown</x:v>
      </x:c>
      <x:c r="M43" s="68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  <x:c r="Z43" s="68"/>
      <x:c r="AA43" s="68"/>
      <x:c r="AB43" s="68"/>
      <x:c r="AC43" s="68"/>
      <x:c r="AD43" s="70"/>
      <x:c r="AE43" s="70"/>
      <x:c r="AF43" s="70"/>
      <x:c r="AG43" s="70"/>
      <x:c r="AH43" s="70"/>
      <x:c r="AI43" s="70"/>
      <x:c r="AJ43" s="70"/>
      <x:c r="AK43" s="70"/>
      <x:c r="AL43" s="70"/>
      <x:c r="AM43" s="70"/>
      <x:c r="AN43" s="70"/>
      <x:c r="AO43" s="70"/>
      <x:c r="AP43" s="70"/>
      <x:c r="AQ43" s="70"/>
      <x:c r="AR43" s="70"/>
      <x:c r="AS43" s="70"/>
      <x:c r="AT43" s="72"/>
      <x:c r="AU43" s="72"/>
      <x:c r="AV43" s="72"/>
      <x:c r="AW43" s="72"/>
      <x:c r="AX43" s="72"/>
      <x:c r="AY43" s="72"/>
      <x:c r="AZ43" s="72"/>
      <x:c r="BA43" s="73" t="str">
        <x:f>IF(C43="xiaohongshu",IF(COUNT(AF43,AE43)&lt;2,"",IFERROR(AF43/AE43,"")),"")</x:f>
      </x:c>
      <x:c r="BB43" s="73" t="str">
        <x:f>IF(C43="xiaohongshu",IF(COUNT(AG43,AE43)&lt;2,"",IFERROR(AG43/AE43,"")),"")</x:f>
      </x:c>
      <x:c r="BC43" s="73" t="str">
        <x:f>IF(C43="xiaohongshu",IF(COUNT(AN43,AE43)&lt;2,"",IFERROR(AN43/AE43,"")),"")</x:f>
      </x:c>
      <x:c r="BD43" s="73" t="str">
        <x:f>IF(C43="xiaohongshu",IF(COUNT(AQ43,AE43)&lt;2,"",IFERROR(AQ43/AE43,"")),"")</x:f>
      </x:c>
      <x:c r="BE43" s="73" t="str">
        <x:f>IF(C43="xiaohongshu",IF(COUNT(AI43,AE43)&lt;2,"",IFERROR(AI43/AE43,"")),"")</x:f>
      </x:c>
      <x:c r="BF43" s="73" t="str">
        <x:f>IF(C43="xiaohongshu",IF(OR(COUNT(AE43)=0,COUNT(AR43,AS43)=0),"",IFERROR((AR43+AS43)/AE43,"")),"")</x:f>
      </x:c>
      <x:c r="BG43" s="73" t="str">
        <x:f>IF(C43="x",IF(COUNT(AD43)=0,"",IF(COUNT(AM43)=1,IFERROR(AM43/AD43,""),IF(COUNT(AH43,AI43,AK43,AL43)=0,"",IFERROR(SUM(AH43,AI43,AK43,AL43)/AD43,"")))),"")</x:f>
      </x:c>
      <x:c r="BH43" s="73" t="str">
        <x:f>IF(C43="x",IF(COUNT(AJ43,AD43)&lt;2,"",IFERROR(AJ43/AD43,"")),"")</x:f>
      </x:c>
      <x:c r="BI43" s="73" t="str">
        <x:f>IF(C43="x",IF(COUNT(AO43,AD43)&lt;2,"",IFERROR(AO43/AD43,"")),"")</x:f>
      </x:c>
      <x:c r="BJ43" s="73" t="str">
        <x:f>IF(C43="x",IF(COUNT(AP43,AD43)&lt;2,"",IFERROR(AP43/AD43,"")),"")</x:f>
      </x:c>
      <x:c r="BK43" s="73" t="str">
        <x:f>IF(C43="x",IF(COUNT(AL43,AD43)&lt;2,"",IFERROR(AL43/AD43,"")),"")</x:f>
      </x:c>
      <x:c r="BL43" s="73" t="str">
        <x:f>IF(C43="x",IF(OR(COUNT(AD43)=0,COUNT(AR43,AS43)=0),"",IFERROR((AR43+AS43)/AD43,"")),"")</x:f>
      </x:c>
      <x:c r="BM43" s="73" t="str">
        <x:f>IF(AB43="xhs_save_rate",BA43,IF(AB43="xhs_completion_rate",BB43,IF(AB43="xhs_profile_visit_rate",BC43,IF(AB43="xhs_dm_intent_rate",BD43,IF(AB43="xhs_discussion_rate",BE43,IF(AB43="xhs_product_relevance_rate",BF43,IF(AB43="x_first_screen_engaged_rate_proxy",BG43,IF(AB43="x_qualified_reply_rate",BH43,IF(AB43="x_profile_click_rate",BI43,IF(AB43="x_link_intent_rate",BJ43,IF(AB43="x_bookmark_rate",BK43,IF(AB43="x_product_relevance_rate",BL43,""))))))))))))</x:f>
      </x:c>
      <x:c r="BN43" s="73" t="str">
        <x:f>IFERROR(BM43/AT43-1,"")</x:f>
      </x:c>
      <x:c r="BO43" s="73" t="str">
        <x:f>IF(AC43="","",IF(AC43="xhs_save_rate",BA43,IF(AC43="xhs_completion_rate",BB43,IF(AC43="xhs_profile_visit_rate",BC43,IF(AC43="xhs_dm_intent_rate",BD43,IF(AC43="xhs_discussion_rate",BE43,IF(AC43="xhs_product_relevance_rate",BF43,IF(AC43="x_first_screen_engaged_rate_proxy",BG43,IF(AC43="x_qualified_reply_rate",BH43,IF(AC43="x_profile_click_rate",BI43,IF(AC43="x_link_intent_rate",BJ43,IF(AC43="x_bookmark_rate",BK43,IF(AC43="x_product_relevance_rate",BL43,"")))))))))))))</x:f>
      </x:c>
      <x:c r="BP43" s="73" t="str">
        <x:f>IFERROR(BO43/AU43-1,"")</x:f>
      </x:c>
      <x:c r="BQ43" s="74" t="str">
        <x:f>IF(COUNT(AD43)=0,"",AD43)</x:f>
      </x:c>
      <x:c r="BR43" s="73" t="str">
        <x:f>IF(C43="xiaohongshu",IF(COUNT(BA43,BB43)=2,AVERAGE(BA43,BB43),IF(COUNT(BA43)=1,BA43,BB43)),BK43)</x:f>
      </x:c>
      <x:c r="BS43" s="73" t="str">
        <x:f>IF(C43="xiaohongshu",BE43,BH43)</x:f>
      </x:c>
      <x:c r="BT43" s="73" t="str">
        <x:f>IF(C43="xiaohongshu",IF(I43="save",BA43,IF(I43="discussion",BE43,IF(I43="profile_visit",BC43,IF(I43="dm",BD43,IF(OR(I43="product_question",I43="trial_intent"),BF43,""))))),IF(I43="save",BK43,IF(I43="discussion",BH43,IF(OR(I43="profile_visit",I43="dm"),BI43,IF(I43="link_click",BJ43,IF(OR(I43="product_question",I43="trial_intent"),BL43,""))))))</x:f>
      </x:c>
      <x:c r="BU43" s="73" t="str">
        <x:f>IF(C43="xiaohongshu",BF43,BL43)</x:f>
      </x:c>
      <x:c r="BV43" s="65" t="str">
        <x:f>IF(COUNT(BQ43,AV43)&lt;2,"unknown",IF(BQ43/AV43-1&gt;=0.2,"high",IF(BQ43/AV43-1&lt;=-0.2,"low","normal")))</x:f>
        <x:v>unknown</x:v>
      </x:c>
      <x:c r="BW43" s="65" t="str">
        <x:f>IF(COUNT(BR43,AW43)&lt;2,"unknown",IF(BR43/AW43-1&gt;=0.2,"high",IF(BR43/AW43-1&lt;=-0.2,"low","normal")))</x:f>
        <x:v>unknown</x:v>
      </x:c>
      <x:c r="BX43" s="65" t="str">
        <x:f>IF(COUNT(BS43,AX43)&lt;2,"unknown",IF(BS43/AX43-1&gt;=0.2,"high",IF(BS43/AX43-1&lt;=-0.2,"low","normal")))</x:f>
        <x:v>unknown</x:v>
      </x:c>
      <x:c r="BY43" s="65" t="str">
        <x:f>IF(COUNT(BT43,AY43)&lt;2,"unknown",IF(BT43/AY43-1&gt;=0.2,"high",IF(BT43/AY43-1&lt;=-0.2,"low","normal")))</x:f>
        <x:v>unknown</x:v>
      </x:c>
      <x:c r="BZ43" s="65" t="str">
        <x:f>IF(COUNT(BU43,AZ43)&lt;2,"unknown",IF(BU43/AZ43-1&gt;=0.2,"high",IF(BU43/AZ43-1&lt;=-0.2,"low","normal")))</x:f>
        <x:v>unknown</x:v>
      </x:c>
      <x:c r="CA43" s="65" t="str">
        <x:f>IF(T43&lt;&gt;"complete","pending",IF(OR(L43&lt;&gt;"pure",U43="true",COUNT(BM43,AT43)&lt;2,AND(AC43&lt;&gt;"",COUNT(BO43,AU43)&lt;2)),"not_attributable","attributable"))</x:f>
        <x:v>pending</x:v>
      </x:c>
      <x:c r="CB43" s="65" t="str">
        <x:f>IF(T43&lt;&gt;"complete","not_evaluated",IF(COUNT(BM43,AT43)&lt;2,"insufficient_data",IF(AND(AC43&lt;&gt;"",COUNT(BP43)=1,BP43&lt;=-0.2),"guardrail_fail",IF(AND(CA43="not_attributable",OR(BV43="high",BN43&gt;=0.2)),"watchlist",IF(CA43&lt;&gt;"attributable","insufficient_data",IF(BN43&gt;=0.2,"win",IF(BN43&lt;=-0.2,"loss","inconclusive")))))))</x:f>
        <x:v>not_evaluated</x:v>
      </x:c>
      <x:c r="CC43" s="65" t="str">
        <x:f>IF(T43&lt;&gt;"complete","COLLECT_MORE_DATA",IF(COUNT(BM43,AT43)&lt;2,"FIX_TRACKING",IF(CB43="guardrail_fail","STOP_VARIANT_GUARDRAIL",IF(CB43="watchlist","WATCHLIST_ONLY",IF(AND(BV43="high",BY43="low"),"KEEP_HOOK_REWRITE_CTA",IF(AND(BW43="high",BX43="low"),"KEEP_STRUCTURE_CHANGE_DISCUSSION_ANGLE",IF(AND(BX43="high",BZ43="low"),"DOWNWEIGHT_TEMPLATE",IF(CB43="win","RETEST_WINNER",IF(CB43="loss","RETURN_TO_BASELINE","COLLECT_MORE_DATA")))))))))</x:f>
        <x:v>COLLECT_MORE_DATA</x:v>
      </x:c>
      <x:c r="CD43" s="75"/>
    </x:row>
    <x:row r="44">
      <x:c r="A44" s="68"/>
      <x:c r="B44" s="69"/>
      <x:c r="C44" s="68"/>
      <x:c r="D44" s="68"/>
      <x:c r="E44" s="68"/>
      <x:c r="F44" s="68"/>
      <x:c r="G44" s="68"/>
      <x:c r="H44" s="70"/>
      <x:c r="I44" s="68"/>
      <x:c r="J44" s="68"/>
      <x:c r="K44" s="68"/>
      <x:c r="L44" s="71" t="str">
        <x:f>IF(K44="","unknown",IF(K44=0,"baseline",IF(K44=1,"pure","mixed")))</x:f>
        <x:v>unknown</x:v>
      </x:c>
      <x:c r="M44" s="68"/>
      <x:c r="N44" s="68"/>
      <x:c r="O44" s="68"/>
      <x:c r="P44" s="68"/>
      <x:c r="Q44" s="68"/>
      <x:c r="R44" s="68"/>
      <x:c r="S44" s="68"/>
      <x:c r="T44" s="68"/>
      <x:c r="U44" s="68"/>
      <x:c r="V44" s="68"/>
      <x:c r="W44" s="68"/>
      <x:c r="X44" s="68"/>
      <x:c r="Y44" s="68"/>
      <x:c r="Z44" s="68"/>
      <x:c r="AA44" s="68"/>
      <x:c r="AB44" s="68"/>
      <x:c r="AC44" s="68"/>
      <x:c r="AD44" s="70"/>
      <x:c r="AE44" s="70"/>
      <x:c r="AF44" s="70"/>
      <x:c r="AG44" s="70"/>
      <x:c r="AH44" s="70"/>
      <x:c r="AI44" s="70"/>
      <x:c r="AJ44" s="70"/>
      <x:c r="AK44" s="70"/>
      <x:c r="AL44" s="70"/>
      <x:c r="AM44" s="70"/>
      <x:c r="AN44" s="70"/>
      <x:c r="AO44" s="70"/>
      <x:c r="AP44" s="70"/>
      <x:c r="AQ44" s="70"/>
      <x:c r="AR44" s="70"/>
      <x:c r="AS44" s="70"/>
      <x:c r="AT44" s="72"/>
      <x:c r="AU44" s="72"/>
      <x:c r="AV44" s="72"/>
      <x:c r="AW44" s="72"/>
      <x:c r="AX44" s="72"/>
      <x:c r="AY44" s="72"/>
      <x:c r="AZ44" s="72"/>
      <x:c r="BA44" s="73" t="str">
        <x:f>IF(C44="xiaohongshu",IF(COUNT(AF44,AE44)&lt;2,"",IFERROR(AF44/AE44,"")),"")</x:f>
      </x:c>
      <x:c r="BB44" s="73" t="str">
        <x:f>IF(C44="xiaohongshu",IF(COUNT(AG44,AE44)&lt;2,"",IFERROR(AG44/AE44,"")),"")</x:f>
      </x:c>
      <x:c r="BC44" s="73" t="str">
        <x:f>IF(C44="xiaohongshu",IF(COUNT(AN44,AE44)&lt;2,"",IFERROR(AN44/AE44,"")),"")</x:f>
      </x:c>
      <x:c r="BD44" s="73" t="str">
        <x:f>IF(C44="xiaohongshu",IF(COUNT(AQ44,AE44)&lt;2,"",IFERROR(AQ44/AE44,"")),"")</x:f>
      </x:c>
      <x:c r="BE44" s="73" t="str">
        <x:f>IF(C44="xiaohongshu",IF(COUNT(AI44,AE44)&lt;2,"",IFERROR(AI44/AE44,"")),"")</x:f>
      </x:c>
      <x:c r="BF44" s="73" t="str">
        <x:f>IF(C44="xiaohongshu",IF(OR(COUNT(AE44)=0,COUNT(AR44,AS44)=0),"",IFERROR((AR44+AS44)/AE44,"")),"")</x:f>
      </x:c>
      <x:c r="BG44" s="73" t="str">
        <x:f>IF(C44="x",IF(COUNT(AD44)=0,"",IF(COUNT(AM44)=1,IFERROR(AM44/AD44,""),IF(COUNT(AH44,AI44,AK44,AL44)=0,"",IFERROR(SUM(AH44,AI44,AK44,AL44)/AD44,"")))),"")</x:f>
      </x:c>
      <x:c r="BH44" s="73" t="str">
        <x:f>IF(C44="x",IF(COUNT(AJ44,AD44)&lt;2,"",IFERROR(AJ44/AD44,"")),"")</x:f>
      </x:c>
      <x:c r="BI44" s="73" t="str">
        <x:f>IF(C44="x",IF(COUNT(AO44,AD44)&lt;2,"",IFERROR(AO44/AD44,"")),"")</x:f>
      </x:c>
      <x:c r="BJ44" s="73" t="str">
        <x:f>IF(C44="x",IF(COUNT(AP44,AD44)&lt;2,"",IFERROR(AP44/AD44,"")),"")</x:f>
      </x:c>
      <x:c r="BK44" s="73" t="str">
        <x:f>IF(C44="x",IF(COUNT(AL44,AD44)&lt;2,"",IFERROR(AL44/AD44,"")),"")</x:f>
      </x:c>
      <x:c r="BL44" s="73" t="str">
        <x:f>IF(C44="x",IF(OR(COUNT(AD44)=0,COUNT(AR44,AS44)=0),"",IFERROR((AR44+AS44)/AD44,"")),"")</x:f>
      </x:c>
      <x:c r="BM44" s="73" t="str">
        <x:f>IF(AB44="xhs_save_rate",BA44,IF(AB44="xhs_completion_rate",BB44,IF(AB44="xhs_profile_visit_rate",BC44,IF(AB44="xhs_dm_intent_rate",BD44,IF(AB44="xhs_discussion_rate",BE44,IF(AB44="xhs_product_relevance_rate",BF44,IF(AB44="x_first_screen_engaged_rate_proxy",BG44,IF(AB44="x_qualified_reply_rate",BH44,IF(AB44="x_profile_click_rate",BI44,IF(AB44="x_link_intent_rate",BJ44,IF(AB44="x_bookmark_rate",BK44,IF(AB44="x_product_relevance_rate",BL44,""))))))))))))</x:f>
      </x:c>
      <x:c r="BN44" s="73" t="str">
        <x:f>IFERROR(BM44/AT44-1,"")</x:f>
      </x:c>
      <x:c r="BO44" s="73" t="str">
        <x:f>IF(AC44="","",IF(AC44="xhs_save_rate",BA44,IF(AC44="xhs_completion_rate",BB44,IF(AC44="xhs_profile_visit_rate",BC44,IF(AC44="xhs_dm_intent_rate",BD44,IF(AC44="xhs_discussion_rate",BE44,IF(AC44="xhs_product_relevance_rate",BF44,IF(AC44="x_first_screen_engaged_rate_proxy",BG44,IF(AC44="x_qualified_reply_rate",BH44,IF(AC44="x_profile_click_rate",BI44,IF(AC44="x_link_intent_rate",BJ44,IF(AC44="x_bookmark_rate",BK44,IF(AC44="x_product_relevance_rate",BL44,"")))))))))))))</x:f>
      </x:c>
      <x:c r="BP44" s="73" t="str">
        <x:f>IFERROR(BO44/AU44-1,"")</x:f>
      </x:c>
      <x:c r="BQ44" s="74" t="str">
        <x:f>IF(COUNT(AD44)=0,"",AD44)</x:f>
      </x:c>
      <x:c r="BR44" s="73" t="str">
        <x:f>IF(C44="xiaohongshu",IF(COUNT(BA44,BB44)=2,AVERAGE(BA44,BB44),IF(COUNT(BA44)=1,BA44,BB44)),BK44)</x:f>
      </x:c>
      <x:c r="BS44" s="73" t="str">
        <x:f>IF(C44="xiaohongshu",BE44,BH44)</x:f>
      </x:c>
      <x:c r="BT44" s="73" t="str">
        <x:f>IF(C44="xiaohongshu",IF(I44="save",BA44,IF(I44="discussion",BE44,IF(I44="profile_visit",BC44,IF(I44="dm",BD44,IF(OR(I44="product_question",I44="trial_intent"),BF44,""))))),IF(I44="save",BK44,IF(I44="discussion",BH44,IF(OR(I44="profile_visit",I44="dm"),BI44,IF(I44="link_click",BJ44,IF(OR(I44="product_question",I44="trial_intent"),BL44,""))))))</x:f>
      </x:c>
      <x:c r="BU44" s="73" t="str">
        <x:f>IF(C44="xiaohongshu",BF44,BL44)</x:f>
      </x:c>
      <x:c r="BV44" s="65" t="str">
        <x:f>IF(COUNT(BQ44,AV44)&lt;2,"unknown",IF(BQ44/AV44-1&gt;=0.2,"high",IF(BQ44/AV44-1&lt;=-0.2,"low","normal")))</x:f>
        <x:v>unknown</x:v>
      </x:c>
      <x:c r="BW44" s="65" t="str">
        <x:f>IF(COUNT(BR44,AW44)&lt;2,"unknown",IF(BR44/AW44-1&gt;=0.2,"high",IF(BR44/AW44-1&lt;=-0.2,"low","normal")))</x:f>
        <x:v>unknown</x:v>
      </x:c>
      <x:c r="BX44" s="65" t="str">
        <x:f>IF(COUNT(BS44,AX44)&lt;2,"unknown",IF(BS44/AX44-1&gt;=0.2,"high",IF(BS44/AX44-1&lt;=-0.2,"low","normal")))</x:f>
        <x:v>unknown</x:v>
      </x:c>
      <x:c r="BY44" s="65" t="str">
        <x:f>IF(COUNT(BT44,AY44)&lt;2,"unknown",IF(BT44/AY44-1&gt;=0.2,"high",IF(BT44/AY44-1&lt;=-0.2,"low","normal")))</x:f>
        <x:v>unknown</x:v>
      </x:c>
      <x:c r="BZ44" s="65" t="str">
        <x:f>IF(COUNT(BU44,AZ44)&lt;2,"unknown",IF(BU44/AZ44-1&gt;=0.2,"high",IF(BU44/AZ44-1&lt;=-0.2,"low","normal")))</x:f>
        <x:v>unknown</x:v>
      </x:c>
      <x:c r="CA44" s="65" t="str">
        <x:f>IF(T44&lt;&gt;"complete","pending",IF(OR(L44&lt;&gt;"pure",U44="true",COUNT(BM44,AT44)&lt;2,AND(AC44&lt;&gt;"",COUNT(BO44,AU44)&lt;2)),"not_attributable","attributable"))</x:f>
        <x:v>pending</x:v>
      </x:c>
      <x:c r="CB44" s="65" t="str">
        <x:f>IF(T44&lt;&gt;"complete","not_evaluated",IF(COUNT(BM44,AT44)&lt;2,"insufficient_data",IF(AND(AC44&lt;&gt;"",COUNT(BP44)=1,BP44&lt;=-0.2),"guardrail_fail",IF(AND(CA44="not_attributable",OR(BV44="high",BN44&gt;=0.2)),"watchlist",IF(CA44&lt;&gt;"attributable","insufficient_data",IF(BN44&gt;=0.2,"win",IF(BN44&lt;=-0.2,"loss","inconclusive")))))))</x:f>
        <x:v>not_evaluated</x:v>
      </x:c>
      <x:c r="CC44" s="65" t="str">
        <x:f>IF(T44&lt;&gt;"complete","COLLECT_MORE_DATA",IF(COUNT(BM44,AT44)&lt;2,"FIX_TRACKING",IF(CB44="guardrail_fail","STOP_VARIANT_GUARDRAIL",IF(CB44="watchlist","WATCHLIST_ONLY",IF(AND(BV44="high",BY44="low"),"KEEP_HOOK_REWRITE_CTA",IF(AND(BW44="high",BX44="low"),"KEEP_STRUCTURE_CHANGE_DISCUSSION_ANGLE",IF(AND(BX44="high",BZ44="low"),"DOWNWEIGHT_TEMPLATE",IF(CB44="win","RETEST_WINNER",IF(CB44="loss","RETURN_TO_BASELINE","COLLECT_MORE_DATA")))))))))</x:f>
        <x:v>COLLECT_MORE_DATA</x:v>
      </x:c>
      <x:c r="CD44" s="75"/>
    </x:row>
    <x:row r="45">
      <x:c r="A45" s="68"/>
      <x:c r="B45" s="69"/>
      <x:c r="C45" s="68"/>
      <x:c r="D45" s="68"/>
      <x:c r="E45" s="68"/>
      <x:c r="F45" s="68"/>
      <x:c r="G45" s="68"/>
      <x:c r="H45" s="70"/>
      <x:c r="I45" s="68"/>
      <x:c r="J45" s="68"/>
      <x:c r="K45" s="68"/>
      <x:c r="L45" s="71" t="str">
        <x:f>IF(K45="","unknown",IF(K45=0,"baseline",IF(K45=1,"pure","mixed")))</x:f>
        <x:v>unknown</x:v>
      </x:c>
      <x:c r="M45" s="68"/>
      <x:c r="N45" s="68"/>
      <x:c r="O45" s="68"/>
      <x:c r="P45" s="68"/>
      <x:c r="Q45" s="68"/>
      <x:c r="R45" s="68"/>
      <x:c r="S45" s="68"/>
      <x:c r="T45" s="68"/>
      <x:c r="U45" s="68"/>
      <x:c r="V45" s="68"/>
      <x:c r="W45" s="68"/>
      <x:c r="X45" s="68"/>
      <x:c r="Y45" s="68"/>
      <x:c r="Z45" s="68"/>
      <x:c r="AA45" s="68"/>
      <x:c r="AB45" s="68"/>
      <x:c r="AC45" s="68"/>
      <x:c r="AD45" s="70"/>
      <x:c r="AE45" s="70"/>
      <x:c r="AF45" s="70"/>
      <x:c r="AG45" s="70"/>
      <x:c r="AH45" s="70"/>
      <x:c r="AI45" s="70"/>
      <x:c r="AJ45" s="70"/>
      <x:c r="AK45" s="70"/>
      <x:c r="AL45" s="70"/>
      <x:c r="AM45" s="70"/>
      <x:c r="AN45" s="70"/>
      <x:c r="AO45" s="70"/>
      <x:c r="AP45" s="70"/>
      <x:c r="AQ45" s="70"/>
      <x:c r="AR45" s="70"/>
      <x:c r="AS45" s="70"/>
      <x:c r="AT45" s="72"/>
      <x:c r="AU45" s="72"/>
      <x:c r="AV45" s="72"/>
      <x:c r="AW45" s="72"/>
      <x:c r="AX45" s="72"/>
      <x:c r="AY45" s="72"/>
      <x:c r="AZ45" s="72"/>
      <x:c r="BA45" s="73" t="str">
        <x:f>IF(C45="xiaohongshu",IF(COUNT(AF45,AE45)&lt;2,"",IFERROR(AF45/AE45,"")),"")</x:f>
      </x:c>
      <x:c r="BB45" s="73" t="str">
        <x:f>IF(C45="xiaohongshu",IF(COUNT(AG45,AE45)&lt;2,"",IFERROR(AG45/AE45,"")),"")</x:f>
      </x:c>
      <x:c r="BC45" s="73" t="str">
        <x:f>IF(C45="xiaohongshu",IF(COUNT(AN45,AE45)&lt;2,"",IFERROR(AN45/AE45,"")),"")</x:f>
      </x:c>
      <x:c r="BD45" s="73" t="str">
        <x:f>IF(C45="xiaohongshu",IF(COUNT(AQ45,AE45)&lt;2,"",IFERROR(AQ45/AE45,"")),"")</x:f>
      </x:c>
      <x:c r="BE45" s="73" t="str">
        <x:f>IF(C45="xiaohongshu",IF(COUNT(AI45,AE45)&lt;2,"",IFERROR(AI45/AE45,"")),"")</x:f>
      </x:c>
      <x:c r="BF45" s="73" t="str">
        <x:f>IF(C45="xiaohongshu",IF(OR(COUNT(AE45)=0,COUNT(AR45,AS45)=0),"",IFERROR((AR45+AS45)/AE45,"")),"")</x:f>
      </x:c>
      <x:c r="BG45" s="73" t="str">
        <x:f>IF(C45="x",IF(COUNT(AD45)=0,"",IF(COUNT(AM45)=1,IFERROR(AM45/AD45,""),IF(COUNT(AH45,AI45,AK45,AL45)=0,"",IFERROR(SUM(AH45,AI45,AK45,AL45)/AD45,"")))),"")</x:f>
      </x:c>
      <x:c r="BH45" s="73" t="str">
        <x:f>IF(C45="x",IF(COUNT(AJ45,AD45)&lt;2,"",IFERROR(AJ45/AD45,"")),"")</x:f>
      </x:c>
      <x:c r="BI45" s="73" t="str">
        <x:f>IF(C45="x",IF(COUNT(AO45,AD45)&lt;2,"",IFERROR(AO45/AD45,"")),"")</x:f>
      </x:c>
      <x:c r="BJ45" s="73" t="str">
        <x:f>IF(C45="x",IF(COUNT(AP45,AD45)&lt;2,"",IFERROR(AP45/AD45,"")),"")</x:f>
      </x:c>
      <x:c r="BK45" s="73" t="str">
        <x:f>IF(C45="x",IF(COUNT(AL45,AD45)&lt;2,"",IFERROR(AL45/AD45,"")),"")</x:f>
      </x:c>
      <x:c r="BL45" s="73" t="str">
        <x:f>IF(C45="x",IF(OR(COUNT(AD45)=0,COUNT(AR45,AS45)=0),"",IFERROR((AR45+AS45)/AD45,"")),"")</x:f>
      </x:c>
      <x:c r="BM45" s="73" t="str">
        <x:f>IF(AB45="xhs_save_rate",BA45,IF(AB45="xhs_completion_rate",BB45,IF(AB45="xhs_profile_visit_rate",BC45,IF(AB45="xhs_dm_intent_rate",BD45,IF(AB45="xhs_discussion_rate",BE45,IF(AB45="xhs_product_relevance_rate",BF45,IF(AB45="x_first_screen_engaged_rate_proxy",BG45,IF(AB45="x_qualified_reply_rate",BH45,IF(AB45="x_profile_click_rate",BI45,IF(AB45="x_link_intent_rate",BJ45,IF(AB45="x_bookmark_rate",BK45,IF(AB45="x_product_relevance_rate",BL45,""))))))))))))</x:f>
      </x:c>
      <x:c r="BN45" s="73" t="str">
        <x:f>IFERROR(BM45/AT45-1,"")</x:f>
      </x:c>
      <x:c r="BO45" s="73" t="str">
        <x:f>IF(AC45="","",IF(AC45="xhs_save_rate",BA45,IF(AC45="xhs_completion_rate",BB45,IF(AC45="xhs_profile_visit_rate",BC45,IF(AC45="xhs_dm_intent_rate",BD45,IF(AC45="xhs_discussion_rate",BE45,IF(AC45="xhs_product_relevance_rate",BF45,IF(AC45="x_first_screen_engaged_rate_proxy",BG45,IF(AC45="x_qualified_reply_rate",BH45,IF(AC45="x_profile_click_rate",BI45,IF(AC45="x_link_intent_rate",BJ45,IF(AC45="x_bookmark_rate",BK45,IF(AC45="x_product_relevance_rate",BL45,"")))))))))))))</x:f>
      </x:c>
      <x:c r="BP45" s="73" t="str">
        <x:f>IFERROR(BO45/AU45-1,"")</x:f>
      </x:c>
      <x:c r="BQ45" s="74" t="str">
        <x:f>IF(COUNT(AD45)=0,"",AD45)</x:f>
      </x:c>
      <x:c r="BR45" s="73" t="str">
        <x:f>IF(C45="xiaohongshu",IF(COUNT(BA45,BB45)=2,AVERAGE(BA45,BB45),IF(COUNT(BA45)=1,BA45,BB45)),BK45)</x:f>
      </x:c>
      <x:c r="BS45" s="73" t="str">
        <x:f>IF(C45="xiaohongshu",BE45,BH45)</x:f>
      </x:c>
      <x:c r="BT45" s="73" t="str">
        <x:f>IF(C45="xiaohongshu",IF(I45="save",BA45,IF(I45="discussion",BE45,IF(I45="profile_visit",BC45,IF(I45="dm",BD45,IF(OR(I45="product_question",I45="trial_intent"),BF45,""))))),IF(I45="save",BK45,IF(I45="discussion",BH45,IF(OR(I45="profile_visit",I45="dm"),BI45,IF(I45="link_click",BJ45,IF(OR(I45="product_question",I45="trial_intent"),BL45,""))))))</x:f>
      </x:c>
      <x:c r="BU45" s="73" t="str">
        <x:f>IF(C45="xiaohongshu",BF45,BL45)</x:f>
      </x:c>
      <x:c r="BV45" s="65" t="str">
        <x:f>IF(COUNT(BQ45,AV45)&lt;2,"unknown",IF(BQ45/AV45-1&gt;=0.2,"high",IF(BQ45/AV45-1&lt;=-0.2,"low","normal")))</x:f>
        <x:v>unknown</x:v>
      </x:c>
      <x:c r="BW45" s="65" t="str">
        <x:f>IF(COUNT(BR45,AW45)&lt;2,"unknown",IF(BR45/AW45-1&gt;=0.2,"high",IF(BR45/AW45-1&lt;=-0.2,"low","normal")))</x:f>
        <x:v>unknown</x:v>
      </x:c>
      <x:c r="BX45" s="65" t="str">
        <x:f>IF(COUNT(BS45,AX45)&lt;2,"unknown",IF(BS45/AX45-1&gt;=0.2,"high",IF(BS45/AX45-1&lt;=-0.2,"low","normal")))</x:f>
        <x:v>unknown</x:v>
      </x:c>
      <x:c r="BY45" s="65" t="str">
        <x:f>IF(COUNT(BT45,AY45)&lt;2,"unknown",IF(BT45/AY45-1&gt;=0.2,"high",IF(BT45/AY45-1&lt;=-0.2,"low","normal")))</x:f>
        <x:v>unknown</x:v>
      </x:c>
      <x:c r="BZ45" s="65" t="str">
        <x:f>IF(COUNT(BU45,AZ45)&lt;2,"unknown",IF(BU45/AZ45-1&gt;=0.2,"high",IF(BU45/AZ45-1&lt;=-0.2,"low","normal")))</x:f>
        <x:v>unknown</x:v>
      </x:c>
      <x:c r="CA45" s="65" t="str">
        <x:f>IF(T45&lt;&gt;"complete","pending",IF(OR(L45&lt;&gt;"pure",U45="true",COUNT(BM45,AT45)&lt;2,AND(AC45&lt;&gt;"",COUNT(BO45,AU45)&lt;2)),"not_attributable","attributable"))</x:f>
        <x:v>pending</x:v>
      </x:c>
      <x:c r="CB45" s="65" t="str">
        <x:f>IF(T45&lt;&gt;"complete","not_evaluated",IF(COUNT(BM45,AT45)&lt;2,"insufficient_data",IF(AND(AC45&lt;&gt;"",COUNT(BP45)=1,BP45&lt;=-0.2),"guardrail_fail",IF(AND(CA45="not_attributable",OR(BV45="high",BN45&gt;=0.2)),"watchlist",IF(CA45&lt;&gt;"attributable","insufficient_data",IF(BN45&gt;=0.2,"win",IF(BN45&lt;=-0.2,"loss","inconclusive")))))))</x:f>
        <x:v>not_evaluated</x:v>
      </x:c>
      <x:c r="CC45" s="65" t="str">
        <x:f>IF(T45&lt;&gt;"complete","COLLECT_MORE_DATA",IF(COUNT(BM45,AT45)&lt;2,"FIX_TRACKING",IF(CB45="guardrail_fail","STOP_VARIANT_GUARDRAIL",IF(CB45="watchlist","WATCHLIST_ONLY",IF(AND(BV45="high",BY45="low"),"KEEP_HOOK_REWRITE_CTA",IF(AND(BW45="high",BX45="low"),"KEEP_STRUCTURE_CHANGE_DISCUSSION_ANGLE",IF(AND(BX45="high",BZ45="low"),"DOWNWEIGHT_TEMPLATE",IF(CB45="win","RETEST_WINNER",IF(CB45="loss","RETURN_TO_BASELINE","COLLECT_MORE_DATA")))))))))</x:f>
        <x:v>COLLECT_MORE_DATA</x:v>
      </x:c>
      <x:c r="CD45" s="75"/>
    </x:row>
    <x:row r="46">
      <x:c r="A46" s="68"/>
      <x:c r="B46" s="69"/>
      <x:c r="C46" s="68"/>
      <x:c r="D46" s="68"/>
      <x:c r="E46" s="68"/>
      <x:c r="F46" s="68"/>
      <x:c r="G46" s="68"/>
      <x:c r="H46" s="70"/>
      <x:c r="I46" s="68"/>
      <x:c r="J46" s="68"/>
      <x:c r="K46" s="68"/>
      <x:c r="L46" s="71" t="str">
        <x:f>IF(K46="","unknown",IF(K46=0,"baseline",IF(K46=1,"pure","mixed")))</x:f>
        <x:v>unknown</x:v>
      </x:c>
      <x:c r="M46" s="68"/>
      <x:c r="N46" s="68"/>
      <x:c r="O46" s="68"/>
      <x:c r="P46" s="68"/>
      <x:c r="Q46" s="68"/>
      <x:c r="R46" s="68"/>
      <x:c r="S46" s="68"/>
      <x:c r="T46" s="68"/>
      <x:c r="U46" s="68"/>
      <x:c r="V46" s="68"/>
      <x:c r="W46" s="68"/>
      <x:c r="X46" s="68"/>
      <x:c r="Y46" s="68"/>
      <x:c r="Z46" s="68"/>
      <x:c r="AA46" s="68"/>
      <x:c r="AB46" s="68"/>
      <x:c r="AC46" s="68"/>
      <x:c r="AD46" s="70"/>
      <x:c r="AE46" s="70"/>
      <x:c r="AF46" s="70"/>
      <x:c r="AG46" s="70"/>
      <x:c r="AH46" s="70"/>
      <x:c r="AI46" s="70"/>
      <x:c r="AJ46" s="70"/>
      <x:c r="AK46" s="70"/>
      <x:c r="AL46" s="70"/>
      <x:c r="AM46" s="70"/>
      <x:c r="AN46" s="70"/>
      <x:c r="AO46" s="70"/>
      <x:c r="AP46" s="70"/>
      <x:c r="AQ46" s="70"/>
      <x:c r="AR46" s="70"/>
      <x:c r="AS46" s="70"/>
      <x:c r="AT46" s="72"/>
      <x:c r="AU46" s="72"/>
      <x:c r="AV46" s="72"/>
      <x:c r="AW46" s="72"/>
      <x:c r="AX46" s="72"/>
      <x:c r="AY46" s="72"/>
      <x:c r="AZ46" s="72"/>
      <x:c r="BA46" s="73" t="str">
        <x:f>IF(C46="xiaohongshu",IF(COUNT(AF46,AE46)&lt;2,"",IFERROR(AF46/AE46,"")),"")</x:f>
      </x:c>
      <x:c r="BB46" s="73" t="str">
        <x:f>IF(C46="xiaohongshu",IF(COUNT(AG46,AE46)&lt;2,"",IFERROR(AG46/AE46,"")),"")</x:f>
      </x:c>
      <x:c r="BC46" s="73" t="str">
        <x:f>IF(C46="xiaohongshu",IF(COUNT(AN46,AE46)&lt;2,"",IFERROR(AN46/AE46,"")),"")</x:f>
      </x:c>
      <x:c r="BD46" s="73" t="str">
        <x:f>IF(C46="xiaohongshu",IF(COUNT(AQ46,AE46)&lt;2,"",IFERROR(AQ46/AE46,"")),"")</x:f>
      </x:c>
      <x:c r="BE46" s="73" t="str">
        <x:f>IF(C46="xiaohongshu",IF(COUNT(AI46,AE46)&lt;2,"",IFERROR(AI46/AE46,"")),"")</x:f>
      </x:c>
      <x:c r="BF46" s="73" t="str">
        <x:f>IF(C46="xiaohongshu",IF(OR(COUNT(AE46)=0,COUNT(AR46,AS46)=0),"",IFERROR((AR46+AS46)/AE46,"")),"")</x:f>
      </x:c>
      <x:c r="BG46" s="73" t="str">
        <x:f>IF(C46="x",IF(COUNT(AD46)=0,"",IF(COUNT(AM46)=1,IFERROR(AM46/AD46,""),IF(COUNT(AH46,AI46,AK46,AL46)=0,"",IFERROR(SUM(AH46,AI46,AK46,AL46)/AD46,"")))),"")</x:f>
      </x:c>
      <x:c r="BH46" s="73" t="str">
        <x:f>IF(C46="x",IF(COUNT(AJ46,AD46)&lt;2,"",IFERROR(AJ46/AD46,"")),"")</x:f>
      </x:c>
      <x:c r="BI46" s="73" t="str">
        <x:f>IF(C46="x",IF(COUNT(AO46,AD46)&lt;2,"",IFERROR(AO46/AD46,"")),"")</x:f>
      </x:c>
      <x:c r="BJ46" s="73" t="str">
        <x:f>IF(C46="x",IF(COUNT(AP46,AD46)&lt;2,"",IFERROR(AP46/AD46,"")),"")</x:f>
      </x:c>
      <x:c r="BK46" s="73" t="str">
        <x:f>IF(C46="x",IF(COUNT(AL46,AD46)&lt;2,"",IFERROR(AL46/AD46,"")),"")</x:f>
      </x:c>
      <x:c r="BL46" s="73" t="str">
        <x:f>IF(C46="x",IF(OR(COUNT(AD46)=0,COUNT(AR46,AS46)=0),"",IFERROR((AR46+AS46)/AD46,"")),"")</x:f>
      </x:c>
      <x:c r="BM46" s="73" t="str">
        <x:f>IF(AB46="xhs_save_rate",BA46,IF(AB46="xhs_completion_rate",BB46,IF(AB46="xhs_profile_visit_rate",BC46,IF(AB46="xhs_dm_intent_rate",BD46,IF(AB46="xhs_discussion_rate",BE46,IF(AB46="xhs_product_relevance_rate",BF46,IF(AB46="x_first_screen_engaged_rate_proxy",BG46,IF(AB46="x_qualified_reply_rate",BH46,IF(AB46="x_profile_click_rate",BI46,IF(AB46="x_link_intent_rate",BJ46,IF(AB46="x_bookmark_rate",BK46,IF(AB46="x_product_relevance_rate",BL46,""))))))))))))</x:f>
      </x:c>
      <x:c r="BN46" s="73" t="str">
        <x:f>IFERROR(BM46/AT46-1,"")</x:f>
      </x:c>
      <x:c r="BO46" s="73" t="str">
        <x:f>IF(AC46="","",IF(AC46="xhs_save_rate",BA46,IF(AC46="xhs_completion_rate",BB46,IF(AC46="xhs_profile_visit_rate",BC46,IF(AC46="xhs_dm_intent_rate",BD46,IF(AC46="xhs_discussion_rate",BE46,IF(AC46="xhs_product_relevance_rate",BF46,IF(AC46="x_first_screen_engaged_rate_proxy",BG46,IF(AC46="x_qualified_reply_rate",BH46,IF(AC46="x_profile_click_rate",BI46,IF(AC46="x_link_intent_rate",BJ46,IF(AC46="x_bookmark_rate",BK46,IF(AC46="x_product_relevance_rate",BL46,"")))))))))))))</x:f>
      </x:c>
      <x:c r="BP46" s="73" t="str">
        <x:f>IFERROR(BO46/AU46-1,"")</x:f>
      </x:c>
      <x:c r="BQ46" s="74" t="str">
        <x:f>IF(COUNT(AD46)=0,"",AD46)</x:f>
      </x:c>
      <x:c r="BR46" s="73" t="str">
        <x:f>IF(C46="xiaohongshu",IF(COUNT(BA46,BB46)=2,AVERAGE(BA46,BB46),IF(COUNT(BA46)=1,BA46,BB46)),BK46)</x:f>
      </x:c>
      <x:c r="BS46" s="73" t="str">
        <x:f>IF(C46="xiaohongshu",BE46,BH46)</x:f>
      </x:c>
      <x:c r="BT46" s="73" t="str">
        <x:f>IF(C46="xiaohongshu",IF(I46="save",BA46,IF(I46="discussion",BE46,IF(I46="profile_visit",BC46,IF(I46="dm",BD46,IF(OR(I46="product_question",I46="trial_intent"),BF46,""))))),IF(I46="save",BK46,IF(I46="discussion",BH46,IF(OR(I46="profile_visit",I46="dm"),BI46,IF(I46="link_click",BJ46,IF(OR(I46="product_question",I46="trial_intent"),BL46,""))))))</x:f>
      </x:c>
      <x:c r="BU46" s="73" t="str">
        <x:f>IF(C46="xiaohongshu",BF46,BL46)</x:f>
      </x:c>
      <x:c r="BV46" s="65" t="str">
        <x:f>IF(COUNT(BQ46,AV46)&lt;2,"unknown",IF(BQ46/AV46-1&gt;=0.2,"high",IF(BQ46/AV46-1&lt;=-0.2,"low","normal")))</x:f>
        <x:v>unknown</x:v>
      </x:c>
      <x:c r="BW46" s="65" t="str">
        <x:f>IF(COUNT(BR46,AW46)&lt;2,"unknown",IF(BR46/AW46-1&gt;=0.2,"high",IF(BR46/AW46-1&lt;=-0.2,"low","normal")))</x:f>
        <x:v>unknown</x:v>
      </x:c>
      <x:c r="BX46" s="65" t="str">
        <x:f>IF(COUNT(BS46,AX46)&lt;2,"unknown",IF(BS46/AX46-1&gt;=0.2,"high",IF(BS46/AX46-1&lt;=-0.2,"low","normal")))</x:f>
        <x:v>unknown</x:v>
      </x:c>
      <x:c r="BY46" s="65" t="str">
        <x:f>IF(COUNT(BT46,AY46)&lt;2,"unknown",IF(BT46/AY46-1&gt;=0.2,"high",IF(BT46/AY46-1&lt;=-0.2,"low","normal")))</x:f>
        <x:v>unknown</x:v>
      </x:c>
      <x:c r="BZ46" s="65" t="str">
        <x:f>IF(COUNT(BU46,AZ46)&lt;2,"unknown",IF(BU46/AZ46-1&gt;=0.2,"high",IF(BU46/AZ46-1&lt;=-0.2,"low","normal")))</x:f>
        <x:v>unknown</x:v>
      </x:c>
      <x:c r="CA46" s="65" t="str">
        <x:f>IF(T46&lt;&gt;"complete","pending",IF(OR(L46&lt;&gt;"pure",U46="true",COUNT(BM46,AT46)&lt;2,AND(AC46&lt;&gt;"",COUNT(BO46,AU46)&lt;2)),"not_attributable","attributable"))</x:f>
        <x:v>pending</x:v>
      </x:c>
      <x:c r="CB46" s="65" t="str">
        <x:f>IF(T46&lt;&gt;"complete","not_evaluated",IF(COUNT(BM46,AT46)&lt;2,"insufficient_data",IF(AND(AC46&lt;&gt;"",COUNT(BP46)=1,BP46&lt;=-0.2),"guardrail_fail",IF(AND(CA46="not_attributable",OR(BV46="high",BN46&gt;=0.2)),"watchlist",IF(CA46&lt;&gt;"attributable","insufficient_data",IF(BN46&gt;=0.2,"win",IF(BN46&lt;=-0.2,"loss","inconclusive")))))))</x:f>
        <x:v>not_evaluated</x:v>
      </x:c>
      <x:c r="CC46" s="65" t="str">
        <x:f>IF(T46&lt;&gt;"complete","COLLECT_MORE_DATA",IF(COUNT(BM46,AT46)&lt;2,"FIX_TRACKING",IF(CB46="guardrail_fail","STOP_VARIANT_GUARDRAIL",IF(CB46="watchlist","WATCHLIST_ONLY",IF(AND(BV46="high",BY46="low"),"KEEP_HOOK_REWRITE_CTA",IF(AND(BW46="high",BX46="low"),"KEEP_STRUCTURE_CHANGE_DISCUSSION_ANGLE",IF(AND(BX46="high",BZ46="low"),"DOWNWEIGHT_TEMPLATE",IF(CB46="win","RETEST_WINNER",IF(CB46="loss","RETURN_TO_BASELINE","COLLECT_MORE_DATA")))))))))</x:f>
        <x:v>COLLECT_MORE_DATA</x:v>
      </x:c>
      <x:c r="CD46" s="75"/>
    </x:row>
    <x:row r="47">
      <x:c r="A47" s="68"/>
      <x:c r="B47" s="69"/>
      <x:c r="C47" s="68"/>
      <x:c r="D47" s="68"/>
      <x:c r="E47" s="68"/>
      <x:c r="F47" s="68"/>
      <x:c r="G47" s="68"/>
      <x:c r="H47" s="70"/>
      <x:c r="I47" s="68"/>
      <x:c r="J47" s="68"/>
      <x:c r="K47" s="68"/>
      <x:c r="L47" s="71" t="str">
        <x:f>IF(K47="","unknown",IF(K47=0,"baseline",IF(K47=1,"pure","mixed")))</x:f>
        <x:v>unknown</x:v>
      </x:c>
      <x:c r="M47" s="68"/>
      <x:c r="N47" s="68"/>
      <x:c r="O47" s="68"/>
      <x:c r="P47" s="68"/>
      <x:c r="Q47" s="68"/>
      <x:c r="R47" s="68"/>
      <x:c r="S47" s="68"/>
      <x:c r="T47" s="68"/>
      <x:c r="U47" s="68"/>
      <x:c r="V47" s="68"/>
      <x:c r="W47" s="68"/>
      <x:c r="X47" s="68"/>
      <x:c r="Y47" s="68"/>
      <x:c r="Z47" s="68"/>
      <x:c r="AA47" s="68"/>
      <x:c r="AB47" s="68"/>
      <x:c r="AC47" s="68"/>
      <x:c r="AD47" s="70"/>
      <x:c r="AE47" s="70"/>
      <x:c r="AF47" s="70"/>
      <x:c r="AG47" s="70"/>
      <x:c r="AH47" s="70"/>
      <x:c r="AI47" s="70"/>
      <x:c r="AJ47" s="70"/>
      <x:c r="AK47" s="70"/>
      <x:c r="AL47" s="70"/>
      <x:c r="AM47" s="70"/>
      <x:c r="AN47" s="70"/>
      <x:c r="AO47" s="70"/>
      <x:c r="AP47" s="70"/>
      <x:c r="AQ47" s="70"/>
      <x:c r="AR47" s="70"/>
      <x:c r="AS47" s="70"/>
      <x:c r="AT47" s="72"/>
      <x:c r="AU47" s="72"/>
      <x:c r="AV47" s="72"/>
      <x:c r="AW47" s="72"/>
      <x:c r="AX47" s="72"/>
      <x:c r="AY47" s="72"/>
      <x:c r="AZ47" s="72"/>
      <x:c r="BA47" s="73" t="str">
        <x:f>IF(C47="xiaohongshu",IF(COUNT(AF47,AE47)&lt;2,"",IFERROR(AF47/AE47,"")),"")</x:f>
      </x:c>
      <x:c r="BB47" s="73" t="str">
        <x:f>IF(C47="xiaohongshu",IF(COUNT(AG47,AE47)&lt;2,"",IFERROR(AG47/AE47,"")),"")</x:f>
      </x:c>
      <x:c r="BC47" s="73" t="str">
        <x:f>IF(C47="xiaohongshu",IF(COUNT(AN47,AE47)&lt;2,"",IFERROR(AN47/AE47,"")),"")</x:f>
      </x:c>
      <x:c r="BD47" s="73" t="str">
        <x:f>IF(C47="xiaohongshu",IF(COUNT(AQ47,AE47)&lt;2,"",IFERROR(AQ47/AE47,"")),"")</x:f>
      </x:c>
      <x:c r="BE47" s="73" t="str">
        <x:f>IF(C47="xiaohongshu",IF(COUNT(AI47,AE47)&lt;2,"",IFERROR(AI47/AE47,"")),"")</x:f>
      </x:c>
      <x:c r="BF47" s="73" t="str">
        <x:f>IF(C47="xiaohongshu",IF(OR(COUNT(AE47)=0,COUNT(AR47,AS47)=0),"",IFERROR((AR47+AS47)/AE47,"")),"")</x:f>
      </x:c>
      <x:c r="BG47" s="73" t="str">
        <x:f>IF(C47="x",IF(COUNT(AD47)=0,"",IF(COUNT(AM47)=1,IFERROR(AM47/AD47,""),IF(COUNT(AH47,AI47,AK47,AL47)=0,"",IFERROR(SUM(AH47,AI47,AK47,AL47)/AD47,"")))),"")</x:f>
      </x:c>
      <x:c r="BH47" s="73" t="str">
        <x:f>IF(C47="x",IF(COUNT(AJ47,AD47)&lt;2,"",IFERROR(AJ47/AD47,"")),"")</x:f>
      </x:c>
      <x:c r="BI47" s="73" t="str">
        <x:f>IF(C47="x",IF(COUNT(AO47,AD47)&lt;2,"",IFERROR(AO47/AD47,"")),"")</x:f>
      </x:c>
      <x:c r="BJ47" s="73" t="str">
        <x:f>IF(C47="x",IF(COUNT(AP47,AD47)&lt;2,"",IFERROR(AP47/AD47,"")),"")</x:f>
      </x:c>
      <x:c r="BK47" s="73" t="str">
        <x:f>IF(C47="x",IF(COUNT(AL47,AD47)&lt;2,"",IFERROR(AL47/AD47,"")),"")</x:f>
      </x:c>
      <x:c r="BL47" s="73" t="str">
        <x:f>IF(C47="x",IF(OR(COUNT(AD47)=0,COUNT(AR47,AS47)=0),"",IFERROR((AR47+AS47)/AD47,"")),"")</x:f>
      </x:c>
      <x:c r="BM47" s="73" t="str">
        <x:f>IF(AB47="xhs_save_rate",BA47,IF(AB47="xhs_completion_rate",BB47,IF(AB47="xhs_profile_visit_rate",BC47,IF(AB47="xhs_dm_intent_rate",BD47,IF(AB47="xhs_discussion_rate",BE47,IF(AB47="xhs_product_relevance_rate",BF47,IF(AB47="x_first_screen_engaged_rate_proxy",BG47,IF(AB47="x_qualified_reply_rate",BH47,IF(AB47="x_profile_click_rate",BI47,IF(AB47="x_link_intent_rate",BJ47,IF(AB47="x_bookmark_rate",BK47,IF(AB47="x_product_relevance_rate",BL47,""))))))))))))</x:f>
      </x:c>
      <x:c r="BN47" s="73" t="str">
        <x:f>IFERROR(BM47/AT47-1,"")</x:f>
      </x:c>
      <x:c r="BO47" s="73" t="str">
        <x:f>IF(AC47="","",IF(AC47="xhs_save_rate",BA47,IF(AC47="xhs_completion_rate",BB47,IF(AC47="xhs_profile_visit_rate",BC47,IF(AC47="xhs_dm_intent_rate",BD47,IF(AC47="xhs_discussion_rate",BE47,IF(AC47="xhs_product_relevance_rate",BF47,IF(AC47="x_first_screen_engaged_rate_proxy",BG47,IF(AC47="x_qualified_reply_rate",BH47,IF(AC47="x_profile_click_rate",BI47,IF(AC47="x_link_intent_rate",BJ47,IF(AC47="x_bookmark_rate",BK47,IF(AC47="x_product_relevance_rate",BL47,"")))))))))))))</x:f>
      </x:c>
      <x:c r="BP47" s="73" t="str">
        <x:f>IFERROR(BO47/AU47-1,"")</x:f>
      </x:c>
      <x:c r="BQ47" s="74" t="str">
        <x:f>IF(COUNT(AD47)=0,"",AD47)</x:f>
      </x:c>
      <x:c r="BR47" s="73" t="str">
        <x:f>IF(C47="xiaohongshu",IF(COUNT(BA47,BB47)=2,AVERAGE(BA47,BB47),IF(COUNT(BA47)=1,BA47,BB47)),BK47)</x:f>
      </x:c>
      <x:c r="BS47" s="73" t="str">
        <x:f>IF(C47="xiaohongshu",BE47,BH47)</x:f>
      </x:c>
      <x:c r="BT47" s="73" t="str">
        <x:f>IF(C47="xiaohongshu",IF(I47="save",BA47,IF(I47="discussion",BE47,IF(I47="profile_visit",BC47,IF(I47="dm",BD47,IF(OR(I47="product_question",I47="trial_intent"),BF47,""))))),IF(I47="save",BK47,IF(I47="discussion",BH47,IF(OR(I47="profile_visit",I47="dm"),BI47,IF(I47="link_click",BJ47,IF(OR(I47="product_question",I47="trial_intent"),BL47,""))))))</x:f>
      </x:c>
      <x:c r="BU47" s="73" t="str">
        <x:f>IF(C47="xiaohongshu",BF47,BL47)</x:f>
      </x:c>
      <x:c r="BV47" s="65" t="str">
        <x:f>IF(COUNT(BQ47,AV47)&lt;2,"unknown",IF(BQ47/AV47-1&gt;=0.2,"high",IF(BQ47/AV47-1&lt;=-0.2,"low","normal")))</x:f>
        <x:v>unknown</x:v>
      </x:c>
      <x:c r="BW47" s="65" t="str">
        <x:f>IF(COUNT(BR47,AW47)&lt;2,"unknown",IF(BR47/AW47-1&gt;=0.2,"high",IF(BR47/AW47-1&lt;=-0.2,"low","normal")))</x:f>
        <x:v>unknown</x:v>
      </x:c>
      <x:c r="BX47" s="65" t="str">
        <x:f>IF(COUNT(BS47,AX47)&lt;2,"unknown",IF(BS47/AX47-1&gt;=0.2,"high",IF(BS47/AX47-1&lt;=-0.2,"low","normal")))</x:f>
        <x:v>unknown</x:v>
      </x:c>
      <x:c r="BY47" s="65" t="str">
        <x:f>IF(COUNT(BT47,AY47)&lt;2,"unknown",IF(BT47/AY47-1&gt;=0.2,"high",IF(BT47/AY47-1&lt;=-0.2,"low","normal")))</x:f>
        <x:v>unknown</x:v>
      </x:c>
      <x:c r="BZ47" s="65" t="str">
        <x:f>IF(COUNT(BU47,AZ47)&lt;2,"unknown",IF(BU47/AZ47-1&gt;=0.2,"high",IF(BU47/AZ47-1&lt;=-0.2,"low","normal")))</x:f>
        <x:v>unknown</x:v>
      </x:c>
      <x:c r="CA47" s="65" t="str">
        <x:f>IF(T47&lt;&gt;"complete","pending",IF(OR(L47&lt;&gt;"pure",U47="true",COUNT(BM47,AT47)&lt;2,AND(AC47&lt;&gt;"",COUNT(BO47,AU47)&lt;2)),"not_attributable","attributable"))</x:f>
        <x:v>pending</x:v>
      </x:c>
      <x:c r="CB47" s="65" t="str">
        <x:f>IF(T47&lt;&gt;"complete","not_evaluated",IF(COUNT(BM47,AT47)&lt;2,"insufficient_data",IF(AND(AC47&lt;&gt;"",COUNT(BP47)=1,BP47&lt;=-0.2),"guardrail_fail",IF(AND(CA47="not_attributable",OR(BV47="high",BN47&gt;=0.2)),"watchlist",IF(CA47&lt;&gt;"attributable","insufficient_data",IF(BN47&gt;=0.2,"win",IF(BN47&lt;=-0.2,"loss","inconclusive")))))))</x:f>
        <x:v>not_evaluated</x:v>
      </x:c>
      <x:c r="CC47" s="65" t="str">
        <x:f>IF(T47&lt;&gt;"complete","COLLECT_MORE_DATA",IF(COUNT(BM47,AT47)&lt;2,"FIX_TRACKING",IF(CB47="guardrail_fail","STOP_VARIANT_GUARDRAIL",IF(CB47="watchlist","WATCHLIST_ONLY",IF(AND(BV47="high",BY47="low"),"KEEP_HOOK_REWRITE_CTA",IF(AND(BW47="high",BX47="low"),"KEEP_STRUCTURE_CHANGE_DISCUSSION_ANGLE",IF(AND(BX47="high",BZ47="low"),"DOWNWEIGHT_TEMPLATE",IF(CB47="win","RETEST_WINNER",IF(CB47="loss","RETURN_TO_BASELINE","COLLECT_MORE_DATA")))))))))</x:f>
        <x:v>COLLECT_MORE_DATA</x:v>
      </x:c>
      <x:c r="CD47" s="75"/>
    </x:row>
    <x:row r="48">
      <x:c r="A48" s="68"/>
      <x:c r="B48" s="69"/>
      <x:c r="C48" s="68"/>
      <x:c r="D48" s="68"/>
      <x:c r="E48" s="68"/>
      <x:c r="F48" s="68"/>
      <x:c r="G48" s="68"/>
      <x:c r="H48" s="70"/>
      <x:c r="I48" s="68"/>
      <x:c r="J48" s="68"/>
      <x:c r="K48" s="68"/>
      <x:c r="L48" s="71" t="str">
        <x:f>IF(K48="","unknown",IF(K48=0,"baseline",IF(K48=1,"pure","mixed")))</x:f>
        <x:v>unknown</x:v>
      </x:c>
      <x:c r="M48" s="68"/>
      <x:c r="N48" s="68"/>
      <x:c r="O48" s="68"/>
      <x:c r="P48" s="68"/>
      <x:c r="Q48" s="68"/>
      <x:c r="R48" s="68"/>
      <x:c r="S48" s="68"/>
      <x:c r="T48" s="68"/>
      <x:c r="U48" s="68"/>
      <x:c r="V48" s="68"/>
      <x:c r="W48" s="68"/>
      <x:c r="X48" s="68"/>
      <x:c r="Y48" s="68"/>
      <x:c r="Z48" s="68"/>
      <x:c r="AA48" s="68"/>
      <x:c r="AB48" s="68"/>
      <x:c r="AC48" s="68"/>
      <x:c r="AD48" s="70"/>
      <x:c r="AE48" s="70"/>
      <x:c r="AF48" s="70"/>
      <x:c r="AG48" s="70"/>
      <x:c r="AH48" s="70"/>
      <x:c r="AI48" s="70"/>
      <x:c r="AJ48" s="70"/>
      <x:c r="AK48" s="70"/>
      <x:c r="AL48" s="70"/>
      <x:c r="AM48" s="70"/>
      <x:c r="AN48" s="70"/>
      <x:c r="AO48" s="70"/>
      <x:c r="AP48" s="70"/>
      <x:c r="AQ48" s="70"/>
      <x:c r="AR48" s="70"/>
      <x:c r="AS48" s="70"/>
      <x:c r="AT48" s="72"/>
      <x:c r="AU48" s="72"/>
      <x:c r="AV48" s="72"/>
      <x:c r="AW48" s="72"/>
      <x:c r="AX48" s="72"/>
      <x:c r="AY48" s="72"/>
      <x:c r="AZ48" s="72"/>
      <x:c r="BA48" s="73" t="str">
        <x:f>IF(C48="xiaohongshu",IF(COUNT(AF48,AE48)&lt;2,"",IFERROR(AF48/AE48,"")),"")</x:f>
      </x:c>
      <x:c r="BB48" s="73" t="str">
        <x:f>IF(C48="xiaohongshu",IF(COUNT(AG48,AE48)&lt;2,"",IFERROR(AG48/AE48,"")),"")</x:f>
      </x:c>
      <x:c r="BC48" s="73" t="str">
        <x:f>IF(C48="xiaohongshu",IF(COUNT(AN48,AE48)&lt;2,"",IFERROR(AN48/AE48,"")),"")</x:f>
      </x:c>
      <x:c r="BD48" s="73" t="str">
        <x:f>IF(C48="xiaohongshu",IF(COUNT(AQ48,AE48)&lt;2,"",IFERROR(AQ48/AE48,"")),"")</x:f>
      </x:c>
      <x:c r="BE48" s="73" t="str">
        <x:f>IF(C48="xiaohongshu",IF(COUNT(AI48,AE48)&lt;2,"",IFERROR(AI48/AE48,"")),"")</x:f>
      </x:c>
      <x:c r="BF48" s="73" t="str">
        <x:f>IF(C48="xiaohongshu",IF(OR(COUNT(AE48)=0,COUNT(AR48,AS48)=0),"",IFERROR((AR48+AS48)/AE48,"")),"")</x:f>
      </x:c>
      <x:c r="BG48" s="73" t="str">
        <x:f>IF(C48="x",IF(COUNT(AD48)=0,"",IF(COUNT(AM48)=1,IFERROR(AM48/AD48,""),IF(COUNT(AH48,AI48,AK48,AL48)=0,"",IFERROR(SUM(AH48,AI48,AK48,AL48)/AD48,"")))),"")</x:f>
      </x:c>
      <x:c r="BH48" s="73" t="str">
        <x:f>IF(C48="x",IF(COUNT(AJ48,AD48)&lt;2,"",IFERROR(AJ48/AD48,"")),"")</x:f>
      </x:c>
      <x:c r="BI48" s="73" t="str">
        <x:f>IF(C48="x",IF(COUNT(AO48,AD48)&lt;2,"",IFERROR(AO48/AD48,"")),"")</x:f>
      </x:c>
      <x:c r="BJ48" s="73" t="str">
        <x:f>IF(C48="x",IF(COUNT(AP48,AD48)&lt;2,"",IFERROR(AP48/AD48,"")),"")</x:f>
      </x:c>
      <x:c r="BK48" s="73" t="str">
        <x:f>IF(C48="x",IF(COUNT(AL48,AD48)&lt;2,"",IFERROR(AL48/AD48,"")),"")</x:f>
      </x:c>
      <x:c r="BL48" s="73" t="str">
        <x:f>IF(C48="x",IF(OR(COUNT(AD48)=0,COUNT(AR48,AS48)=0),"",IFERROR((AR48+AS48)/AD48,"")),"")</x:f>
      </x:c>
      <x:c r="BM48" s="73" t="str">
        <x:f>IF(AB48="xhs_save_rate",BA48,IF(AB48="xhs_completion_rate",BB48,IF(AB48="xhs_profile_visit_rate",BC48,IF(AB48="xhs_dm_intent_rate",BD48,IF(AB48="xhs_discussion_rate",BE48,IF(AB48="xhs_product_relevance_rate",BF48,IF(AB48="x_first_screen_engaged_rate_proxy",BG48,IF(AB48="x_qualified_reply_rate",BH48,IF(AB48="x_profile_click_rate",BI48,IF(AB48="x_link_intent_rate",BJ48,IF(AB48="x_bookmark_rate",BK48,IF(AB48="x_product_relevance_rate",BL48,""))))))))))))</x:f>
      </x:c>
      <x:c r="BN48" s="73" t="str">
        <x:f>IFERROR(BM48/AT48-1,"")</x:f>
      </x:c>
      <x:c r="BO48" s="73" t="str">
        <x:f>IF(AC48="","",IF(AC48="xhs_save_rate",BA48,IF(AC48="xhs_completion_rate",BB48,IF(AC48="xhs_profile_visit_rate",BC48,IF(AC48="xhs_dm_intent_rate",BD48,IF(AC48="xhs_discussion_rate",BE48,IF(AC48="xhs_product_relevance_rate",BF48,IF(AC48="x_first_screen_engaged_rate_proxy",BG48,IF(AC48="x_qualified_reply_rate",BH48,IF(AC48="x_profile_click_rate",BI48,IF(AC48="x_link_intent_rate",BJ48,IF(AC48="x_bookmark_rate",BK48,IF(AC48="x_product_relevance_rate",BL48,"")))))))))))))</x:f>
      </x:c>
      <x:c r="BP48" s="73" t="str">
        <x:f>IFERROR(BO48/AU48-1,"")</x:f>
      </x:c>
      <x:c r="BQ48" s="74" t="str">
        <x:f>IF(COUNT(AD48)=0,"",AD48)</x:f>
      </x:c>
      <x:c r="BR48" s="73" t="str">
        <x:f>IF(C48="xiaohongshu",IF(COUNT(BA48,BB48)=2,AVERAGE(BA48,BB48),IF(COUNT(BA48)=1,BA48,BB48)),BK48)</x:f>
      </x:c>
      <x:c r="BS48" s="73" t="str">
        <x:f>IF(C48="xiaohongshu",BE48,BH48)</x:f>
      </x:c>
      <x:c r="BT48" s="73" t="str">
        <x:f>IF(C48="xiaohongshu",IF(I48="save",BA48,IF(I48="discussion",BE48,IF(I48="profile_visit",BC48,IF(I48="dm",BD48,IF(OR(I48="product_question",I48="trial_intent"),BF48,""))))),IF(I48="save",BK48,IF(I48="discussion",BH48,IF(OR(I48="profile_visit",I48="dm"),BI48,IF(I48="link_click",BJ48,IF(OR(I48="product_question",I48="trial_intent"),BL48,""))))))</x:f>
      </x:c>
      <x:c r="BU48" s="73" t="str">
        <x:f>IF(C48="xiaohongshu",BF48,BL48)</x:f>
      </x:c>
      <x:c r="BV48" s="65" t="str">
        <x:f>IF(COUNT(BQ48,AV48)&lt;2,"unknown",IF(BQ48/AV48-1&gt;=0.2,"high",IF(BQ48/AV48-1&lt;=-0.2,"low","normal")))</x:f>
        <x:v>unknown</x:v>
      </x:c>
      <x:c r="BW48" s="65" t="str">
        <x:f>IF(COUNT(BR48,AW48)&lt;2,"unknown",IF(BR48/AW48-1&gt;=0.2,"high",IF(BR48/AW48-1&lt;=-0.2,"low","normal")))</x:f>
        <x:v>unknown</x:v>
      </x:c>
      <x:c r="BX48" s="65" t="str">
        <x:f>IF(COUNT(BS48,AX48)&lt;2,"unknown",IF(BS48/AX48-1&gt;=0.2,"high",IF(BS48/AX48-1&lt;=-0.2,"low","normal")))</x:f>
        <x:v>unknown</x:v>
      </x:c>
      <x:c r="BY48" s="65" t="str">
        <x:f>IF(COUNT(BT48,AY48)&lt;2,"unknown",IF(BT48/AY48-1&gt;=0.2,"high",IF(BT48/AY48-1&lt;=-0.2,"low","normal")))</x:f>
        <x:v>unknown</x:v>
      </x:c>
      <x:c r="BZ48" s="65" t="str">
        <x:f>IF(COUNT(BU48,AZ48)&lt;2,"unknown",IF(BU48/AZ48-1&gt;=0.2,"high",IF(BU48/AZ48-1&lt;=-0.2,"low","normal")))</x:f>
        <x:v>unknown</x:v>
      </x:c>
      <x:c r="CA48" s="65" t="str">
        <x:f>IF(T48&lt;&gt;"complete","pending",IF(OR(L48&lt;&gt;"pure",U48="true",COUNT(BM48,AT48)&lt;2,AND(AC48&lt;&gt;"",COUNT(BO48,AU48)&lt;2)),"not_attributable","attributable"))</x:f>
        <x:v>pending</x:v>
      </x:c>
      <x:c r="CB48" s="65" t="str">
        <x:f>IF(T48&lt;&gt;"complete","not_evaluated",IF(COUNT(BM48,AT48)&lt;2,"insufficient_data",IF(AND(AC48&lt;&gt;"",COUNT(BP48)=1,BP48&lt;=-0.2),"guardrail_fail",IF(AND(CA48="not_attributable",OR(BV48="high",BN48&gt;=0.2)),"watchlist",IF(CA48&lt;&gt;"attributable","insufficient_data",IF(BN48&gt;=0.2,"win",IF(BN48&lt;=-0.2,"loss","inconclusive")))))))</x:f>
        <x:v>not_evaluated</x:v>
      </x:c>
      <x:c r="CC48" s="65" t="str">
        <x:f>IF(T48&lt;&gt;"complete","COLLECT_MORE_DATA",IF(COUNT(BM48,AT48)&lt;2,"FIX_TRACKING",IF(CB48="guardrail_fail","STOP_VARIANT_GUARDRAIL",IF(CB48="watchlist","WATCHLIST_ONLY",IF(AND(BV48="high",BY48="low"),"KEEP_HOOK_REWRITE_CTA",IF(AND(BW48="high",BX48="low"),"KEEP_STRUCTURE_CHANGE_DISCUSSION_ANGLE",IF(AND(BX48="high",BZ48="low"),"DOWNWEIGHT_TEMPLATE",IF(CB48="win","RETEST_WINNER",IF(CB48="loss","RETURN_TO_BASELINE","COLLECT_MORE_DATA")))))))))</x:f>
        <x:v>COLLECT_MORE_DATA</x:v>
      </x:c>
      <x:c r="CD48" s="75"/>
    </x:row>
    <x:row r="49">
      <x:c r="A49" s="68"/>
      <x:c r="B49" s="69"/>
      <x:c r="C49" s="68"/>
      <x:c r="D49" s="68"/>
      <x:c r="E49" s="68"/>
      <x:c r="F49" s="68"/>
      <x:c r="G49" s="68"/>
      <x:c r="H49" s="70"/>
      <x:c r="I49" s="68"/>
      <x:c r="J49" s="68"/>
      <x:c r="K49" s="68"/>
      <x:c r="L49" s="71" t="str">
        <x:f>IF(K49="","unknown",IF(K49=0,"baseline",IF(K49=1,"pure","mixed")))</x:f>
        <x:v>unknown</x:v>
      </x:c>
      <x:c r="M49" s="68"/>
      <x:c r="N49" s="68"/>
      <x:c r="O49" s="68"/>
      <x:c r="P49" s="68"/>
      <x:c r="Q49" s="68"/>
      <x:c r="R49" s="68"/>
      <x:c r="S49" s="68"/>
      <x:c r="T49" s="68"/>
      <x:c r="U49" s="68"/>
      <x:c r="V49" s="68"/>
      <x:c r="W49" s="68"/>
      <x:c r="X49" s="68"/>
      <x:c r="Y49" s="68"/>
      <x:c r="Z49" s="68"/>
      <x:c r="AA49" s="68"/>
      <x:c r="AB49" s="68"/>
      <x:c r="AC49" s="68"/>
      <x:c r="AD49" s="70"/>
      <x:c r="AE49" s="70"/>
      <x:c r="AF49" s="70"/>
      <x:c r="AG49" s="70"/>
      <x:c r="AH49" s="70"/>
      <x:c r="AI49" s="70"/>
      <x:c r="AJ49" s="70"/>
      <x:c r="AK49" s="70"/>
      <x:c r="AL49" s="70"/>
      <x:c r="AM49" s="70"/>
      <x:c r="AN49" s="70"/>
      <x:c r="AO49" s="70"/>
      <x:c r="AP49" s="70"/>
      <x:c r="AQ49" s="70"/>
      <x:c r="AR49" s="70"/>
      <x:c r="AS49" s="70"/>
      <x:c r="AT49" s="72"/>
      <x:c r="AU49" s="72"/>
      <x:c r="AV49" s="72"/>
      <x:c r="AW49" s="72"/>
      <x:c r="AX49" s="72"/>
      <x:c r="AY49" s="72"/>
      <x:c r="AZ49" s="72"/>
      <x:c r="BA49" s="73" t="str">
        <x:f>IF(C49="xiaohongshu",IF(COUNT(AF49,AE49)&lt;2,"",IFERROR(AF49/AE49,"")),"")</x:f>
      </x:c>
      <x:c r="BB49" s="73" t="str">
        <x:f>IF(C49="xiaohongshu",IF(COUNT(AG49,AE49)&lt;2,"",IFERROR(AG49/AE49,"")),"")</x:f>
      </x:c>
      <x:c r="BC49" s="73" t="str">
        <x:f>IF(C49="xiaohongshu",IF(COUNT(AN49,AE49)&lt;2,"",IFERROR(AN49/AE49,"")),"")</x:f>
      </x:c>
      <x:c r="BD49" s="73" t="str">
        <x:f>IF(C49="xiaohongshu",IF(COUNT(AQ49,AE49)&lt;2,"",IFERROR(AQ49/AE49,"")),"")</x:f>
      </x:c>
      <x:c r="BE49" s="73" t="str">
        <x:f>IF(C49="xiaohongshu",IF(COUNT(AI49,AE49)&lt;2,"",IFERROR(AI49/AE49,"")),"")</x:f>
      </x:c>
      <x:c r="BF49" s="73" t="str">
        <x:f>IF(C49="xiaohongshu",IF(OR(COUNT(AE49)=0,COUNT(AR49,AS49)=0),"",IFERROR((AR49+AS49)/AE49,"")),"")</x:f>
      </x:c>
      <x:c r="BG49" s="73" t="str">
        <x:f>IF(C49="x",IF(COUNT(AD49)=0,"",IF(COUNT(AM49)=1,IFERROR(AM49/AD49,""),IF(COUNT(AH49,AI49,AK49,AL49)=0,"",IFERROR(SUM(AH49,AI49,AK49,AL49)/AD49,"")))),"")</x:f>
      </x:c>
      <x:c r="BH49" s="73" t="str">
        <x:f>IF(C49="x",IF(COUNT(AJ49,AD49)&lt;2,"",IFERROR(AJ49/AD49,"")),"")</x:f>
      </x:c>
      <x:c r="BI49" s="73" t="str">
        <x:f>IF(C49="x",IF(COUNT(AO49,AD49)&lt;2,"",IFERROR(AO49/AD49,"")),"")</x:f>
      </x:c>
      <x:c r="BJ49" s="73" t="str">
        <x:f>IF(C49="x",IF(COUNT(AP49,AD49)&lt;2,"",IFERROR(AP49/AD49,"")),"")</x:f>
      </x:c>
      <x:c r="BK49" s="73" t="str">
        <x:f>IF(C49="x",IF(COUNT(AL49,AD49)&lt;2,"",IFERROR(AL49/AD49,"")),"")</x:f>
      </x:c>
      <x:c r="BL49" s="73" t="str">
        <x:f>IF(C49="x",IF(OR(COUNT(AD49)=0,COUNT(AR49,AS49)=0),"",IFERROR((AR49+AS49)/AD49,"")),"")</x:f>
      </x:c>
      <x:c r="BM49" s="73" t="str">
        <x:f>IF(AB49="xhs_save_rate",BA49,IF(AB49="xhs_completion_rate",BB49,IF(AB49="xhs_profile_visit_rate",BC49,IF(AB49="xhs_dm_intent_rate",BD49,IF(AB49="xhs_discussion_rate",BE49,IF(AB49="xhs_product_relevance_rate",BF49,IF(AB49="x_first_screen_engaged_rate_proxy",BG49,IF(AB49="x_qualified_reply_rate",BH49,IF(AB49="x_profile_click_rate",BI49,IF(AB49="x_link_intent_rate",BJ49,IF(AB49="x_bookmark_rate",BK49,IF(AB49="x_product_relevance_rate",BL49,""))))))))))))</x:f>
      </x:c>
      <x:c r="BN49" s="73" t="str">
        <x:f>IFERROR(BM49/AT49-1,"")</x:f>
      </x:c>
      <x:c r="BO49" s="73" t="str">
        <x:f>IF(AC49="","",IF(AC49="xhs_save_rate",BA49,IF(AC49="xhs_completion_rate",BB49,IF(AC49="xhs_profile_visit_rate",BC49,IF(AC49="xhs_dm_intent_rate",BD49,IF(AC49="xhs_discussion_rate",BE49,IF(AC49="xhs_product_relevance_rate",BF49,IF(AC49="x_first_screen_engaged_rate_proxy",BG49,IF(AC49="x_qualified_reply_rate",BH49,IF(AC49="x_profile_click_rate",BI49,IF(AC49="x_link_intent_rate",BJ49,IF(AC49="x_bookmark_rate",BK49,IF(AC49="x_product_relevance_rate",BL49,"")))))))))))))</x:f>
      </x:c>
      <x:c r="BP49" s="73" t="str">
        <x:f>IFERROR(BO49/AU49-1,"")</x:f>
      </x:c>
      <x:c r="BQ49" s="74" t="str">
        <x:f>IF(COUNT(AD49)=0,"",AD49)</x:f>
      </x:c>
      <x:c r="BR49" s="73" t="str">
        <x:f>IF(C49="xiaohongshu",IF(COUNT(BA49,BB49)=2,AVERAGE(BA49,BB49),IF(COUNT(BA49)=1,BA49,BB49)),BK49)</x:f>
      </x:c>
      <x:c r="BS49" s="73" t="str">
        <x:f>IF(C49="xiaohongshu",BE49,BH49)</x:f>
      </x:c>
      <x:c r="BT49" s="73" t="str">
        <x:f>IF(C49="xiaohongshu",IF(I49="save",BA49,IF(I49="discussion",BE49,IF(I49="profile_visit",BC49,IF(I49="dm",BD49,IF(OR(I49="product_question",I49="trial_intent"),BF49,""))))),IF(I49="save",BK49,IF(I49="discussion",BH49,IF(OR(I49="profile_visit",I49="dm"),BI49,IF(I49="link_click",BJ49,IF(OR(I49="product_question",I49="trial_intent"),BL49,""))))))</x:f>
      </x:c>
      <x:c r="BU49" s="73" t="str">
        <x:f>IF(C49="xiaohongshu",BF49,BL49)</x:f>
      </x:c>
      <x:c r="BV49" s="65" t="str">
        <x:f>IF(COUNT(BQ49,AV49)&lt;2,"unknown",IF(BQ49/AV49-1&gt;=0.2,"high",IF(BQ49/AV49-1&lt;=-0.2,"low","normal")))</x:f>
        <x:v>unknown</x:v>
      </x:c>
      <x:c r="BW49" s="65" t="str">
        <x:f>IF(COUNT(BR49,AW49)&lt;2,"unknown",IF(BR49/AW49-1&gt;=0.2,"high",IF(BR49/AW49-1&lt;=-0.2,"low","normal")))</x:f>
        <x:v>unknown</x:v>
      </x:c>
      <x:c r="BX49" s="65" t="str">
        <x:f>IF(COUNT(BS49,AX49)&lt;2,"unknown",IF(BS49/AX49-1&gt;=0.2,"high",IF(BS49/AX49-1&lt;=-0.2,"low","normal")))</x:f>
        <x:v>unknown</x:v>
      </x:c>
      <x:c r="BY49" s="65" t="str">
        <x:f>IF(COUNT(BT49,AY49)&lt;2,"unknown",IF(BT49/AY49-1&gt;=0.2,"high",IF(BT49/AY49-1&lt;=-0.2,"low","normal")))</x:f>
        <x:v>unknown</x:v>
      </x:c>
      <x:c r="BZ49" s="65" t="str">
        <x:f>IF(COUNT(BU49,AZ49)&lt;2,"unknown",IF(BU49/AZ49-1&gt;=0.2,"high",IF(BU49/AZ49-1&lt;=-0.2,"low","normal")))</x:f>
        <x:v>unknown</x:v>
      </x:c>
      <x:c r="CA49" s="65" t="str">
        <x:f>IF(T49&lt;&gt;"complete","pending",IF(OR(L49&lt;&gt;"pure",U49="true",COUNT(BM49,AT49)&lt;2,AND(AC49&lt;&gt;"",COUNT(BO49,AU49)&lt;2)),"not_attributable","attributable"))</x:f>
        <x:v>pending</x:v>
      </x:c>
      <x:c r="CB49" s="65" t="str">
        <x:f>IF(T49&lt;&gt;"complete","not_evaluated",IF(COUNT(BM49,AT49)&lt;2,"insufficient_data",IF(AND(AC49&lt;&gt;"",COUNT(BP49)=1,BP49&lt;=-0.2),"guardrail_fail",IF(AND(CA49="not_attributable",OR(BV49="high",BN49&gt;=0.2)),"watchlist",IF(CA49&lt;&gt;"attributable","insufficient_data",IF(BN49&gt;=0.2,"win",IF(BN49&lt;=-0.2,"loss","inconclusive")))))))</x:f>
        <x:v>not_evaluated</x:v>
      </x:c>
      <x:c r="CC49" s="65" t="str">
        <x:f>IF(T49&lt;&gt;"complete","COLLECT_MORE_DATA",IF(COUNT(BM49,AT49)&lt;2,"FIX_TRACKING",IF(CB49="guardrail_fail","STOP_VARIANT_GUARDRAIL",IF(CB49="watchlist","WATCHLIST_ONLY",IF(AND(BV49="high",BY49="low"),"KEEP_HOOK_REWRITE_CTA",IF(AND(BW49="high",BX49="low"),"KEEP_STRUCTURE_CHANGE_DISCUSSION_ANGLE",IF(AND(BX49="high",BZ49="low"),"DOWNWEIGHT_TEMPLATE",IF(CB49="win","RETEST_WINNER",IF(CB49="loss","RETURN_TO_BASELINE","COLLECT_MORE_DATA")))))))))</x:f>
        <x:v>COLLECT_MORE_DATA</x:v>
      </x:c>
      <x:c r="CD49" s="75"/>
    </x:row>
    <x:row r="50">
      <x:c r="A50" s="68"/>
      <x:c r="B50" s="69"/>
      <x:c r="C50" s="68"/>
      <x:c r="D50" s="68"/>
      <x:c r="E50" s="68"/>
      <x:c r="F50" s="68"/>
      <x:c r="G50" s="68"/>
      <x:c r="H50" s="70"/>
      <x:c r="I50" s="68"/>
      <x:c r="J50" s="68"/>
      <x:c r="K50" s="68"/>
      <x:c r="L50" s="71" t="str">
        <x:f>IF(K50="","unknown",IF(K50=0,"baseline",IF(K50=1,"pure","mixed")))</x:f>
        <x:v>unknown</x:v>
      </x:c>
      <x:c r="M50" s="68"/>
      <x:c r="N50" s="68"/>
      <x:c r="O50" s="68"/>
      <x:c r="P50" s="68"/>
      <x:c r="Q50" s="68"/>
      <x:c r="R50" s="68"/>
      <x:c r="S50" s="68"/>
      <x:c r="T50" s="68"/>
      <x:c r="U50" s="68"/>
      <x:c r="V50" s="68"/>
      <x:c r="W50" s="68"/>
      <x:c r="X50" s="68"/>
      <x:c r="Y50" s="68"/>
      <x:c r="Z50" s="68"/>
      <x:c r="AA50" s="68"/>
      <x:c r="AB50" s="68"/>
      <x:c r="AC50" s="68"/>
      <x:c r="AD50" s="70"/>
      <x:c r="AE50" s="70"/>
      <x:c r="AF50" s="70"/>
      <x:c r="AG50" s="70"/>
      <x:c r="AH50" s="70"/>
      <x:c r="AI50" s="70"/>
      <x:c r="AJ50" s="70"/>
      <x:c r="AK50" s="70"/>
      <x:c r="AL50" s="70"/>
      <x:c r="AM50" s="70"/>
      <x:c r="AN50" s="70"/>
      <x:c r="AO50" s="70"/>
      <x:c r="AP50" s="70"/>
      <x:c r="AQ50" s="70"/>
      <x:c r="AR50" s="70"/>
      <x:c r="AS50" s="70"/>
      <x:c r="AT50" s="72"/>
      <x:c r="AU50" s="72"/>
      <x:c r="AV50" s="72"/>
      <x:c r="AW50" s="72"/>
      <x:c r="AX50" s="72"/>
      <x:c r="AY50" s="72"/>
      <x:c r="AZ50" s="72"/>
      <x:c r="BA50" s="73" t="str">
        <x:f>IF(C50="xiaohongshu",IF(COUNT(AF50,AE50)&lt;2,"",IFERROR(AF50/AE50,"")),"")</x:f>
      </x:c>
      <x:c r="BB50" s="73" t="str">
        <x:f>IF(C50="xiaohongshu",IF(COUNT(AG50,AE50)&lt;2,"",IFERROR(AG50/AE50,"")),"")</x:f>
      </x:c>
      <x:c r="BC50" s="73" t="str">
        <x:f>IF(C50="xiaohongshu",IF(COUNT(AN50,AE50)&lt;2,"",IFERROR(AN50/AE50,"")),"")</x:f>
      </x:c>
      <x:c r="BD50" s="73" t="str">
        <x:f>IF(C50="xiaohongshu",IF(COUNT(AQ50,AE50)&lt;2,"",IFERROR(AQ50/AE50,"")),"")</x:f>
      </x:c>
      <x:c r="BE50" s="73" t="str">
        <x:f>IF(C50="xiaohongshu",IF(COUNT(AI50,AE50)&lt;2,"",IFERROR(AI50/AE50,"")),"")</x:f>
      </x:c>
      <x:c r="BF50" s="73" t="str">
        <x:f>IF(C50="xiaohongshu",IF(OR(COUNT(AE50)=0,COUNT(AR50,AS50)=0),"",IFERROR((AR50+AS50)/AE50,"")),"")</x:f>
      </x:c>
      <x:c r="BG50" s="73" t="str">
        <x:f>IF(C50="x",IF(COUNT(AD50)=0,"",IF(COUNT(AM50)=1,IFERROR(AM50/AD50,""),IF(COUNT(AH50,AI50,AK50,AL50)=0,"",IFERROR(SUM(AH50,AI50,AK50,AL50)/AD50,"")))),"")</x:f>
      </x:c>
      <x:c r="BH50" s="73" t="str">
        <x:f>IF(C50="x",IF(COUNT(AJ50,AD50)&lt;2,"",IFERROR(AJ50/AD50,"")),"")</x:f>
      </x:c>
      <x:c r="BI50" s="73" t="str">
        <x:f>IF(C50="x",IF(COUNT(AO50,AD50)&lt;2,"",IFERROR(AO50/AD50,"")),"")</x:f>
      </x:c>
      <x:c r="BJ50" s="73" t="str">
        <x:f>IF(C50="x",IF(COUNT(AP50,AD50)&lt;2,"",IFERROR(AP50/AD50,"")),"")</x:f>
      </x:c>
      <x:c r="BK50" s="73" t="str">
        <x:f>IF(C50="x",IF(COUNT(AL50,AD50)&lt;2,"",IFERROR(AL50/AD50,"")),"")</x:f>
      </x:c>
      <x:c r="BL50" s="73" t="str">
        <x:f>IF(C50="x",IF(OR(COUNT(AD50)=0,COUNT(AR50,AS50)=0),"",IFERROR((AR50+AS50)/AD50,"")),"")</x:f>
      </x:c>
      <x:c r="BM50" s="73" t="str">
        <x:f>IF(AB50="xhs_save_rate",BA50,IF(AB50="xhs_completion_rate",BB50,IF(AB50="xhs_profile_visit_rate",BC50,IF(AB50="xhs_dm_intent_rate",BD50,IF(AB50="xhs_discussion_rate",BE50,IF(AB50="xhs_product_relevance_rate",BF50,IF(AB50="x_first_screen_engaged_rate_proxy",BG50,IF(AB50="x_qualified_reply_rate",BH50,IF(AB50="x_profile_click_rate",BI50,IF(AB50="x_link_intent_rate",BJ50,IF(AB50="x_bookmark_rate",BK50,IF(AB50="x_product_relevance_rate",BL50,""))))))))))))</x:f>
      </x:c>
      <x:c r="BN50" s="73" t="str">
        <x:f>IFERROR(BM50/AT50-1,"")</x:f>
      </x:c>
      <x:c r="BO50" s="73" t="str">
        <x:f>IF(AC50="","",IF(AC50="xhs_save_rate",BA50,IF(AC50="xhs_completion_rate",BB50,IF(AC50="xhs_profile_visit_rate",BC50,IF(AC50="xhs_dm_intent_rate",BD50,IF(AC50="xhs_discussion_rate",BE50,IF(AC50="xhs_product_relevance_rate",BF50,IF(AC50="x_first_screen_engaged_rate_proxy",BG50,IF(AC50="x_qualified_reply_rate",BH50,IF(AC50="x_profile_click_rate",BI50,IF(AC50="x_link_intent_rate",BJ50,IF(AC50="x_bookmark_rate",BK50,IF(AC50="x_product_relevance_rate",BL50,"")))))))))))))</x:f>
      </x:c>
      <x:c r="BP50" s="73" t="str">
        <x:f>IFERROR(BO50/AU50-1,"")</x:f>
      </x:c>
      <x:c r="BQ50" s="74" t="str">
        <x:f>IF(COUNT(AD50)=0,"",AD50)</x:f>
      </x:c>
      <x:c r="BR50" s="73" t="str">
        <x:f>IF(C50="xiaohongshu",IF(COUNT(BA50,BB50)=2,AVERAGE(BA50,BB50),IF(COUNT(BA50)=1,BA50,BB50)),BK50)</x:f>
      </x:c>
      <x:c r="BS50" s="73" t="str">
        <x:f>IF(C50="xiaohongshu",BE50,BH50)</x:f>
      </x:c>
      <x:c r="BT50" s="73" t="str">
        <x:f>IF(C50="xiaohongshu",IF(I50="save",BA50,IF(I50="discussion",BE50,IF(I50="profile_visit",BC50,IF(I50="dm",BD50,IF(OR(I50="product_question",I50="trial_intent"),BF50,""))))),IF(I50="save",BK50,IF(I50="discussion",BH50,IF(OR(I50="profile_visit",I50="dm"),BI50,IF(I50="link_click",BJ50,IF(OR(I50="product_question",I50="trial_intent"),BL50,""))))))</x:f>
      </x:c>
      <x:c r="BU50" s="73" t="str">
        <x:f>IF(C50="xiaohongshu",BF50,BL50)</x:f>
      </x:c>
      <x:c r="BV50" s="65" t="str">
        <x:f>IF(COUNT(BQ50,AV50)&lt;2,"unknown",IF(BQ50/AV50-1&gt;=0.2,"high",IF(BQ50/AV50-1&lt;=-0.2,"low","normal")))</x:f>
        <x:v>unknown</x:v>
      </x:c>
      <x:c r="BW50" s="65" t="str">
        <x:f>IF(COUNT(BR50,AW50)&lt;2,"unknown",IF(BR50/AW50-1&gt;=0.2,"high",IF(BR50/AW50-1&lt;=-0.2,"low","normal")))</x:f>
        <x:v>unknown</x:v>
      </x:c>
      <x:c r="BX50" s="65" t="str">
        <x:f>IF(COUNT(BS50,AX50)&lt;2,"unknown",IF(BS50/AX50-1&gt;=0.2,"high",IF(BS50/AX50-1&lt;=-0.2,"low","normal")))</x:f>
        <x:v>unknown</x:v>
      </x:c>
      <x:c r="BY50" s="65" t="str">
        <x:f>IF(COUNT(BT50,AY50)&lt;2,"unknown",IF(BT50/AY50-1&gt;=0.2,"high",IF(BT50/AY50-1&lt;=-0.2,"low","normal")))</x:f>
        <x:v>unknown</x:v>
      </x:c>
      <x:c r="BZ50" s="65" t="str">
        <x:f>IF(COUNT(BU50,AZ50)&lt;2,"unknown",IF(BU50/AZ50-1&gt;=0.2,"high",IF(BU50/AZ50-1&lt;=-0.2,"low","normal")))</x:f>
        <x:v>unknown</x:v>
      </x:c>
      <x:c r="CA50" s="65" t="str">
        <x:f>IF(T50&lt;&gt;"complete","pending",IF(OR(L50&lt;&gt;"pure",U50="true",COUNT(BM50,AT50)&lt;2,AND(AC50&lt;&gt;"",COUNT(BO50,AU50)&lt;2)),"not_attributable","attributable"))</x:f>
        <x:v>pending</x:v>
      </x:c>
      <x:c r="CB50" s="65" t="str">
        <x:f>IF(T50&lt;&gt;"complete","not_evaluated",IF(COUNT(BM50,AT50)&lt;2,"insufficient_data",IF(AND(AC50&lt;&gt;"",COUNT(BP50)=1,BP50&lt;=-0.2),"guardrail_fail",IF(AND(CA50="not_attributable",OR(BV50="high",BN50&gt;=0.2)),"watchlist",IF(CA50&lt;&gt;"attributable","insufficient_data",IF(BN50&gt;=0.2,"win",IF(BN50&lt;=-0.2,"loss","inconclusive")))))))</x:f>
        <x:v>not_evaluated</x:v>
      </x:c>
      <x:c r="CC50" s="65" t="str">
        <x:f>IF(T50&lt;&gt;"complete","COLLECT_MORE_DATA",IF(COUNT(BM50,AT50)&lt;2,"FIX_TRACKING",IF(CB50="guardrail_fail","STOP_VARIANT_GUARDRAIL",IF(CB50="watchlist","WATCHLIST_ONLY",IF(AND(BV50="high",BY50="low"),"KEEP_HOOK_REWRITE_CTA",IF(AND(BW50="high",BX50="low"),"KEEP_STRUCTURE_CHANGE_DISCUSSION_ANGLE",IF(AND(BX50="high",BZ50="low"),"DOWNWEIGHT_TEMPLATE",IF(CB50="win","RETEST_WINNER",IF(CB50="loss","RETURN_TO_BASELINE","COLLECT_MORE_DATA")))))))))</x:f>
        <x:v>COLLECT_MORE_DATA</x:v>
      </x:c>
      <x:c r="CD50" s="75"/>
    </x:row>
    <x:row r="51">
      <x:c r="A51" s="68"/>
      <x:c r="B51" s="69"/>
      <x:c r="C51" s="68"/>
      <x:c r="D51" s="68"/>
      <x:c r="E51" s="68"/>
      <x:c r="F51" s="68"/>
      <x:c r="G51" s="68"/>
      <x:c r="H51" s="70"/>
      <x:c r="I51" s="68"/>
      <x:c r="J51" s="68"/>
      <x:c r="K51" s="68"/>
      <x:c r="L51" s="71" t="str">
        <x:f>IF(K51="","unknown",IF(K51=0,"baseline",IF(K51=1,"pure","mixed")))</x:f>
        <x:v>unknown</x:v>
      </x:c>
      <x:c r="M51" s="68"/>
      <x:c r="N51" s="68"/>
      <x:c r="O51" s="68"/>
      <x:c r="P51" s="68"/>
      <x:c r="Q51" s="68"/>
      <x:c r="R51" s="68"/>
      <x:c r="S51" s="68"/>
      <x:c r="T51" s="68"/>
      <x:c r="U51" s="68"/>
      <x:c r="V51" s="68"/>
      <x:c r="W51" s="68"/>
      <x:c r="X51" s="68"/>
      <x:c r="Y51" s="68"/>
      <x:c r="Z51" s="68"/>
      <x:c r="AA51" s="68"/>
      <x:c r="AB51" s="68"/>
      <x:c r="AC51" s="68"/>
      <x:c r="AD51" s="70"/>
      <x:c r="AE51" s="70"/>
      <x:c r="AF51" s="70"/>
      <x:c r="AG51" s="70"/>
      <x:c r="AH51" s="70"/>
      <x:c r="AI51" s="70"/>
      <x:c r="AJ51" s="70"/>
      <x:c r="AK51" s="70"/>
      <x:c r="AL51" s="70"/>
      <x:c r="AM51" s="70"/>
      <x:c r="AN51" s="70"/>
      <x:c r="AO51" s="70"/>
      <x:c r="AP51" s="70"/>
      <x:c r="AQ51" s="70"/>
      <x:c r="AR51" s="70"/>
      <x:c r="AS51" s="70"/>
      <x:c r="AT51" s="72"/>
      <x:c r="AU51" s="72"/>
      <x:c r="AV51" s="72"/>
      <x:c r="AW51" s="72"/>
      <x:c r="AX51" s="72"/>
      <x:c r="AY51" s="72"/>
      <x:c r="AZ51" s="72"/>
      <x:c r="BA51" s="73" t="str">
        <x:f>IF(C51="xiaohongshu",IF(COUNT(AF51,AE51)&lt;2,"",IFERROR(AF51/AE51,"")),"")</x:f>
      </x:c>
      <x:c r="BB51" s="73" t="str">
        <x:f>IF(C51="xiaohongshu",IF(COUNT(AG51,AE51)&lt;2,"",IFERROR(AG51/AE51,"")),"")</x:f>
      </x:c>
      <x:c r="BC51" s="73" t="str">
        <x:f>IF(C51="xiaohongshu",IF(COUNT(AN51,AE51)&lt;2,"",IFERROR(AN51/AE51,"")),"")</x:f>
      </x:c>
      <x:c r="BD51" s="73" t="str">
        <x:f>IF(C51="xiaohongshu",IF(COUNT(AQ51,AE51)&lt;2,"",IFERROR(AQ51/AE51,"")),"")</x:f>
      </x:c>
      <x:c r="BE51" s="73" t="str">
        <x:f>IF(C51="xiaohongshu",IF(COUNT(AI51,AE51)&lt;2,"",IFERROR(AI51/AE51,"")),"")</x:f>
      </x:c>
      <x:c r="BF51" s="73" t="str">
        <x:f>IF(C51="xiaohongshu",IF(OR(COUNT(AE51)=0,COUNT(AR51,AS51)=0),"",IFERROR((AR51+AS51)/AE51,"")),"")</x:f>
      </x:c>
      <x:c r="BG51" s="73" t="str">
        <x:f>IF(C51="x",IF(COUNT(AD51)=0,"",IF(COUNT(AM51)=1,IFERROR(AM51/AD51,""),IF(COUNT(AH51,AI51,AK51,AL51)=0,"",IFERROR(SUM(AH51,AI51,AK51,AL51)/AD51,"")))),"")</x:f>
      </x:c>
      <x:c r="BH51" s="73" t="str">
        <x:f>IF(C51="x",IF(COUNT(AJ51,AD51)&lt;2,"",IFERROR(AJ51/AD51,"")),"")</x:f>
      </x:c>
      <x:c r="BI51" s="73" t="str">
        <x:f>IF(C51="x",IF(COUNT(AO51,AD51)&lt;2,"",IFERROR(AO51/AD51,"")),"")</x:f>
      </x:c>
      <x:c r="BJ51" s="73" t="str">
        <x:f>IF(C51="x",IF(COUNT(AP51,AD51)&lt;2,"",IFERROR(AP51/AD51,"")),"")</x:f>
      </x:c>
      <x:c r="BK51" s="73" t="str">
        <x:f>IF(C51="x",IF(COUNT(AL51,AD51)&lt;2,"",IFERROR(AL51/AD51,"")),"")</x:f>
      </x:c>
      <x:c r="BL51" s="73" t="str">
        <x:f>IF(C51="x",IF(OR(COUNT(AD51)=0,COUNT(AR51,AS51)=0),"",IFERROR((AR51+AS51)/AD51,"")),"")</x:f>
      </x:c>
      <x:c r="BM51" s="73" t="str">
        <x:f>IF(AB51="xhs_save_rate",BA51,IF(AB51="xhs_completion_rate",BB51,IF(AB51="xhs_profile_visit_rate",BC51,IF(AB51="xhs_dm_intent_rate",BD51,IF(AB51="xhs_discussion_rate",BE51,IF(AB51="xhs_product_relevance_rate",BF51,IF(AB51="x_first_screen_engaged_rate_proxy",BG51,IF(AB51="x_qualified_reply_rate",BH51,IF(AB51="x_profile_click_rate",BI51,IF(AB51="x_link_intent_rate",BJ51,IF(AB51="x_bookmark_rate",BK51,IF(AB51="x_product_relevance_rate",BL51,""))))))))))))</x:f>
      </x:c>
      <x:c r="BN51" s="73" t="str">
        <x:f>IFERROR(BM51/AT51-1,"")</x:f>
      </x:c>
      <x:c r="BO51" s="73" t="str">
        <x:f>IF(AC51="","",IF(AC51="xhs_save_rate",BA51,IF(AC51="xhs_completion_rate",BB51,IF(AC51="xhs_profile_visit_rate",BC51,IF(AC51="xhs_dm_intent_rate",BD51,IF(AC51="xhs_discussion_rate",BE51,IF(AC51="xhs_product_relevance_rate",BF51,IF(AC51="x_first_screen_engaged_rate_proxy",BG51,IF(AC51="x_qualified_reply_rate",BH51,IF(AC51="x_profile_click_rate",BI51,IF(AC51="x_link_intent_rate",BJ51,IF(AC51="x_bookmark_rate",BK51,IF(AC51="x_product_relevance_rate",BL51,"")))))))))))))</x:f>
      </x:c>
      <x:c r="BP51" s="73" t="str">
        <x:f>IFERROR(BO51/AU51-1,"")</x:f>
      </x:c>
      <x:c r="BQ51" s="74" t="str">
        <x:f>IF(COUNT(AD51)=0,"",AD51)</x:f>
      </x:c>
      <x:c r="BR51" s="73" t="str">
        <x:f>IF(C51="xiaohongshu",IF(COUNT(BA51,BB51)=2,AVERAGE(BA51,BB51),IF(COUNT(BA51)=1,BA51,BB51)),BK51)</x:f>
      </x:c>
      <x:c r="BS51" s="73" t="str">
        <x:f>IF(C51="xiaohongshu",BE51,BH51)</x:f>
      </x:c>
      <x:c r="BT51" s="73" t="str">
        <x:f>IF(C51="xiaohongshu",IF(I51="save",BA51,IF(I51="discussion",BE51,IF(I51="profile_visit",BC51,IF(I51="dm",BD51,IF(OR(I51="product_question",I51="trial_intent"),BF51,""))))),IF(I51="save",BK51,IF(I51="discussion",BH51,IF(OR(I51="profile_visit",I51="dm"),BI51,IF(I51="link_click",BJ51,IF(OR(I51="product_question",I51="trial_intent"),BL51,""))))))</x:f>
      </x:c>
      <x:c r="BU51" s="73" t="str">
        <x:f>IF(C51="xiaohongshu",BF51,BL51)</x:f>
      </x:c>
      <x:c r="BV51" s="65" t="str">
        <x:f>IF(COUNT(BQ51,AV51)&lt;2,"unknown",IF(BQ51/AV51-1&gt;=0.2,"high",IF(BQ51/AV51-1&lt;=-0.2,"low","normal")))</x:f>
        <x:v>unknown</x:v>
      </x:c>
      <x:c r="BW51" s="65" t="str">
        <x:f>IF(COUNT(BR51,AW51)&lt;2,"unknown",IF(BR51/AW51-1&gt;=0.2,"high",IF(BR51/AW51-1&lt;=-0.2,"low","normal")))</x:f>
        <x:v>unknown</x:v>
      </x:c>
      <x:c r="BX51" s="65" t="str">
        <x:f>IF(COUNT(BS51,AX51)&lt;2,"unknown",IF(BS51/AX51-1&gt;=0.2,"high",IF(BS51/AX51-1&lt;=-0.2,"low","normal")))</x:f>
        <x:v>unknown</x:v>
      </x:c>
      <x:c r="BY51" s="65" t="str">
        <x:f>IF(COUNT(BT51,AY51)&lt;2,"unknown",IF(BT51/AY51-1&gt;=0.2,"high",IF(BT51/AY51-1&lt;=-0.2,"low","normal")))</x:f>
        <x:v>unknown</x:v>
      </x:c>
      <x:c r="BZ51" s="65" t="str">
        <x:f>IF(COUNT(BU51,AZ51)&lt;2,"unknown",IF(BU51/AZ51-1&gt;=0.2,"high",IF(BU51/AZ51-1&lt;=-0.2,"low","normal")))</x:f>
        <x:v>unknown</x:v>
      </x:c>
      <x:c r="CA51" s="65" t="str">
        <x:f>IF(T51&lt;&gt;"complete","pending",IF(OR(L51&lt;&gt;"pure",U51="true",COUNT(BM51,AT51)&lt;2,AND(AC51&lt;&gt;"",COUNT(BO51,AU51)&lt;2)),"not_attributable","attributable"))</x:f>
        <x:v>pending</x:v>
      </x:c>
      <x:c r="CB51" s="65" t="str">
        <x:f>IF(T51&lt;&gt;"complete","not_evaluated",IF(COUNT(BM51,AT51)&lt;2,"insufficient_data",IF(AND(AC51&lt;&gt;"",COUNT(BP51)=1,BP51&lt;=-0.2),"guardrail_fail",IF(AND(CA51="not_attributable",OR(BV51="high",BN51&gt;=0.2)),"watchlist",IF(CA51&lt;&gt;"attributable","insufficient_data",IF(BN51&gt;=0.2,"win",IF(BN51&lt;=-0.2,"loss","inconclusive")))))))</x:f>
        <x:v>not_evaluated</x:v>
      </x:c>
      <x:c r="CC51" s="65" t="str">
        <x:f>IF(T51&lt;&gt;"complete","COLLECT_MORE_DATA",IF(COUNT(BM51,AT51)&lt;2,"FIX_TRACKING",IF(CB51="guardrail_fail","STOP_VARIANT_GUARDRAIL",IF(CB51="watchlist","WATCHLIST_ONLY",IF(AND(BV51="high",BY51="low"),"KEEP_HOOK_REWRITE_CTA",IF(AND(BW51="high",BX51="low"),"KEEP_STRUCTURE_CHANGE_DISCUSSION_ANGLE",IF(AND(BX51="high",BZ51="low"),"DOWNWEIGHT_TEMPLATE",IF(CB51="win","RETEST_WINNER",IF(CB51="loss","RETURN_TO_BASELINE","COLLECT_MORE_DATA")))))))))</x:f>
        <x:v>COLLECT_MORE_DATA</x:v>
      </x:c>
      <x:c r="CD51" s="75"/>
    </x:row>
    <x:row r="52">
      <x:c r="A52" s="68"/>
      <x:c r="B52" s="69"/>
      <x:c r="C52" s="68"/>
      <x:c r="D52" s="68"/>
      <x:c r="E52" s="68"/>
      <x:c r="F52" s="68"/>
      <x:c r="G52" s="68"/>
      <x:c r="H52" s="70"/>
      <x:c r="I52" s="68"/>
      <x:c r="J52" s="68"/>
      <x:c r="K52" s="68"/>
      <x:c r="L52" s="71" t="str">
        <x:f>IF(K52="","unknown",IF(K52=0,"baseline",IF(K52=1,"pure","mixed")))</x:f>
        <x:v>unknown</x:v>
      </x:c>
      <x:c r="M52" s="68"/>
      <x:c r="N52" s="68"/>
      <x:c r="O52" s="68"/>
      <x:c r="P52" s="68"/>
      <x:c r="Q52" s="68"/>
      <x:c r="R52" s="68"/>
      <x:c r="S52" s="68"/>
      <x:c r="T52" s="68"/>
      <x:c r="U52" s="68"/>
      <x:c r="V52" s="68"/>
      <x:c r="W52" s="68"/>
      <x:c r="X52" s="68"/>
      <x:c r="Y52" s="68"/>
      <x:c r="Z52" s="68"/>
      <x:c r="AA52" s="68"/>
      <x:c r="AB52" s="68"/>
      <x:c r="AC52" s="68"/>
      <x:c r="AD52" s="70"/>
      <x:c r="AE52" s="70"/>
      <x:c r="AF52" s="70"/>
      <x:c r="AG52" s="70"/>
      <x:c r="AH52" s="70"/>
      <x:c r="AI52" s="70"/>
      <x:c r="AJ52" s="70"/>
      <x:c r="AK52" s="70"/>
      <x:c r="AL52" s="70"/>
      <x:c r="AM52" s="70"/>
      <x:c r="AN52" s="70"/>
      <x:c r="AO52" s="70"/>
      <x:c r="AP52" s="70"/>
      <x:c r="AQ52" s="70"/>
      <x:c r="AR52" s="70"/>
      <x:c r="AS52" s="70"/>
      <x:c r="AT52" s="72"/>
      <x:c r="AU52" s="72"/>
      <x:c r="AV52" s="72"/>
      <x:c r="AW52" s="72"/>
      <x:c r="AX52" s="72"/>
      <x:c r="AY52" s="72"/>
      <x:c r="AZ52" s="72"/>
      <x:c r="BA52" s="73" t="str">
        <x:f>IF(C52="xiaohongshu",IF(COUNT(AF52,AE52)&lt;2,"",IFERROR(AF52/AE52,"")),"")</x:f>
      </x:c>
      <x:c r="BB52" s="73" t="str">
        <x:f>IF(C52="xiaohongshu",IF(COUNT(AG52,AE52)&lt;2,"",IFERROR(AG52/AE52,"")),"")</x:f>
      </x:c>
      <x:c r="BC52" s="73" t="str">
        <x:f>IF(C52="xiaohongshu",IF(COUNT(AN52,AE52)&lt;2,"",IFERROR(AN52/AE52,"")),"")</x:f>
      </x:c>
      <x:c r="BD52" s="73" t="str">
        <x:f>IF(C52="xiaohongshu",IF(COUNT(AQ52,AE52)&lt;2,"",IFERROR(AQ52/AE52,"")),"")</x:f>
      </x:c>
      <x:c r="BE52" s="73" t="str">
        <x:f>IF(C52="xiaohongshu",IF(COUNT(AI52,AE52)&lt;2,"",IFERROR(AI52/AE52,"")),"")</x:f>
      </x:c>
      <x:c r="BF52" s="73" t="str">
        <x:f>IF(C52="xiaohongshu",IF(OR(COUNT(AE52)=0,COUNT(AR52,AS52)=0),"",IFERROR((AR52+AS52)/AE52,"")),"")</x:f>
      </x:c>
      <x:c r="BG52" s="73" t="str">
        <x:f>IF(C52="x",IF(COUNT(AD52)=0,"",IF(COUNT(AM52)=1,IFERROR(AM52/AD52,""),IF(COUNT(AH52,AI52,AK52,AL52)=0,"",IFERROR(SUM(AH52,AI52,AK52,AL52)/AD52,"")))),"")</x:f>
      </x:c>
      <x:c r="BH52" s="73" t="str">
        <x:f>IF(C52="x",IF(COUNT(AJ52,AD52)&lt;2,"",IFERROR(AJ52/AD52,"")),"")</x:f>
      </x:c>
      <x:c r="BI52" s="73" t="str">
        <x:f>IF(C52="x",IF(COUNT(AO52,AD52)&lt;2,"",IFERROR(AO52/AD52,"")),"")</x:f>
      </x:c>
      <x:c r="BJ52" s="73" t="str">
        <x:f>IF(C52="x",IF(COUNT(AP52,AD52)&lt;2,"",IFERROR(AP52/AD52,"")),"")</x:f>
      </x:c>
      <x:c r="BK52" s="73" t="str">
        <x:f>IF(C52="x",IF(COUNT(AL52,AD52)&lt;2,"",IFERROR(AL52/AD52,"")),"")</x:f>
      </x:c>
      <x:c r="BL52" s="73" t="str">
        <x:f>IF(C52="x",IF(OR(COUNT(AD52)=0,COUNT(AR52,AS52)=0),"",IFERROR((AR52+AS52)/AD52,"")),"")</x:f>
      </x:c>
      <x:c r="BM52" s="73" t="str">
        <x:f>IF(AB52="xhs_save_rate",BA52,IF(AB52="xhs_completion_rate",BB52,IF(AB52="xhs_profile_visit_rate",BC52,IF(AB52="xhs_dm_intent_rate",BD52,IF(AB52="xhs_discussion_rate",BE52,IF(AB52="xhs_product_relevance_rate",BF52,IF(AB52="x_first_screen_engaged_rate_proxy",BG52,IF(AB52="x_qualified_reply_rate",BH52,IF(AB52="x_profile_click_rate",BI52,IF(AB52="x_link_intent_rate",BJ52,IF(AB52="x_bookmark_rate",BK52,IF(AB52="x_product_relevance_rate",BL52,""))))))))))))</x:f>
      </x:c>
      <x:c r="BN52" s="73" t="str">
        <x:f>IFERROR(BM52/AT52-1,"")</x:f>
      </x:c>
      <x:c r="BO52" s="73" t="str">
        <x:f>IF(AC52="","",IF(AC52="xhs_save_rate",BA52,IF(AC52="xhs_completion_rate",BB52,IF(AC52="xhs_profile_visit_rate",BC52,IF(AC52="xhs_dm_intent_rate",BD52,IF(AC52="xhs_discussion_rate",BE52,IF(AC52="xhs_product_relevance_rate",BF52,IF(AC52="x_first_screen_engaged_rate_proxy",BG52,IF(AC52="x_qualified_reply_rate",BH52,IF(AC52="x_profile_click_rate",BI52,IF(AC52="x_link_intent_rate",BJ52,IF(AC52="x_bookmark_rate",BK52,IF(AC52="x_product_relevance_rate",BL52,"")))))))))))))</x:f>
      </x:c>
      <x:c r="BP52" s="73" t="str">
        <x:f>IFERROR(BO52/AU52-1,"")</x:f>
      </x:c>
      <x:c r="BQ52" s="74" t="str">
        <x:f>IF(COUNT(AD52)=0,"",AD52)</x:f>
      </x:c>
      <x:c r="BR52" s="73" t="str">
        <x:f>IF(C52="xiaohongshu",IF(COUNT(BA52,BB52)=2,AVERAGE(BA52,BB52),IF(COUNT(BA52)=1,BA52,BB52)),BK52)</x:f>
      </x:c>
      <x:c r="BS52" s="73" t="str">
        <x:f>IF(C52="xiaohongshu",BE52,BH52)</x:f>
      </x:c>
      <x:c r="BT52" s="73" t="str">
        <x:f>IF(C52="xiaohongshu",IF(I52="save",BA52,IF(I52="discussion",BE52,IF(I52="profile_visit",BC52,IF(I52="dm",BD52,IF(OR(I52="product_question",I52="trial_intent"),BF52,""))))),IF(I52="save",BK52,IF(I52="discussion",BH52,IF(OR(I52="profile_visit",I52="dm"),BI52,IF(I52="link_click",BJ52,IF(OR(I52="product_question",I52="trial_intent"),BL52,""))))))</x:f>
      </x:c>
      <x:c r="BU52" s="73" t="str">
        <x:f>IF(C52="xiaohongshu",BF52,BL52)</x:f>
      </x:c>
      <x:c r="BV52" s="65" t="str">
        <x:f>IF(COUNT(BQ52,AV52)&lt;2,"unknown",IF(BQ52/AV52-1&gt;=0.2,"high",IF(BQ52/AV52-1&lt;=-0.2,"low","normal")))</x:f>
        <x:v>unknown</x:v>
      </x:c>
      <x:c r="BW52" s="65" t="str">
        <x:f>IF(COUNT(BR52,AW52)&lt;2,"unknown",IF(BR52/AW52-1&gt;=0.2,"high",IF(BR52/AW52-1&lt;=-0.2,"low","normal")))</x:f>
        <x:v>unknown</x:v>
      </x:c>
      <x:c r="BX52" s="65" t="str">
        <x:f>IF(COUNT(BS52,AX52)&lt;2,"unknown",IF(BS52/AX52-1&gt;=0.2,"high",IF(BS52/AX52-1&lt;=-0.2,"low","normal")))</x:f>
        <x:v>unknown</x:v>
      </x:c>
      <x:c r="BY52" s="65" t="str">
        <x:f>IF(COUNT(BT52,AY52)&lt;2,"unknown",IF(BT52/AY52-1&gt;=0.2,"high",IF(BT52/AY52-1&lt;=-0.2,"low","normal")))</x:f>
        <x:v>unknown</x:v>
      </x:c>
      <x:c r="BZ52" s="65" t="str">
        <x:f>IF(COUNT(BU52,AZ52)&lt;2,"unknown",IF(BU52/AZ52-1&gt;=0.2,"high",IF(BU52/AZ52-1&lt;=-0.2,"low","normal")))</x:f>
        <x:v>unknown</x:v>
      </x:c>
      <x:c r="CA52" s="65" t="str">
        <x:f>IF(T52&lt;&gt;"complete","pending",IF(OR(L52&lt;&gt;"pure",U52="true",COUNT(BM52,AT52)&lt;2,AND(AC52&lt;&gt;"",COUNT(BO52,AU52)&lt;2)),"not_attributable","attributable"))</x:f>
        <x:v>pending</x:v>
      </x:c>
      <x:c r="CB52" s="65" t="str">
        <x:f>IF(T52&lt;&gt;"complete","not_evaluated",IF(COUNT(BM52,AT52)&lt;2,"insufficient_data",IF(AND(AC52&lt;&gt;"",COUNT(BP52)=1,BP52&lt;=-0.2),"guardrail_fail",IF(AND(CA52="not_attributable",OR(BV52="high",BN52&gt;=0.2)),"watchlist",IF(CA52&lt;&gt;"attributable","insufficient_data",IF(BN52&gt;=0.2,"win",IF(BN52&lt;=-0.2,"loss","inconclusive")))))))</x:f>
        <x:v>not_evaluated</x:v>
      </x:c>
      <x:c r="CC52" s="65" t="str">
        <x:f>IF(T52&lt;&gt;"complete","COLLECT_MORE_DATA",IF(COUNT(BM52,AT52)&lt;2,"FIX_TRACKING",IF(CB52="guardrail_fail","STOP_VARIANT_GUARDRAIL",IF(CB52="watchlist","WATCHLIST_ONLY",IF(AND(BV52="high",BY52="low"),"KEEP_HOOK_REWRITE_CTA",IF(AND(BW52="high",BX52="low"),"KEEP_STRUCTURE_CHANGE_DISCUSSION_ANGLE",IF(AND(BX52="high",BZ52="low"),"DOWNWEIGHT_TEMPLATE",IF(CB52="win","RETEST_WINNER",IF(CB52="loss","RETURN_TO_BASELINE","COLLECT_MORE_DATA")))))))))</x:f>
        <x:v>COLLECT_MORE_DATA</x:v>
      </x:c>
      <x:c r="CD52" s="75"/>
    </x:row>
    <x:row r="53">
      <x:c r="A53" s="68"/>
      <x:c r="B53" s="69"/>
      <x:c r="C53" s="68"/>
      <x:c r="D53" s="68"/>
      <x:c r="E53" s="68"/>
      <x:c r="F53" s="68"/>
      <x:c r="G53" s="68"/>
      <x:c r="H53" s="70"/>
      <x:c r="I53" s="68"/>
      <x:c r="J53" s="68"/>
      <x:c r="K53" s="68"/>
      <x:c r="L53" s="71" t="str">
        <x:f>IF(K53="","unknown",IF(K53=0,"baseline",IF(K53=1,"pure","mixed")))</x:f>
        <x:v>unknown</x:v>
      </x:c>
      <x:c r="M53" s="68"/>
      <x:c r="N53" s="68"/>
      <x:c r="O53" s="68"/>
      <x:c r="P53" s="68"/>
      <x:c r="Q53" s="68"/>
      <x:c r="R53" s="68"/>
      <x:c r="S53" s="68"/>
      <x:c r="T53" s="68"/>
      <x:c r="U53" s="68"/>
      <x:c r="V53" s="68"/>
      <x:c r="W53" s="68"/>
      <x:c r="X53" s="68"/>
      <x:c r="Y53" s="68"/>
      <x:c r="Z53" s="68"/>
      <x:c r="AA53" s="68"/>
      <x:c r="AB53" s="68"/>
      <x:c r="AC53" s="68"/>
      <x:c r="AD53" s="70"/>
      <x:c r="AE53" s="70"/>
      <x:c r="AF53" s="70"/>
      <x:c r="AG53" s="70"/>
      <x:c r="AH53" s="70"/>
      <x:c r="AI53" s="70"/>
      <x:c r="AJ53" s="70"/>
      <x:c r="AK53" s="70"/>
      <x:c r="AL53" s="70"/>
      <x:c r="AM53" s="70"/>
      <x:c r="AN53" s="70"/>
      <x:c r="AO53" s="70"/>
      <x:c r="AP53" s="70"/>
      <x:c r="AQ53" s="70"/>
      <x:c r="AR53" s="70"/>
      <x:c r="AS53" s="70"/>
      <x:c r="AT53" s="72"/>
      <x:c r="AU53" s="72"/>
      <x:c r="AV53" s="72"/>
      <x:c r="AW53" s="72"/>
      <x:c r="AX53" s="72"/>
      <x:c r="AY53" s="72"/>
      <x:c r="AZ53" s="72"/>
      <x:c r="BA53" s="73" t="str">
        <x:f>IF(C53="xiaohongshu",IF(COUNT(AF53,AE53)&lt;2,"",IFERROR(AF53/AE53,"")),"")</x:f>
      </x:c>
      <x:c r="BB53" s="73" t="str">
        <x:f>IF(C53="xiaohongshu",IF(COUNT(AG53,AE53)&lt;2,"",IFERROR(AG53/AE53,"")),"")</x:f>
      </x:c>
      <x:c r="BC53" s="73" t="str">
        <x:f>IF(C53="xiaohongshu",IF(COUNT(AN53,AE53)&lt;2,"",IFERROR(AN53/AE53,"")),"")</x:f>
      </x:c>
      <x:c r="BD53" s="73" t="str">
        <x:f>IF(C53="xiaohongshu",IF(COUNT(AQ53,AE53)&lt;2,"",IFERROR(AQ53/AE53,"")),"")</x:f>
      </x:c>
      <x:c r="BE53" s="73" t="str">
        <x:f>IF(C53="xiaohongshu",IF(COUNT(AI53,AE53)&lt;2,"",IFERROR(AI53/AE53,"")),"")</x:f>
      </x:c>
      <x:c r="BF53" s="73" t="str">
        <x:f>IF(C53="xiaohongshu",IF(OR(COUNT(AE53)=0,COUNT(AR53,AS53)=0),"",IFERROR((AR53+AS53)/AE53,"")),"")</x:f>
      </x:c>
      <x:c r="BG53" s="73" t="str">
        <x:f>IF(C53="x",IF(COUNT(AD53)=0,"",IF(COUNT(AM53)=1,IFERROR(AM53/AD53,""),IF(COUNT(AH53,AI53,AK53,AL53)=0,"",IFERROR(SUM(AH53,AI53,AK53,AL53)/AD53,"")))),"")</x:f>
      </x:c>
      <x:c r="BH53" s="73" t="str">
        <x:f>IF(C53="x",IF(COUNT(AJ53,AD53)&lt;2,"",IFERROR(AJ53/AD53,"")),"")</x:f>
      </x:c>
      <x:c r="BI53" s="73" t="str">
        <x:f>IF(C53="x",IF(COUNT(AO53,AD53)&lt;2,"",IFERROR(AO53/AD53,"")),"")</x:f>
      </x:c>
      <x:c r="BJ53" s="73" t="str">
        <x:f>IF(C53="x",IF(COUNT(AP53,AD53)&lt;2,"",IFERROR(AP53/AD53,"")),"")</x:f>
      </x:c>
      <x:c r="BK53" s="73" t="str">
        <x:f>IF(C53="x",IF(COUNT(AL53,AD53)&lt;2,"",IFERROR(AL53/AD53,"")),"")</x:f>
      </x:c>
      <x:c r="BL53" s="73" t="str">
        <x:f>IF(C53="x",IF(OR(COUNT(AD53)=0,COUNT(AR53,AS53)=0),"",IFERROR((AR53+AS53)/AD53,"")),"")</x:f>
      </x:c>
      <x:c r="BM53" s="73" t="str">
        <x:f>IF(AB53="xhs_save_rate",BA53,IF(AB53="xhs_completion_rate",BB53,IF(AB53="xhs_profile_visit_rate",BC53,IF(AB53="xhs_dm_intent_rate",BD53,IF(AB53="xhs_discussion_rate",BE53,IF(AB53="xhs_product_relevance_rate",BF53,IF(AB53="x_first_screen_engaged_rate_proxy",BG53,IF(AB53="x_qualified_reply_rate",BH53,IF(AB53="x_profile_click_rate",BI53,IF(AB53="x_link_intent_rate",BJ53,IF(AB53="x_bookmark_rate",BK53,IF(AB53="x_product_relevance_rate",BL53,""))))))))))))</x:f>
      </x:c>
      <x:c r="BN53" s="73" t="str">
        <x:f>IFERROR(BM53/AT53-1,"")</x:f>
      </x:c>
      <x:c r="BO53" s="73" t="str">
        <x:f>IF(AC53="","",IF(AC53="xhs_save_rate",BA53,IF(AC53="xhs_completion_rate",BB53,IF(AC53="xhs_profile_visit_rate",BC53,IF(AC53="xhs_dm_intent_rate",BD53,IF(AC53="xhs_discussion_rate",BE53,IF(AC53="xhs_product_relevance_rate",BF53,IF(AC53="x_first_screen_engaged_rate_proxy",BG53,IF(AC53="x_qualified_reply_rate",BH53,IF(AC53="x_profile_click_rate",BI53,IF(AC53="x_link_intent_rate",BJ53,IF(AC53="x_bookmark_rate",BK53,IF(AC53="x_product_relevance_rate",BL53,"")))))))))))))</x:f>
      </x:c>
      <x:c r="BP53" s="73" t="str">
        <x:f>IFERROR(BO53/AU53-1,"")</x:f>
      </x:c>
      <x:c r="BQ53" s="74" t="str">
        <x:f>IF(COUNT(AD53)=0,"",AD53)</x:f>
      </x:c>
      <x:c r="BR53" s="73" t="str">
        <x:f>IF(C53="xiaohongshu",IF(COUNT(BA53,BB53)=2,AVERAGE(BA53,BB53),IF(COUNT(BA53)=1,BA53,BB53)),BK53)</x:f>
      </x:c>
      <x:c r="BS53" s="73" t="str">
        <x:f>IF(C53="xiaohongshu",BE53,BH53)</x:f>
      </x:c>
      <x:c r="BT53" s="73" t="str">
        <x:f>IF(C53="xiaohongshu",IF(I53="save",BA53,IF(I53="discussion",BE53,IF(I53="profile_visit",BC53,IF(I53="dm",BD53,IF(OR(I53="product_question",I53="trial_intent"),BF53,""))))),IF(I53="save",BK53,IF(I53="discussion",BH53,IF(OR(I53="profile_visit",I53="dm"),BI53,IF(I53="link_click",BJ53,IF(OR(I53="product_question",I53="trial_intent"),BL53,""))))))</x:f>
      </x:c>
      <x:c r="BU53" s="73" t="str">
        <x:f>IF(C53="xiaohongshu",BF53,BL53)</x:f>
      </x:c>
      <x:c r="BV53" s="65" t="str">
        <x:f>IF(COUNT(BQ53,AV53)&lt;2,"unknown",IF(BQ53/AV53-1&gt;=0.2,"high",IF(BQ53/AV53-1&lt;=-0.2,"low","normal")))</x:f>
        <x:v>unknown</x:v>
      </x:c>
      <x:c r="BW53" s="65" t="str">
        <x:f>IF(COUNT(BR53,AW53)&lt;2,"unknown",IF(BR53/AW53-1&gt;=0.2,"high",IF(BR53/AW53-1&lt;=-0.2,"low","normal")))</x:f>
        <x:v>unknown</x:v>
      </x:c>
      <x:c r="BX53" s="65" t="str">
        <x:f>IF(COUNT(BS53,AX53)&lt;2,"unknown",IF(BS53/AX53-1&gt;=0.2,"high",IF(BS53/AX53-1&lt;=-0.2,"low","normal")))</x:f>
        <x:v>unknown</x:v>
      </x:c>
      <x:c r="BY53" s="65" t="str">
        <x:f>IF(COUNT(BT53,AY53)&lt;2,"unknown",IF(BT53/AY53-1&gt;=0.2,"high",IF(BT53/AY53-1&lt;=-0.2,"low","normal")))</x:f>
        <x:v>unknown</x:v>
      </x:c>
      <x:c r="BZ53" s="65" t="str">
        <x:f>IF(COUNT(BU53,AZ53)&lt;2,"unknown",IF(BU53/AZ53-1&gt;=0.2,"high",IF(BU53/AZ53-1&lt;=-0.2,"low","normal")))</x:f>
        <x:v>unknown</x:v>
      </x:c>
      <x:c r="CA53" s="65" t="str">
        <x:f>IF(T53&lt;&gt;"complete","pending",IF(OR(L53&lt;&gt;"pure",U53="true",COUNT(BM53,AT53)&lt;2,AND(AC53&lt;&gt;"",COUNT(BO53,AU53)&lt;2)),"not_attributable","attributable"))</x:f>
        <x:v>pending</x:v>
      </x:c>
      <x:c r="CB53" s="65" t="str">
        <x:f>IF(T53&lt;&gt;"complete","not_evaluated",IF(COUNT(BM53,AT53)&lt;2,"insufficient_data",IF(AND(AC53&lt;&gt;"",COUNT(BP53)=1,BP53&lt;=-0.2),"guardrail_fail",IF(AND(CA53="not_attributable",OR(BV53="high",BN53&gt;=0.2)),"watchlist",IF(CA53&lt;&gt;"attributable","insufficient_data",IF(BN53&gt;=0.2,"win",IF(BN53&lt;=-0.2,"loss","inconclusive")))))))</x:f>
        <x:v>not_evaluated</x:v>
      </x:c>
      <x:c r="CC53" s="65" t="str">
        <x:f>IF(T53&lt;&gt;"complete","COLLECT_MORE_DATA",IF(COUNT(BM53,AT53)&lt;2,"FIX_TRACKING",IF(CB53="guardrail_fail","STOP_VARIANT_GUARDRAIL",IF(CB53="watchlist","WATCHLIST_ONLY",IF(AND(BV53="high",BY53="low"),"KEEP_HOOK_REWRITE_CTA",IF(AND(BW53="high",BX53="low"),"KEEP_STRUCTURE_CHANGE_DISCUSSION_ANGLE",IF(AND(BX53="high",BZ53="low"),"DOWNWEIGHT_TEMPLATE",IF(CB53="win","RETEST_WINNER",IF(CB53="loss","RETURN_TO_BASELINE","COLLECT_MORE_DATA")))))))))</x:f>
        <x:v>COLLECT_MORE_DATA</x:v>
      </x:c>
      <x:c r="CD53" s="75"/>
    </x:row>
    <x:row r="54">
      <x:c r="A54" s="68"/>
      <x:c r="B54" s="69"/>
      <x:c r="C54" s="68"/>
      <x:c r="D54" s="68"/>
      <x:c r="E54" s="68"/>
      <x:c r="F54" s="68"/>
      <x:c r="G54" s="68"/>
      <x:c r="H54" s="70"/>
      <x:c r="I54" s="68"/>
      <x:c r="J54" s="68"/>
      <x:c r="K54" s="68"/>
      <x:c r="L54" s="71" t="str">
        <x:f>IF(K54="","unknown",IF(K54=0,"baseline",IF(K54=1,"pure","mixed")))</x:f>
        <x:v>unknown</x:v>
      </x:c>
      <x:c r="M54" s="68"/>
      <x:c r="N54" s="68"/>
      <x:c r="O54" s="68"/>
      <x:c r="P54" s="68"/>
      <x:c r="Q54" s="68"/>
      <x:c r="R54" s="68"/>
      <x:c r="S54" s="68"/>
      <x:c r="T54" s="68"/>
      <x:c r="U54" s="68"/>
      <x:c r="V54" s="68"/>
      <x:c r="W54" s="68"/>
      <x:c r="X54" s="68"/>
      <x:c r="Y54" s="68"/>
      <x:c r="Z54" s="68"/>
      <x:c r="AA54" s="68"/>
      <x:c r="AB54" s="68"/>
      <x:c r="AC54" s="68"/>
      <x:c r="AD54" s="70"/>
      <x:c r="AE54" s="70"/>
      <x:c r="AF54" s="70"/>
      <x:c r="AG54" s="70"/>
      <x:c r="AH54" s="70"/>
      <x:c r="AI54" s="70"/>
      <x:c r="AJ54" s="70"/>
      <x:c r="AK54" s="70"/>
      <x:c r="AL54" s="70"/>
      <x:c r="AM54" s="70"/>
      <x:c r="AN54" s="70"/>
      <x:c r="AO54" s="70"/>
      <x:c r="AP54" s="70"/>
      <x:c r="AQ54" s="70"/>
      <x:c r="AR54" s="70"/>
      <x:c r="AS54" s="70"/>
      <x:c r="AT54" s="72"/>
      <x:c r="AU54" s="72"/>
      <x:c r="AV54" s="72"/>
      <x:c r="AW54" s="72"/>
      <x:c r="AX54" s="72"/>
      <x:c r="AY54" s="72"/>
      <x:c r="AZ54" s="72"/>
      <x:c r="BA54" s="73" t="str">
        <x:f>IF(C54="xiaohongshu",IF(COUNT(AF54,AE54)&lt;2,"",IFERROR(AF54/AE54,"")),"")</x:f>
      </x:c>
      <x:c r="BB54" s="73" t="str">
        <x:f>IF(C54="xiaohongshu",IF(COUNT(AG54,AE54)&lt;2,"",IFERROR(AG54/AE54,"")),"")</x:f>
      </x:c>
      <x:c r="BC54" s="73" t="str">
        <x:f>IF(C54="xiaohongshu",IF(COUNT(AN54,AE54)&lt;2,"",IFERROR(AN54/AE54,"")),"")</x:f>
      </x:c>
      <x:c r="BD54" s="73" t="str">
        <x:f>IF(C54="xiaohongshu",IF(COUNT(AQ54,AE54)&lt;2,"",IFERROR(AQ54/AE54,"")),"")</x:f>
      </x:c>
      <x:c r="BE54" s="73" t="str">
        <x:f>IF(C54="xiaohongshu",IF(COUNT(AI54,AE54)&lt;2,"",IFERROR(AI54/AE54,"")),"")</x:f>
      </x:c>
      <x:c r="BF54" s="73" t="str">
        <x:f>IF(C54="xiaohongshu",IF(OR(COUNT(AE54)=0,COUNT(AR54,AS54)=0),"",IFERROR((AR54+AS54)/AE54,"")),"")</x:f>
      </x:c>
      <x:c r="BG54" s="73" t="str">
        <x:f>IF(C54="x",IF(COUNT(AD54)=0,"",IF(COUNT(AM54)=1,IFERROR(AM54/AD54,""),IF(COUNT(AH54,AI54,AK54,AL54)=0,"",IFERROR(SUM(AH54,AI54,AK54,AL54)/AD54,"")))),"")</x:f>
      </x:c>
      <x:c r="BH54" s="73" t="str">
        <x:f>IF(C54="x",IF(COUNT(AJ54,AD54)&lt;2,"",IFERROR(AJ54/AD54,"")),"")</x:f>
      </x:c>
      <x:c r="BI54" s="73" t="str">
        <x:f>IF(C54="x",IF(COUNT(AO54,AD54)&lt;2,"",IFERROR(AO54/AD54,"")),"")</x:f>
      </x:c>
      <x:c r="BJ54" s="73" t="str">
        <x:f>IF(C54="x",IF(COUNT(AP54,AD54)&lt;2,"",IFERROR(AP54/AD54,"")),"")</x:f>
      </x:c>
      <x:c r="BK54" s="73" t="str">
        <x:f>IF(C54="x",IF(COUNT(AL54,AD54)&lt;2,"",IFERROR(AL54/AD54,"")),"")</x:f>
      </x:c>
      <x:c r="BL54" s="73" t="str">
        <x:f>IF(C54="x",IF(OR(COUNT(AD54)=0,COUNT(AR54,AS54)=0),"",IFERROR((AR54+AS54)/AD54,"")),"")</x:f>
      </x:c>
      <x:c r="BM54" s="73" t="str">
        <x:f>IF(AB54="xhs_save_rate",BA54,IF(AB54="xhs_completion_rate",BB54,IF(AB54="xhs_profile_visit_rate",BC54,IF(AB54="xhs_dm_intent_rate",BD54,IF(AB54="xhs_discussion_rate",BE54,IF(AB54="xhs_product_relevance_rate",BF54,IF(AB54="x_first_screen_engaged_rate_proxy",BG54,IF(AB54="x_qualified_reply_rate",BH54,IF(AB54="x_profile_click_rate",BI54,IF(AB54="x_link_intent_rate",BJ54,IF(AB54="x_bookmark_rate",BK54,IF(AB54="x_product_relevance_rate",BL54,""))))))))))))</x:f>
      </x:c>
      <x:c r="BN54" s="73" t="str">
        <x:f>IFERROR(BM54/AT54-1,"")</x:f>
      </x:c>
      <x:c r="BO54" s="73" t="str">
        <x:f>IF(AC54="","",IF(AC54="xhs_save_rate",BA54,IF(AC54="xhs_completion_rate",BB54,IF(AC54="xhs_profile_visit_rate",BC54,IF(AC54="xhs_dm_intent_rate",BD54,IF(AC54="xhs_discussion_rate",BE54,IF(AC54="xhs_product_relevance_rate",BF54,IF(AC54="x_first_screen_engaged_rate_proxy",BG54,IF(AC54="x_qualified_reply_rate",BH54,IF(AC54="x_profile_click_rate",BI54,IF(AC54="x_link_intent_rate",BJ54,IF(AC54="x_bookmark_rate",BK54,IF(AC54="x_product_relevance_rate",BL54,"")))))))))))))</x:f>
      </x:c>
      <x:c r="BP54" s="73" t="str">
        <x:f>IFERROR(BO54/AU54-1,"")</x:f>
      </x:c>
      <x:c r="BQ54" s="74" t="str">
        <x:f>IF(COUNT(AD54)=0,"",AD54)</x:f>
      </x:c>
      <x:c r="BR54" s="73" t="str">
        <x:f>IF(C54="xiaohongshu",IF(COUNT(BA54,BB54)=2,AVERAGE(BA54,BB54),IF(COUNT(BA54)=1,BA54,BB54)),BK54)</x:f>
      </x:c>
      <x:c r="BS54" s="73" t="str">
        <x:f>IF(C54="xiaohongshu",BE54,BH54)</x:f>
      </x:c>
      <x:c r="BT54" s="73" t="str">
        <x:f>IF(C54="xiaohongshu",IF(I54="save",BA54,IF(I54="discussion",BE54,IF(I54="profile_visit",BC54,IF(I54="dm",BD54,IF(OR(I54="product_question",I54="trial_intent"),BF54,""))))),IF(I54="save",BK54,IF(I54="discussion",BH54,IF(OR(I54="profile_visit",I54="dm"),BI54,IF(I54="link_click",BJ54,IF(OR(I54="product_question",I54="trial_intent"),BL54,""))))))</x:f>
      </x:c>
      <x:c r="BU54" s="73" t="str">
        <x:f>IF(C54="xiaohongshu",BF54,BL54)</x:f>
      </x:c>
      <x:c r="BV54" s="65" t="str">
        <x:f>IF(COUNT(BQ54,AV54)&lt;2,"unknown",IF(BQ54/AV54-1&gt;=0.2,"high",IF(BQ54/AV54-1&lt;=-0.2,"low","normal")))</x:f>
        <x:v>unknown</x:v>
      </x:c>
      <x:c r="BW54" s="65" t="str">
        <x:f>IF(COUNT(BR54,AW54)&lt;2,"unknown",IF(BR54/AW54-1&gt;=0.2,"high",IF(BR54/AW54-1&lt;=-0.2,"low","normal")))</x:f>
        <x:v>unknown</x:v>
      </x:c>
      <x:c r="BX54" s="65" t="str">
        <x:f>IF(COUNT(BS54,AX54)&lt;2,"unknown",IF(BS54/AX54-1&gt;=0.2,"high",IF(BS54/AX54-1&lt;=-0.2,"low","normal")))</x:f>
        <x:v>unknown</x:v>
      </x:c>
      <x:c r="BY54" s="65" t="str">
        <x:f>IF(COUNT(BT54,AY54)&lt;2,"unknown",IF(BT54/AY54-1&gt;=0.2,"high",IF(BT54/AY54-1&lt;=-0.2,"low","normal")))</x:f>
        <x:v>unknown</x:v>
      </x:c>
      <x:c r="BZ54" s="65" t="str">
        <x:f>IF(COUNT(BU54,AZ54)&lt;2,"unknown",IF(BU54/AZ54-1&gt;=0.2,"high",IF(BU54/AZ54-1&lt;=-0.2,"low","normal")))</x:f>
        <x:v>unknown</x:v>
      </x:c>
      <x:c r="CA54" s="65" t="str">
        <x:f>IF(T54&lt;&gt;"complete","pending",IF(OR(L54&lt;&gt;"pure",U54="true",COUNT(BM54,AT54)&lt;2,AND(AC54&lt;&gt;"",COUNT(BO54,AU54)&lt;2)),"not_attributable","attributable"))</x:f>
        <x:v>pending</x:v>
      </x:c>
      <x:c r="CB54" s="65" t="str">
        <x:f>IF(T54&lt;&gt;"complete","not_evaluated",IF(COUNT(BM54,AT54)&lt;2,"insufficient_data",IF(AND(AC54&lt;&gt;"",COUNT(BP54)=1,BP54&lt;=-0.2),"guardrail_fail",IF(AND(CA54="not_attributable",OR(BV54="high",BN54&gt;=0.2)),"watchlist",IF(CA54&lt;&gt;"attributable","insufficient_data",IF(BN54&gt;=0.2,"win",IF(BN54&lt;=-0.2,"loss","inconclusive")))))))</x:f>
        <x:v>not_evaluated</x:v>
      </x:c>
      <x:c r="CC54" s="65" t="str">
        <x:f>IF(T54&lt;&gt;"complete","COLLECT_MORE_DATA",IF(COUNT(BM54,AT54)&lt;2,"FIX_TRACKING",IF(CB54="guardrail_fail","STOP_VARIANT_GUARDRAIL",IF(CB54="watchlist","WATCHLIST_ONLY",IF(AND(BV54="high",BY54="low"),"KEEP_HOOK_REWRITE_CTA",IF(AND(BW54="high",BX54="low"),"KEEP_STRUCTURE_CHANGE_DISCUSSION_ANGLE",IF(AND(BX54="high",BZ54="low"),"DOWNWEIGHT_TEMPLATE",IF(CB54="win","RETEST_WINNER",IF(CB54="loss","RETURN_TO_BASELINE","COLLECT_MORE_DATA")))))))))</x:f>
        <x:v>COLLECT_MORE_DATA</x:v>
      </x:c>
      <x:c r="CD54" s="75"/>
    </x:row>
    <x:row r="55">
      <x:c r="A55" s="68"/>
      <x:c r="B55" s="69"/>
      <x:c r="C55" s="68"/>
      <x:c r="D55" s="68"/>
      <x:c r="E55" s="68"/>
      <x:c r="F55" s="68"/>
      <x:c r="G55" s="68"/>
      <x:c r="H55" s="70"/>
      <x:c r="I55" s="68"/>
      <x:c r="J55" s="68"/>
      <x:c r="K55" s="68"/>
      <x:c r="L55" s="71" t="str">
        <x:f>IF(K55="","unknown",IF(K55=0,"baseline",IF(K55=1,"pure","mixed")))</x:f>
        <x:v>unknown</x:v>
      </x:c>
      <x:c r="M55" s="68"/>
      <x:c r="N55" s="68"/>
      <x:c r="O55" s="68"/>
      <x:c r="P55" s="68"/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  <x:c r="AA55" s="68"/>
      <x:c r="AB55" s="68"/>
      <x:c r="AC55" s="68"/>
      <x:c r="AD55" s="70"/>
      <x:c r="AE55" s="70"/>
      <x:c r="AF55" s="70"/>
      <x:c r="AG55" s="70"/>
      <x:c r="AH55" s="70"/>
      <x:c r="AI55" s="70"/>
      <x:c r="AJ55" s="70"/>
      <x:c r="AK55" s="70"/>
      <x:c r="AL55" s="70"/>
      <x:c r="AM55" s="70"/>
      <x:c r="AN55" s="70"/>
      <x:c r="AO55" s="70"/>
      <x:c r="AP55" s="70"/>
      <x:c r="AQ55" s="70"/>
      <x:c r="AR55" s="70"/>
      <x:c r="AS55" s="70"/>
      <x:c r="AT55" s="72"/>
      <x:c r="AU55" s="72"/>
      <x:c r="AV55" s="72"/>
      <x:c r="AW55" s="72"/>
      <x:c r="AX55" s="72"/>
      <x:c r="AY55" s="72"/>
      <x:c r="AZ55" s="72"/>
      <x:c r="BA55" s="73" t="str">
        <x:f>IF(C55="xiaohongshu",IF(COUNT(AF55,AE55)&lt;2,"",IFERROR(AF55/AE55,"")),"")</x:f>
      </x:c>
      <x:c r="BB55" s="73" t="str">
        <x:f>IF(C55="xiaohongshu",IF(COUNT(AG55,AE55)&lt;2,"",IFERROR(AG55/AE55,"")),"")</x:f>
      </x:c>
      <x:c r="BC55" s="73" t="str">
        <x:f>IF(C55="xiaohongshu",IF(COUNT(AN55,AE55)&lt;2,"",IFERROR(AN55/AE55,"")),"")</x:f>
      </x:c>
      <x:c r="BD55" s="73" t="str">
        <x:f>IF(C55="xiaohongshu",IF(COUNT(AQ55,AE55)&lt;2,"",IFERROR(AQ55/AE55,"")),"")</x:f>
      </x:c>
      <x:c r="BE55" s="73" t="str">
        <x:f>IF(C55="xiaohongshu",IF(COUNT(AI55,AE55)&lt;2,"",IFERROR(AI55/AE55,"")),"")</x:f>
      </x:c>
      <x:c r="BF55" s="73" t="str">
        <x:f>IF(C55="xiaohongshu",IF(OR(COUNT(AE55)=0,COUNT(AR55,AS55)=0),"",IFERROR((AR55+AS55)/AE55,"")),"")</x:f>
      </x:c>
      <x:c r="BG55" s="73" t="str">
        <x:f>IF(C55="x",IF(COUNT(AD55)=0,"",IF(COUNT(AM55)=1,IFERROR(AM55/AD55,""),IF(COUNT(AH55,AI55,AK55,AL55)=0,"",IFERROR(SUM(AH55,AI55,AK55,AL55)/AD55,"")))),"")</x:f>
      </x:c>
      <x:c r="BH55" s="73" t="str">
        <x:f>IF(C55="x",IF(COUNT(AJ55,AD55)&lt;2,"",IFERROR(AJ55/AD55,"")),"")</x:f>
      </x:c>
      <x:c r="BI55" s="73" t="str">
        <x:f>IF(C55="x",IF(COUNT(AO55,AD55)&lt;2,"",IFERROR(AO55/AD55,"")),"")</x:f>
      </x:c>
      <x:c r="BJ55" s="73" t="str">
        <x:f>IF(C55="x",IF(COUNT(AP55,AD55)&lt;2,"",IFERROR(AP55/AD55,"")),"")</x:f>
      </x:c>
      <x:c r="BK55" s="73" t="str">
        <x:f>IF(C55="x",IF(COUNT(AL55,AD55)&lt;2,"",IFERROR(AL55/AD55,"")),"")</x:f>
      </x:c>
      <x:c r="BL55" s="73" t="str">
        <x:f>IF(C55="x",IF(OR(COUNT(AD55)=0,COUNT(AR55,AS55)=0),"",IFERROR((AR55+AS55)/AD55,"")),"")</x:f>
      </x:c>
      <x:c r="BM55" s="73" t="str">
        <x:f>IF(AB55="xhs_save_rate",BA55,IF(AB55="xhs_completion_rate",BB55,IF(AB55="xhs_profile_visit_rate",BC55,IF(AB55="xhs_dm_intent_rate",BD55,IF(AB55="xhs_discussion_rate",BE55,IF(AB55="xhs_product_relevance_rate",BF55,IF(AB55="x_first_screen_engaged_rate_proxy",BG55,IF(AB55="x_qualified_reply_rate",BH55,IF(AB55="x_profile_click_rate",BI55,IF(AB55="x_link_intent_rate",BJ55,IF(AB55="x_bookmark_rate",BK55,IF(AB55="x_product_relevance_rate",BL55,""))))))))))))</x:f>
      </x:c>
      <x:c r="BN55" s="73" t="str">
        <x:f>IFERROR(BM55/AT55-1,"")</x:f>
      </x:c>
      <x:c r="BO55" s="73" t="str">
        <x:f>IF(AC55="","",IF(AC55="xhs_save_rate",BA55,IF(AC55="xhs_completion_rate",BB55,IF(AC55="xhs_profile_visit_rate",BC55,IF(AC55="xhs_dm_intent_rate",BD55,IF(AC55="xhs_discussion_rate",BE55,IF(AC55="xhs_product_relevance_rate",BF55,IF(AC55="x_first_screen_engaged_rate_proxy",BG55,IF(AC55="x_qualified_reply_rate",BH55,IF(AC55="x_profile_click_rate",BI55,IF(AC55="x_link_intent_rate",BJ55,IF(AC55="x_bookmark_rate",BK55,IF(AC55="x_product_relevance_rate",BL55,"")))))))))))))</x:f>
      </x:c>
      <x:c r="BP55" s="73" t="str">
        <x:f>IFERROR(BO55/AU55-1,"")</x:f>
      </x:c>
      <x:c r="BQ55" s="74" t="str">
        <x:f>IF(COUNT(AD55)=0,"",AD55)</x:f>
      </x:c>
      <x:c r="BR55" s="73" t="str">
        <x:f>IF(C55="xiaohongshu",IF(COUNT(BA55,BB55)=2,AVERAGE(BA55,BB55),IF(COUNT(BA55)=1,BA55,BB55)),BK55)</x:f>
      </x:c>
      <x:c r="BS55" s="73" t="str">
        <x:f>IF(C55="xiaohongshu",BE55,BH55)</x:f>
      </x:c>
      <x:c r="BT55" s="73" t="str">
        <x:f>IF(C55="xiaohongshu",IF(I55="save",BA55,IF(I55="discussion",BE55,IF(I55="profile_visit",BC55,IF(I55="dm",BD55,IF(OR(I55="product_question",I55="trial_intent"),BF55,""))))),IF(I55="save",BK55,IF(I55="discussion",BH55,IF(OR(I55="profile_visit",I55="dm"),BI55,IF(I55="link_click",BJ55,IF(OR(I55="product_question",I55="trial_intent"),BL55,""))))))</x:f>
      </x:c>
      <x:c r="BU55" s="73" t="str">
        <x:f>IF(C55="xiaohongshu",BF55,BL55)</x:f>
      </x:c>
      <x:c r="BV55" s="65" t="str">
        <x:f>IF(COUNT(BQ55,AV55)&lt;2,"unknown",IF(BQ55/AV55-1&gt;=0.2,"high",IF(BQ55/AV55-1&lt;=-0.2,"low","normal")))</x:f>
        <x:v>unknown</x:v>
      </x:c>
      <x:c r="BW55" s="65" t="str">
        <x:f>IF(COUNT(BR55,AW55)&lt;2,"unknown",IF(BR55/AW55-1&gt;=0.2,"high",IF(BR55/AW55-1&lt;=-0.2,"low","normal")))</x:f>
        <x:v>unknown</x:v>
      </x:c>
      <x:c r="BX55" s="65" t="str">
        <x:f>IF(COUNT(BS55,AX55)&lt;2,"unknown",IF(BS55/AX55-1&gt;=0.2,"high",IF(BS55/AX55-1&lt;=-0.2,"low","normal")))</x:f>
        <x:v>unknown</x:v>
      </x:c>
      <x:c r="BY55" s="65" t="str">
        <x:f>IF(COUNT(BT55,AY55)&lt;2,"unknown",IF(BT55/AY55-1&gt;=0.2,"high",IF(BT55/AY55-1&lt;=-0.2,"low","normal")))</x:f>
        <x:v>unknown</x:v>
      </x:c>
      <x:c r="BZ55" s="65" t="str">
        <x:f>IF(COUNT(BU55,AZ55)&lt;2,"unknown",IF(BU55/AZ55-1&gt;=0.2,"high",IF(BU55/AZ55-1&lt;=-0.2,"low","normal")))</x:f>
        <x:v>unknown</x:v>
      </x:c>
      <x:c r="CA55" s="65" t="str">
        <x:f>IF(T55&lt;&gt;"complete","pending",IF(OR(L55&lt;&gt;"pure",U55="true",COUNT(BM55,AT55)&lt;2,AND(AC55&lt;&gt;"",COUNT(BO55,AU55)&lt;2)),"not_attributable","attributable"))</x:f>
        <x:v>pending</x:v>
      </x:c>
      <x:c r="CB55" s="65" t="str">
        <x:f>IF(T55&lt;&gt;"complete","not_evaluated",IF(COUNT(BM55,AT55)&lt;2,"insufficient_data",IF(AND(AC55&lt;&gt;"",COUNT(BP55)=1,BP55&lt;=-0.2),"guardrail_fail",IF(AND(CA55="not_attributable",OR(BV55="high",BN55&gt;=0.2)),"watchlist",IF(CA55&lt;&gt;"attributable","insufficient_data",IF(BN55&gt;=0.2,"win",IF(BN55&lt;=-0.2,"loss","inconclusive")))))))</x:f>
        <x:v>not_evaluated</x:v>
      </x:c>
      <x:c r="CC55" s="65" t="str">
        <x:f>IF(T55&lt;&gt;"complete","COLLECT_MORE_DATA",IF(COUNT(BM55,AT55)&lt;2,"FIX_TRACKING",IF(CB55="guardrail_fail","STOP_VARIANT_GUARDRAIL",IF(CB55="watchlist","WATCHLIST_ONLY",IF(AND(BV55="high",BY55="low"),"KEEP_HOOK_REWRITE_CTA",IF(AND(BW55="high",BX55="low"),"KEEP_STRUCTURE_CHANGE_DISCUSSION_ANGLE",IF(AND(BX55="high",BZ55="low"),"DOWNWEIGHT_TEMPLATE",IF(CB55="win","RETEST_WINNER",IF(CB55="loss","RETURN_TO_BASELINE","COLLECT_MORE_DATA")))))))))</x:f>
        <x:v>COLLECT_MORE_DATA</x:v>
      </x:c>
      <x:c r="CD55" s="75"/>
    </x:row>
    <x:row r="56">
      <x:c r="A56" s="68"/>
      <x:c r="B56" s="69"/>
      <x:c r="C56" s="68"/>
      <x:c r="D56" s="68"/>
      <x:c r="E56" s="68"/>
      <x:c r="F56" s="68"/>
      <x:c r="G56" s="68"/>
      <x:c r="H56" s="70"/>
      <x:c r="I56" s="68"/>
      <x:c r="J56" s="68"/>
      <x:c r="K56" s="68"/>
      <x:c r="L56" s="71" t="str">
        <x:f>IF(K56="","unknown",IF(K56=0,"baseline",IF(K56=1,"pure","mixed")))</x:f>
        <x:v>unknown</x:v>
      </x:c>
      <x:c r="M56" s="68"/>
      <x:c r="N56" s="68"/>
      <x:c r="O56" s="68"/>
      <x:c r="P56" s="68"/>
      <x:c r="Q56" s="68"/>
      <x:c r="R56" s="68"/>
      <x:c r="S56" s="68"/>
      <x:c r="T56" s="68"/>
      <x:c r="U56" s="68"/>
      <x:c r="V56" s="68"/>
      <x:c r="W56" s="68"/>
      <x:c r="X56" s="68"/>
      <x:c r="Y56" s="68"/>
      <x:c r="Z56" s="68"/>
      <x:c r="AA56" s="68"/>
      <x:c r="AB56" s="68"/>
      <x:c r="AC56" s="68"/>
      <x:c r="AD56" s="70"/>
      <x:c r="AE56" s="70"/>
      <x:c r="AF56" s="70"/>
      <x:c r="AG56" s="70"/>
      <x:c r="AH56" s="70"/>
      <x:c r="AI56" s="70"/>
      <x:c r="AJ56" s="70"/>
      <x:c r="AK56" s="70"/>
      <x:c r="AL56" s="70"/>
      <x:c r="AM56" s="70"/>
      <x:c r="AN56" s="70"/>
      <x:c r="AO56" s="70"/>
      <x:c r="AP56" s="70"/>
      <x:c r="AQ56" s="70"/>
      <x:c r="AR56" s="70"/>
      <x:c r="AS56" s="70"/>
      <x:c r="AT56" s="72"/>
      <x:c r="AU56" s="72"/>
      <x:c r="AV56" s="72"/>
      <x:c r="AW56" s="72"/>
      <x:c r="AX56" s="72"/>
      <x:c r="AY56" s="72"/>
      <x:c r="AZ56" s="72"/>
      <x:c r="BA56" s="73" t="str">
        <x:f>IF(C56="xiaohongshu",IF(COUNT(AF56,AE56)&lt;2,"",IFERROR(AF56/AE56,"")),"")</x:f>
      </x:c>
      <x:c r="BB56" s="73" t="str">
        <x:f>IF(C56="xiaohongshu",IF(COUNT(AG56,AE56)&lt;2,"",IFERROR(AG56/AE56,"")),"")</x:f>
      </x:c>
      <x:c r="BC56" s="73" t="str">
        <x:f>IF(C56="xiaohongshu",IF(COUNT(AN56,AE56)&lt;2,"",IFERROR(AN56/AE56,"")),"")</x:f>
      </x:c>
      <x:c r="BD56" s="73" t="str">
        <x:f>IF(C56="xiaohongshu",IF(COUNT(AQ56,AE56)&lt;2,"",IFERROR(AQ56/AE56,"")),"")</x:f>
      </x:c>
      <x:c r="BE56" s="73" t="str">
        <x:f>IF(C56="xiaohongshu",IF(COUNT(AI56,AE56)&lt;2,"",IFERROR(AI56/AE56,"")),"")</x:f>
      </x:c>
      <x:c r="BF56" s="73" t="str">
        <x:f>IF(C56="xiaohongshu",IF(OR(COUNT(AE56)=0,COUNT(AR56,AS56)=0),"",IFERROR((AR56+AS56)/AE56,"")),"")</x:f>
      </x:c>
      <x:c r="BG56" s="73" t="str">
        <x:f>IF(C56="x",IF(COUNT(AD56)=0,"",IF(COUNT(AM56)=1,IFERROR(AM56/AD56,""),IF(COUNT(AH56,AI56,AK56,AL56)=0,"",IFERROR(SUM(AH56,AI56,AK56,AL56)/AD56,"")))),"")</x:f>
      </x:c>
      <x:c r="BH56" s="73" t="str">
        <x:f>IF(C56="x",IF(COUNT(AJ56,AD56)&lt;2,"",IFERROR(AJ56/AD56,"")),"")</x:f>
      </x:c>
      <x:c r="BI56" s="73" t="str">
        <x:f>IF(C56="x",IF(COUNT(AO56,AD56)&lt;2,"",IFERROR(AO56/AD56,"")),"")</x:f>
      </x:c>
      <x:c r="BJ56" s="73" t="str">
        <x:f>IF(C56="x",IF(COUNT(AP56,AD56)&lt;2,"",IFERROR(AP56/AD56,"")),"")</x:f>
      </x:c>
      <x:c r="BK56" s="73" t="str">
        <x:f>IF(C56="x",IF(COUNT(AL56,AD56)&lt;2,"",IFERROR(AL56/AD56,"")),"")</x:f>
      </x:c>
      <x:c r="BL56" s="73" t="str">
        <x:f>IF(C56="x",IF(OR(COUNT(AD56)=0,COUNT(AR56,AS56)=0),"",IFERROR((AR56+AS56)/AD56,"")),"")</x:f>
      </x:c>
      <x:c r="BM56" s="73" t="str">
        <x:f>IF(AB56="xhs_save_rate",BA56,IF(AB56="xhs_completion_rate",BB56,IF(AB56="xhs_profile_visit_rate",BC56,IF(AB56="xhs_dm_intent_rate",BD56,IF(AB56="xhs_discussion_rate",BE56,IF(AB56="xhs_product_relevance_rate",BF56,IF(AB56="x_first_screen_engaged_rate_proxy",BG56,IF(AB56="x_qualified_reply_rate",BH56,IF(AB56="x_profile_click_rate",BI56,IF(AB56="x_link_intent_rate",BJ56,IF(AB56="x_bookmark_rate",BK56,IF(AB56="x_product_relevance_rate",BL56,""))))))))))))</x:f>
      </x:c>
      <x:c r="BN56" s="73" t="str">
        <x:f>IFERROR(BM56/AT56-1,"")</x:f>
      </x:c>
      <x:c r="BO56" s="73" t="str">
        <x:f>IF(AC56="","",IF(AC56="xhs_save_rate",BA56,IF(AC56="xhs_completion_rate",BB56,IF(AC56="xhs_profile_visit_rate",BC56,IF(AC56="xhs_dm_intent_rate",BD56,IF(AC56="xhs_discussion_rate",BE56,IF(AC56="xhs_product_relevance_rate",BF56,IF(AC56="x_first_screen_engaged_rate_proxy",BG56,IF(AC56="x_qualified_reply_rate",BH56,IF(AC56="x_profile_click_rate",BI56,IF(AC56="x_link_intent_rate",BJ56,IF(AC56="x_bookmark_rate",BK56,IF(AC56="x_product_relevance_rate",BL56,"")))))))))))))</x:f>
      </x:c>
      <x:c r="BP56" s="73" t="str">
        <x:f>IFERROR(BO56/AU56-1,"")</x:f>
      </x:c>
      <x:c r="BQ56" s="74" t="str">
        <x:f>IF(COUNT(AD56)=0,"",AD56)</x:f>
      </x:c>
      <x:c r="BR56" s="73" t="str">
        <x:f>IF(C56="xiaohongshu",IF(COUNT(BA56,BB56)=2,AVERAGE(BA56,BB56),IF(COUNT(BA56)=1,BA56,BB56)),BK56)</x:f>
      </x:c>
      <x:c r="BS56" s="73" t="str">
        <x:f>IF(C56="xiaohongshu",BE56,BH56)</x:f>
      </x:c>
      <x:c r="BT56" s="73" t="str">
        <x:f>IF(C56="xiaohongshu",IF(I56="save",BA56,IF(I56="discussion",BE56,IF(I56="profile_visit",BC56,IF(I56="dm",BD56,IF(OR(I56="product_question",I56="trial_intent"),BF56,""))))),IF(I56="save",BK56,IF(I56="discussion",BH56,IF(OR(I56="profile_visit",I56="dm"),BI56,IF(I56="link_click",BJ56,IF(OR(I56="product_question",I56="trial_intent"),BL56,""))))))</x:f>
      </x:c>
      <x:c r="BU56" s="73" t="str">
        <x:f>IF(C56="xiaohongshu",BF56,BL56)</x:f>
      </x:c>
      <x:c r="BV56" s="65" t="str">
        <x:f>IF(COUNT(BQ56,AV56)&lt;2,"unknown",IF(BQ56/AV56-1&gt;=0.2,"high",IF(BQ56/AV56-1&lt;=-0.2,"low","normal")))</x:f>
        <x:v>unknown</x:v>
      </x:c>
      <x:c r="BW56" s="65" t="str">
        <x:f>IF(COUNT(BR56,AW56)&lt;2,"unknown",IF(BR56/AW56-1&gt;=0.2,"high",IF(BR56/AW56-1&lt;=-0.2,"low","normal")))</x:f>
        <x:v>unknown</x:v>
      </x:c>
      <x:c r="BX56" s="65" t="str">
        <x:f>IF(COUNT(BS56,AX56)&lt;2,"unknown",IF(BS56/AX56-1&gt;=0.2,"high",IF(BS56/AX56-1&lt;=-0.2,"low","normal")))</x:f>
        <x:v>unknown</x:v>
      </x:c>
      <x:c r="BY56" s="65" t="str">
        <x:f>IF(COUNT(BT56,AY56)&lt;2,"unknown",IF(BT56/AY56-1&gt;=0.2,"high",IF(BT56/AY56-1&lt;=-0.2,"low","normal")))</x:f>
        <x:v>unknown</x:v>
      </x:c>
      <x:c r="BZ56" s="65" t="str">
        <x:f>IF(COUNT(BU56,AZ56)&lt;2,"unknown",IF(BU56/AZ56-1&gt;=0.2,"high",IF(BU56/AZ56-1&lt;=-0.2,"low","normal")))</x:f>
        <x:v>unknown</x:v>
      </x:c>
      <x:c r="CA56" s="65" t="str">
        <x:f>IF(T56&lt;&gt;"complete","pending",IF(OR(L56&lt;&gt;"pure",U56="true",COUNT(BM56,AT56)&lt;2,AND(AC56&lt;&gt;"",COUNT(BO56,AU56)&lt;2)),"not_attributable","attributable"))</x:f>
        <x:v>pending</x:v>
      </x:c>
      <x:c r="CB56" s="65" t="str">
        <x:f>IF(T56&lt;&gt;"complete","not_evaluated",IF(COUNT(BM56,AT56)&lt;2,"insufficient_data",IF(AND(AC56&lt;&gt;"",COUNT(BP56)=1,BP56&lt;=-0.2),"guardrail_fail",IF(AND(CA56="not_attributable",OR(BV56="high",BN56&gt;=0.2)),"watchlist",IF(CA56&lt;&gt;"attributable","insufficient_data",IF(BN56&gt;=0.2,"win",IF(BN56&lt;=-0.2,"loss","inconclusive")))))))</x:f>
        <x:v>not_evaluated</x:v>
      </x:c>
      <x:c r="CC56" s="65" t="str">
        <x:f>IF(T56&lt;&gt;"complete","COLLECT_MORE_DATA",IF(COUNT(BM56,AT56)&lt;2,"FIX_TRACKING",IF(CB56="guardrail_fail","STOP_VARIANT_GUARDRAIL",IF(CB56="watchlist","WATCHLIST_ONLY",IF(AND(BV56="high",BY56="low"),"KEEP_HOOK_REWRITE_CTA",IF(AND(BW56="high",BX56="low"),"KEEP_STRUCTURE_CHANGE_DISCUSSION_ANGLE",IF(AND(BX56="high",BZ56="low"),"DOWNWEIGHT_TEMPLATE",IF(CB56="win","RETEST_WINNER",IF(CB56="loss","RETURN_TO_BASELINE","COLLECT_MORE_DATA")))))))))</x:f>
        <x:v>COLLECT_MORE_DATA</x:v>
      </x:c>
      <x:c r="CD56" s="75"/>
    </x:row>
    <x:row r="57">
      <x:c r="A57" s="68"/>
      <x:c r="B57" s="69"/>
      <x:c r="C57" s="68"/>
      <x:c r="D57" s="68"/>
      <x:c r="E57" s="68"/>
      <x:c r="F57" s="68"/>
      <x:c r="G57" s="68"/>
      <x:c r="H57" s="70"/>
      <x:c r="I57" s="68"/>
      <x:c r="J57" s="68"/>
      <x:c r="K57" s="68"/>
      <x:c r="L57" s="71" t="str">
        <x:f>IF(K57="","unknown",IF(K57=0,"baseline",IF(K57=1,"pure","mixed")))</x:f>
        <x:v>unknown</x:v>
      </x:c>
      <x:c r="M57" s="68"/>
      <x:c r="N57" s="68"/>
      <x:c r="O57" s="68"/>
      <x:c r="P57" s="68"/>
      <x:c r="Q57" s="68"/>
      <x:c r="R57" s="68"/>
      <x:c r="S57" s="68"/>
      <x:c r="T57" s="68"/>
      <x:c r="U57" s="68"/>
      <x:c r="V57" s="68"/>
      <x:c r="W57" s="68"/>
      <x:c r="X57" s="68"/>
      <x:c r="Y57" s="68"/>
      <x:c r="Z57" s="68"/>
      <x:c r="AA57" s="68"/>
      <x:c r="AB57" s="68"/>
      <x:c r="AC57" s="68"/>
      <x:c r="AD57" s="70"/>
      <x:c r="AE57" s="70"/>
      <x:c r="AF57" s="70"/>
      <x:c r="AG57" s="70"/>
      <x:c r="AH57" s="70"/>
      <x:c r="AI57" s="70"/>
      <x:c r="AJ57" s="70"/>
      <x:c r="AK57" s="70"/>
      <x:c r="AL57" s="70"/>
      <x:c r="AM57" s="70"/>
      <x:c r="AN57" s="70"/>
      <x:c r="AO57" s="70"/>
      <x:c r="AP57" s="70"/>
      <x:c r="AQ57" s="70"/>
      <x:c r="AR57" s="70"/>
      <x:c r="AS57" s="70"/>
      <x:c r="AT57" s="72"/>
      <x:c r="AU57" s="72"/>
      <x:c r="AV57" s="72"/>
      <x:c r="AW57" s="72"/>
      <x:c r="AX57" s="72"/>
      <x:c r="AY57" s="72"/>
      <x:c r="AZ57" s="72"/>
      <x:c r="BA57" s="73" t="str">
        <x:f>IF(C57="xiaohongshu",IF(COUNT(AF57,AE57)&lt;2,"",IFERROR(AF57/AE57,"")),"")</x:f>
      </x:c>
      <x:c r="BB57" s="73" t="str">
        <x:f>IF(C57="xiaohongshu",IF(COUNT(AG57,AE57)&lt;2,"",IFERROR(AG57/AE57,"")),"")</x:f>
      </x:c>
      <x:c r="BC57" s="73" t="str">
        <x:f>IF(C57="xiaohongshu",IF(COUNT(AN57,AE57)&lt;2,"",IFERROR(AN57/AE57,"")),"")</x:f>
      </x:c>
      <x:c r="BD57" s="73" t="str">
        <x:f>IF(C57="xiaohongshu",IF(COUNT(AQ57,AE57)&lt;2,"",IFERROR(AQ57/AE57,"")),"")</x:f>
      </x:c>
      <x:c r="BE57" s="73" t="str">
        <x:f>IF(C57="xiaohongshu",IF(COUNT(AI57,AE57)&lt;2,"",IFERROR(AI57/AE57,"")),"")</x:f>
      </x:c>
      <x:c r="BF57" s="73" t="str">
        <x:f>IF(C57="xiaohongshu",IF(OR(COUNT(AE57)=0,COUNT(AR57,AS57)=0),"",IFERROR((AR57+AS57)/AE57,"")),"")</x:f>
      </x:c>
      <x:c r="BG57" s="73" t="str">
        <x:f>IF(C57="x",IF(COUNT(AD57)=0,"",IF(COUNT(AM57)=1,IFERROR(AM57/AD57,""),IF(COUNT(AH57,AI57,AK57,AL57)=0,"",IFERROR(SUM(AH57,AI57,AK57,AL57)/AD57,"")))),"")</x:f>
      </x:c>
      <x:c r="BH57" s="73" t="str">
        <x:f>IF(C57="x",IF(COUNT(AJ57,AD57)&lt;2,"",IFERROR(AJ57/AD57,"")),"")</x:f>
      </x:c>
      <x:c r="BI57" s="73" t="str">
        <x:f>IF(C57="x",IF(COUNT(AO57,AD57)&lt;2,"",IFERROR(AO57/AD57,"")),"")</x:f>
      </x:c>
      <x:c r="BJ57" s="73" t="str">
        <x:f>IF(C57="x",IF(COUNT(AP57,AD57)&lt;2,"",IFERROR(AP57/AD57,"")),"")</x:f>
      </x:c>
      <x:c r="BK57" s="73" t="str">
        <x:f>IF(C57="x",IF(COUNT(AL57,AD57)&lt;2,"",IFERROR(AL57/AD57,"")),"")</x:f>
      </x:c>
      <x:c r="BL57" s="73" t="str">
        <x:f>IF(C57="x",IF(OR(COUNT(AD57)=0,COUNT(AR57,AS57)=0),"",IFERROR((AR57+AS57)/AD57,"")),"")</x:f>
      </x:c>
      <x:c r="BM57" s="73" t="str">
        <x:f>IF(AB57="xhs_save_rate",BA57,IF(AB57="xhs_completion_rate",BB57,IF(AB57="xhs_profile_visit_rate",BC57,IF(AB57="xhs_dm_intent_rate",BD57,IF(AB57="xhs_discussion_rate",BE57,IF(AB57="xhs_product_relevance_rate",BF57,IF(AB57="x_first_screen_engaged_rate_proxy",BG57,IF(AB57="x_qualified_reply_rate",BH57,IF(AB57="x_profile_click_rate",BI57,IF(AB57="x_link_intent_rate",BJ57,IF(AB57="x_bookmark_rate",BK57,IF(AB57="x_product_relevance_rate",BL57,""))))))))))))</x:f>
      </x:c>
      <x:c r="BN57" s="73" t="str">
        <x:f>IFERROR(BM57/AT57-1,"")</x:f>
      </x:c>
      <x:c r="BO57" s="73" t="str">
        <x:f>IF(AC57="","",IF(AC57="xhs_save_rate",BA57,IF(AC57="xhs_completion_rate",BB57,IF(AC57="xhs_profile_visit_rate",BC57,IF(AC57="xhs_dm_intent_rate",BD57,IF(AC57="xhs_discussion_rate",BE57,IF(AC57="xhs_product_relevance_rate",BF57,IF(AC57="x_first_screen_engaged_rate_proxy",BG57,IF(AC57="x_qualified_reply_rate",BH57,IF(AC57="x_profile_click_rate",BI57,IF(AC57="x_link_intent_rate",BJ57,IF(AC57="x_bookmark_rate",BK57,IF(AC57="x_product_relevance_rate",BL57,"")))))))))))))</x:f>
      </x:c>
      <x:c r="BP57" s="73" t="str">
        <x:f>IFERROR(BO57/AU57-1,"")</x:f>
      </x:c>
      <x:c r="BQ57" s="74" t="str">
        <x:f>IF(COUNT(AD57)=0,"",AD57)</x:f>
      </x:c>
      <x:c r="BR57" s="73" t="str">
        <x:f>IF(C57="xiaohongshu",IF(COUNT(BA57,BB57)=2,AVERAGE(BA57,BB57),IF(COUNT(BA57)=1,BA57,BB57)),BK57)</x:f>
      </x:c>
      <x:c r="BS57" s="73" t="str">
        <x:f>IF(C57="xiaohongshu",BE57,BH57)</x:f>
      </x:c>
      <x:c r="BT57" s="73" t="str">
        <x:f>IF(C57="xiaohongshu",IF(I57="save",BA57,IF(I57="discussion",BE57,IF(I57="profile_visit",BC57,IF(I57="dm",BD57,IF(OR(I57="product_question",I57="trial_intent"),BF57,""))))),IF(I57="save",BK57,IF(I57="discussion",BH57,IF(OR(I57="profile_visit",I57="dm"),BI57,IF(I57="link_click",BJ57,IF(OR(I57="product_question",I57="trial_intent"),BL57,""))))))</x:f>
      </x:c>
      <x:c r="BU57" s="73" t="str">
        <x:f>IF(C57="xiaohongshu",BF57,BL57)</x:f>
      </x:c>
      <x:c r="BV57" s="65" t="str">
        <x:f>IF(COUNT(BQ57,AV57)&lt;2,"unknown",IF(BQ57/AV57-1&gt;=0.2,"high",IF(BQ57/AV57-1&lt;=-0.2,"low","normal")))</x:f>
        <x:v>unknown</x:v>
      </x:c>
      <x:c r="BW57" s="65" t="str">
        <x:f>IF(COUNT(BR57,AW57)&lt;2,"unknown",IF(BR57/AW57-1&gt;=0.2,"high",IF(BR57/AW57-1&lt;=-0.2,"low","normal")))</x:f>
        <x:v>unknown</x:v>
      </x:c>
      <x:c r="BX57" s="65" t="str">
        <x:f>IF(COUNT(BS57,AX57)&lt;2,"unknown",IF(BS57/AX57-1&gt;=0.2,"high",IF(BS57/AX57-1&lt;=-0.2,"low","normal")))</x:f>
        <x:v>unknown</x:v>
      </x:c>
      <x:c r="BY57" s="65" t="str">
        <x:f>IF(COUNT(BT57,AY57)&lt;2,"unknown",IF(BT57/AY57-1&gt;=0.2,"high",IF(BT57/AY57-1&lt;=-0.2,"low","normal")))</x:f>
        <x:v>unknown</x:v>
      </x:c>
      <x:c r="BZ57" s="65" t="str">
        <x:f>IF(COUNT(BU57,AZ57)&lt;2,"unknown",IF(BU57/AZ57-1&gt;=0.2,"high",IF(BU57/AZ57-1&lt;=-0.2,"low","normal")))</x:f>
        <x:v>unknown</x:v>
      </x:c>
      <x:c r="CA57" s="65" t="str">
        <x:f>IF(T57&lt;&gt;"complete","pending",IF(OR(L57&lt;&gt;"pure",U57="true",COUNT(BM57,AT57)&lt;2,AND(AC57&lt;&gt;"",COUNT(BO57,AU57)&lt;2)),"not_attributable","attributable"))</x:f>
        <x:v>pending</x:v>
      </x:c>
      <x:c r="CB57" s="65" t="str">
        <x:f>IF(T57&lt;&gt;"complete","not_evaluated",IF(COUNT(BM57,AT57)&lt;2,"insufficient_data",IF(AND(AC57&lt;&gt;"",COUNT(BP57)=1,BP57&lt;=-0.2),"guardrail_fail",IF(AND(CA57="not_attributable",OR(BV57="high",BN57&gt;=0.2)),"watchlist",IF(CA57&lt;&gt;"attributable","insufficient_data",IF(BN57&gt;=0.2,"win",IF(BN57&lt;=-0.2,"loss","inconclusive")))))))</x:f>
        <x:v>not_evaluated</x:v>
      </x:c>
      <x:c r="CC57" s="65" t="str">
        <x:f>IF(T57&lt;&gt;"complete","COLLECT_MORE_DATA",IF(COUNT(BM57,AT57)&lt;2,"FIX_TRACKING",IF(CB57="guardrail_fail","STOP_VARIANT_GUARDRAIL",IF(CB57="watchlist","WATCHLIST_ONLY",IF(AND(BV57="high",BY57="low"),"KEEP_HOOK_REWRITE_CTA",IF(AND(BW57="high",BX57="low"),"KEEP_STRUCTURE_CHANGE_DISCUSSION_ANGLE",IF(AND(BX57="high",BZ57="low"),"DOWNWEIGHT_TEMPLATE",IF(CB57="win","RETEST_WINNER",IF(CB57="loss","RETURN_TO_BASELINE","COLLECT_MORE_DATA")))))))))</x:f>
        <x:v>COLLECT_MORE_DATA</x:v>
      </x:c>
      <x:c r="CD57" s="75"/>
    </x:row>
    <x:row r="58">
      <x:c r="A58" s="68"/>
      <x:c r="B58" s="69"/>
      <x:c r="C58" s="68"/>
      <x:c r="D58" s="68"/>
      <x:c r="E58" s="68"/>
      <x:c r="F58" s="68"/>
      <x:c r="G58" s="68"/>
      <x:c r="H58" s="70"/>
      <x:c r="I58" s="68"/>
      <x:c r="J58" s="68"/>
      <x:c r="K58" s="68"/>
      <x:c r="L58" s="71" t="str">
        <x:f>IF(K58="","unknown",IF(K58=0,"baseline",IF(K58=1,"pure","mixed")))</x:f>
        <x:v>unknown</x:v>
      </x:c>
      <x:c r="M58" s="68"/>
      <x:c r="N58" s="68"/>
      <x:c r="O58" s="68"/>
      <x:c r="P58" s="68"/>
      <x:c r="Q58" s="68"/>
      <x:c r="R58" s="68"/>
      <x:c r="S58" s="68"/>
      <x:c r="T58" s="68"/>
      <x:c r="U58" s="68"/>
      <x:c r="V58" s="68"/>
      <x:c r="W58" s="68"/>
      <x:c r="X58" s="68"/>
      <x:c r="Y58" s="68"/>
      <x:c r="Z58" s="68"/>
      <x:c r="AA58" s="68"/>
      <x:c r="AB58" s="68"/>
      <x:c r="AC58" s="68"/>
      <x:c r="AD58" s="70"/>
      <x:c r="AE58" s="70"/>
      <x:c r="AF58" s="70"/>
      <x:c r="AG58" s="70"/>
      <x:c r="AH58" s="70"/>
      <x:c r="AI58" s="70"/>
      <x:c r="AJ58" s="70"/>
      <x:c r="AK58" s="70"/>
      <x:c r="AL58" s="70"/>
      <x:c r="AM58" s="70"/>
      <x:c r="AN58" s="70"/>
      <x:c r="AO58" s="70"/>
      <x:c r="AP58" s="70"/>
      <x:c r="AQ58" s="70"/>
      <x:c r="AR58" s="70"/>
      <x:c r="AS58" s="70"/>
      <x:c r="AT58" s="72"/>
      <x:c r="AU58" s="72"/>
      <x:c r="AV58" s="72"/>
      <x:c r="AW58" s="72"/>
      <x:c r="AX58" s="72"/>
      <x:c r="AY58" s="72"/>
      <x:c r="AZ58" s="72"/>
      <x:c r="BA58" s="73" t="str">
        <x:f>IF(C58="xiaohongshu",IF(COUNT(AF58,AE58)&lt;2,"",IFERROR(AF58/AE58,"")),"")</x:f>
      </x:c>
      <x:c r="BB58" s="73" t="str">
        <x:f>IF(C58="xiaohongshu",IF(COUNT(AG58,AE58)&lt;2,"",IFERROR(AG58/AE58,"")),"")</x:f>
      </x:c>
      <x:c r="BC58" s="73" t="str">
        <x:f>IF(C58="xiaohongshu",IF(COUNT(AN58,AE58)&lt;2,"",IFERROR(AN58/AE58,"")),"")</x:f>
      </x:c>
      <x:c r="BD58" s="73" t="str">
        <x:f>IF(C58="xiaohongshu",IF(COUNT(AQ58,AE58)&lt;2,"",IFERROR(AQ58/AE58,"")),"")</x:f>
      </x:c>
      <x:c r="BE58" s="73" t="str">
        <x:f>IF(C58="xiaohongshu",IF(COUNT(AI58,AE58)&lt;2,"",IFERROR(AI58/AE58,"")),"")</x:f>
      </x:c>
      <x:c r="BF58" s="73" t="str">
        <x:f>IF(C58="xiaohongshu",IF(OR(COUNT(AE58)=0,COUNT(AR58,AS58)=0),"",IFERROR((AR58+AS58)/AE58,"")),"")</x:f>
      </x:c>
      <x:c r="BG58" s="73" t="str">
        <x:f>IF(C58="x",IF(COUNT(AD58)=0,"",IF(COUNT(AM58)=1,IFERROR(AM58/AD58,""),IF(COUNT(AH58,AI58,AK58,AL58)=0,"",IFERROR(SUM(AH58,AI58,AK58,AL58)/AD58,"")))),"")</x:f>
      </x:c>
      <x:c r="BH58" s="73" t="str">
        <x:f>IF(C58="x",IF(COUNT(AJ58,AD58)&lt;2,"",IFERROR(AJ58/AD58,"")),"")</x:f>
      </x:c>
      <x:c r="BI58" s="73" t="str">
        <x:f>IF(C58="x",IF(COUNT(AO58,AD58)&lt;2,"",IFERROR(AO58/AD58,"")),"")</x:f>
      </x:c>
      <x:c r="BJ58" s="73" t="str">
        <x:f>IF(C58="x",IF(COUNT(AP58,AD58)&lt;2,"",IFERROR(AP58/AD58,"")),"")</x:f>
      </x:c>
      <x:c r="BK58" s="73" t="str">
        <x:f>IF(C58="x",IF(COUNT(AL58,AD58)&lt;2,"",IFERROR(AL58/AD58,"")),"")</x:f>
      </x:c>
      <x:c r="BL58" s="73" t="str">
        <x:f>IF(C58="x",IF(OR(COUNT(AD58)=0,COUNT(AR58,AS58)=0),"",IFERROR((AR58+AS58)/AD58,"")),"")</x:f>
      </x:c>
      <x:c r="BM58" s="73" t="str">
        <x:f>IF(AB58="xhs_save_rate",BA58,IF(AB58="xhs_completion_rate",BB58,IF(AB58="xhs_profile_visit_rate",BC58,IF(AB58="xhs_dm_intent_rate",BD58,IF(AB58="xhs_discussion_rate",BE58,IF(AB58="xhs_product_relevance_rate",BF58,IF(AB58="x_first_screen_engaged_rate_proxy",BG58,IF(AB58="x_qualified_reply_rate",BH58,IF(AB58="x_profile_click_rate",BI58,IF(AB58="x_link_intent_rate",BJ58,IF(AB58="x_bookmark_rate",BK58,IF(AB58="x_product_relevance_rate",BL58,""))))))))))))</x:f>
      </x:c>
      <x:c r="BN58" s="73" t="str">
        <x:f>IFERROR(BM58/AT58-1,"")</x:f>
      </x:c>
      <x:c r="BO58" s="73" t="str">
        <x:f>IF(AC58="","",IF(AC58="xhs_save_rate",BA58,IF(AC58="xhs_completion_rate",BB58,IF(AC58="xhs_profile_visit_rate",BC58,IF(AC58="xhs_dm_intent_rate",BD58,IF(AC58="xhs_discussion_rate",BE58,IF(AC58="xhs_product_relevance_rate",BF58,IF(AC58="x_first_screen_engaged_rate_proxy",BG58,IF(AC58="x_qualified_reply_rate",BH58,IF(AC58="x_profile_click_rate",BI58,IF(AC58="x_link_intent_rate",BJ58,IF(AC58="x_bookmark_rate",BK58,IF(AC58="x_product_relevance_rate",BL58,"")))))))))))))</x:f>
      </x:c>
      <x:c r="BP58" s="73" t="str">
        <x:f>IFERROR(BO58/AU58-1,"")</x:f>
      </x:c>
      <x:c r="BQ58" s="74" t="str">
        <x:f>IF(COUNT(AD58)=0,"",AD58)</x:f>
      </x:c>
      <x:c r="BR58" s="73" t="str">
        <x:f>IF(C58="xiaohongshu",IF(COUNT(BA58,BB58)=2,AVERAGE(BA58,BB58),IF(COUNT(BA58)=1,BA58,BB58)),BK58)</x:f>
      </x:c>
      <x:c r="BS58" s="73" t="str">
        <x:f>IF(C58="xiaohongshu",BE58,BH58)</x:f>
      </x:c>
      <x:c r="BT58" s="73" t="str">
        <x:f>IF(C58="xiaohongshu",IF(I58="save",BA58,IF(I58="discussion",BE58,IF(I58="profile_visit",BC58,IF(I58="dm",BD58,IF(OR(I58="product_question",I58="trial_intent"),BF58,""))))),IF(I58="save",BK58,IF(I58="discussion",BH58,IF(OR(I58="profile_visit",I58="dm"),BI58,IF(I58="link_click",BJ58,IF(OR(I58="product_question",I58="trial_intent"),BL58,""))))))</x:f>
      </x:c>
      <x:c r="BU58" s="73" t="str">
        <x:f>IF(C58="xiaohongshu",BF58,BL58)</x:f>
      </x:c>
      <x:c r="BV58" s="65" t="str">
        <x:f>IF(COUNT(BQ58,AV58)&lt;2,"unknown",IF(BQ58/AV58-1&gt;=0.2,"high",IF(BQ58/AV58-1&lt;=-0.2,"low","normal")))</x:f>
        <x:v>unknown</x:v>
      </x:c>
      <x:c r="BW58" s="65" t="str">
        <x:f>IF(COUNT(BR58,AW58)&lt;2,"unknown",IF(BR58/AW58-1&gt;=0.2,"high",IF(BR58/AW58-1&lt;=-0.2,"low","normal")))</x:f>
        <x:v>unknown</x:v>
      </x:c>
      <x:c r="BX58" s="65" t="str">
        <x:f>IF(COUNT(BS58,AX58)&lt;2,"unknown",IF(BS58/AX58-1&gt;=0.2,"high",IF(BS58/AX58-1&lt;=-0.2,"low","normal")))</x:f>
        <x:v>unknown</x:v>
      </x:c>
      <x:c r="BY58" s="65" t="str">
        <x:f>IF(COUNT(BT58,AY58)&lt;2,"unknown",IF(BT58/AY58-1&gt;=0.2,"high",IF(BT58/AY58-1&lt;=-0.2,"low","normal")))</x:f>
        <x:v>unknown</x:v>
      </x:c>
      <x:c r="BZ58" s="65" t="str">
        <x:f>IF(COUNT(BU58,AZ58)&lt;2,"unknown",IF(BU58/AZ58-1&gt;=0.2,"high",IF(BU58/AZ58-1&lt;=-0.2,"low","normal")))</x:f>
        <x:v>unknown</x:v>
      </x:c>
      <x:c r="CA58" s="65" t="str">
        <x:f>IF(T58&lt;&gt;"complete","pending",IF(OR(L58&lt;&gt;"pure",U58="true",COUNT(BM58,AT58)&lt;2,AND(AC58&lt;&gt;"",COUNT(BO58,AU58)&lt;2)),"not_attributable","attributable"))</x:f>
        <x:v>pending</x:v>
      </x:c>
      <x:c r="CB58" s="65" t="str">
        <x:f>IF(T58&lt;&gt;"complete","not_evaluated",IF(COUNT(BM58,AT58)&lt;2,"insufficient_data",IF(AND(AC58&lt;&gt;"",COUNT(BP58)=1,BP58&lt;=-0.2),"guardrail_fail",IF(AND(CA58="not_attributable",OR(BV58="high",BN58&gt;=0.2)),"watchlist",IF(CA58&lt;&gt;"attributable","insufficient_data",IF(BN58&gt;=0.2,"win",IF(BN58&lt;=-0.2,"loss","inconclusive")))))))</x:f>
        <x:v>not_evaluated</x:v>
      </x:c>
      <x:c r="CC58" s="65" t="str">
        <x:f>IF(T58&lt;&gt;"complete","COLLECT_MORE_DATA",IF(COUNT(BM58,AT58)&lt;2,"FIX_TRACKING",IF(CB58="guardrail_fail","STOP_VARIANT_GUARDRAIL",IF(CB58="watchlist","WATCHLIST_ONLY",IF(AND(BV58="high",BY58="low"),"KEEP_HOOK_REWRITE_CTA",IF(AND(BW58="high",BX58="low"),"KEEP_STRUCTURE_CHANGE_DISCUSSION_ANGLE",IF(AND(BX58="high",BZ58="low"),"DOWNWEIGHT_TEMPLATE",IF(CB58="win","RETEST_WINNER",IF(CB58="loss","RETURN_TO_BASELINE","COLLECT_MORE_DATA")))))))))</x:f>
        <x:v>COLLECT_MORE_DATA</x:v>
      </x:c>
      <x:c r="CD58" s="75"/>
    </x:row>
    <x:row r="59">
      <x:c r="A59" s="68"/>
      <x:c r="B59" s="69"/>
      <x:c r="C59" s="68"/>
      <x:c r="D59" s="68"/>
      <x:c r="E59" s="68"/>
      <x:c r="F59" s="68"/>
      <x:c r="G59" s="68"/>
      <x:c r="H59" s="70"/>
      <x:c r="I59" s="68"/>
      <x:c r="J59" s="68"/>
      <x:c r="K59" s="68"/>
      <x:c r="L59" s="71" t="str">
        <x:f>IF(K59="","unknown",IF(K59=0,"baseline",IF(K59=1,"pure","mixed")))</x:f>
        <x:v>unknown</x:v>
      </x:c>
      <x:c r="M59" s="68"/>
      <x:c r="N59" s="68"/>
      <x:c r="O59" s="68"/>
      <x:c r="P59" s="68"/>
      <x:c r="Q59" s="68"/>
      <x:c r="R59" s="68"/>
      <x:c r="S59" s="68"/>
      <x:c r="T59" s="68"/>
      <x:c r="U59" s="68"/>
      <x:c r="V59" s="68"/>
      <x:c r="W59" s="68"/>
      <x:c r="X59" s="68"/>
      <x:c r="Y59" s="68"/>
      <x:c r="Z59" s="68"/>
      <x:c r="AA59" s="68"/>
      <x:c r="AB59" s="68"/>
      <x:c r="AC59" s="68"/>
      <x:c r="AD59" s="70"/>
      <x:c r="AE59" s="70"/>
      <x:c r="AF59" s="70"/>
      <x:c r="AG59" s="70"/>
      <x:c r="AH59" s="70"/>
      <x:c r="AI59" s="70"/>
      <x:c r="AJ59" s="70"/>
      <x:c r="AK59" s="70"/>
      <x:c r="AL59" s="70"/>
      <x:c r="AM59" s="70"/>
      <x:c r="AN59" s="70"/>
      <x:c r="AO59" s="70"/>
      <x:c r="AP59" s="70"/>
      <x:c r="AQ59" s="70"/>
      <x:c r="AR59" s="70"/>
      <x:c r="AS59" s="70"/>
      <x:c r="AT59" s="72"/>
      <x:c r="AU59" s="72"/>
      <x:c r="AV59" s="72"/>
      <x:c r="AW59" s="72"/>
      <x:c r="AX59" s="72"/>
      <x:c r="AY59" s="72"/>
      <x:c r="AZ59" s="72"/>
      <x:c r="BA59" s="73" t="str">
        <x:f>IF(C59="xiaohongshu",IF(COUNT(AF59,AE59)&lt;2,"",IFERROR(AF59/AE59,"")),"")</x:f>
      </x:c>
      <x:c r="BB59" s="73" t="str">
        <x:f>IF(C59="xiaohongshu",IF(COUNT(AG59,AE59)&lt;2,"",IFERROR(AG59/AE59,"")),"")</x:f>
      </x:c>
      <x:c r="BC59" s="73" t="str">
        <x:f>IF(C59="xiaohongshu",IF(COUNT(AN59,AE59)&lt;2,"",IFERROR(AN59/AE59,"")),"")</x:f>
      </x:c>
      <x:c r="BD59" s="73" t="str">
        <x:f>IF(C59="xiaohongshu",IF(COUNT(AQ59,AE59)&lt;2,"",IFERROR(AQ59/AE59,"")),"")</x:f>
      </x:c>
      <x:c r="BE59" s="73" t="str">
        <x:f>IF(C59="xiaohongshu",IF(COUNT(AI59,AE59)&lt;2,"",IFERROR(AI59/AE59,"")),"")</x:f>
      </x:c>
      <x:c r="BF59" s="73" t="str">
        <x:f>IF(C59="xiaohongshu",IF(OR(COUNT(AE59)=0,COUNT(AR59,AS59)=0),"",IFERROR((AR59+AS59)/AE59,"")),"")</x:f>
      </x:c>
      <x:c r="BG59" s="73" t="str">
        <x:f>IF(C59="x",IF(COUNT(AD59)=0,"",IF(COUNT(AM59)=1,IFERROR(AM59/AD59,""),IF(COUNT(AH59,AI59,AK59,AL59)=0,"",IFERROR(SUM(AH59,AI59,AK59,AL59)/AD59,"")))),"")</x:f>
      </x:c>
      <x:c r="BH59" s="73" t="str">
        <x:f>IF(C59="x",IF(COUNT(AJ59,AD59)&lt;2,"",IFERROR(AJ59/AD59,"")),"")</x:f>
      </x:c>
      <x:c r="BI59" s="73" t="str">
        <x:f>IF(C59="x",IF(COUNT(AO59,AD59)&lt;2,"",IFERROR(AO59/AD59,"")),"")</x:f>
      </x:c>
      <x:c r="BJ59" s="73" t="str">
        <x:f>IF(C59="x",IF(COUNT(AP59,AD59)&lt;2,"",IFERROR(AP59/AD59,"")),"")</x:f>
      </x:c>
      <x:c r="BK59" s="73" t="str">
        <x:f>IF(C59="x",IF(COUNT(AL59,AD59)&lt;2,"",IFERROR(AL59/AD59,"")),"")</x:f>
      </x:c>
      <x:c r="BL59" s="73" t="str">
        <x:f>IF(C59="x",IF(OR(COUNT(AD59)=0,COUNT(AR59,AS59)=0),"",IFERROR((AR59+AS59)/AD59,"")),"")</x:f>
      </x:c>
      <x:c r="BM59" s="73" t="str">
        <x:f>IF(AB59="xhs_save_rate",BA59,IF(AB59="xhs_completion_rate",BB59,IF(AB59="xhs_profile_visit_rate",BC59,IF(AB59="xhs_dm_intent_rate",BD59,IF(AB59="xhs_discussion_rate",BE59,IF(AB59="xhs_product_relevance_rate",BF59,IF(AB59="x_first_screen_engaged_rate_proxy",BG59,IF(AB59="x_qualified_reply_rate",BH59,IF(AB59="x_profile_click_rate",BI59,IF(AB59="x_link_intent_rate",BJ59,IF(AB59="x_bookmark_rate",BK59,IF(AB59="x_product_relevance_rate",BL59,""))))))))))))</x:f>
      </x:c>
      <x:c r="BN59" s="73" t="str">
        <x:f>IFERROR(BM59/AT59-1,"")</x:f>
      </x:c>
      <x:c r="BO59" s="73" t="str">
        <x:f>IF(AC59="","",IF(AC59="xhs_save_rate",BA59,IF(AC59="xhs_completion_rate",BB59,IF(AC59="xhs_profile_visit_rate",BC59,IF(AC59="xhs_dm_intent_rate",BD59,IF(AC59="xhs_discussion_rate",BE59,IF(AC59="xhs_product_relevance_rate",BF59,IF(AC59="x_first_screen_engaged_rate_proxy",BG59,IF(AC59="x_qualified_reply_rate",BH59,IF(AC59="x_profile_click_rate",BI59,IF(AC59="x_link_intent_rate",BJ59,IF(AC59="x_bookmark_rate",BK59,IF(AC59="x_product_relevance_rate",BL59,"")))))))))))))</x:f>
      </x:c>
      <x:c r="BP59" s="73" t="str">
        <x:f>IFERROR(BO59/AU59-1,"")</x:f>
      </x:c>
      <x:c r="BQ59" s="74" t="str">
        <x:f>IF(COUNT(AD59)=0,"",AD59)</x:f>
      </x:c>
      <x:c r="BR59" s="73" t="str">
        <x:f>IF(C59="xiaohongshu",IF(COUNT(BA59,BB59)=2,AVERAGE(BA59,BB59),IF(COUNT(BA59)=1,BA59,BB59)),BK59)</x:f>
      </x:c>
      <x:c r="BS59" s="73" t="str">
        <x:f>IF(C59="xiaohongshu",BE59,BH59)</x:f>
      </x:c>
      <x:c r="BT59" s="73" t="str">
        <x:f>IF(C59="xiaohongshu",IF(I59="save",BA59,IF(I59="discussion",BE59,IF(I59="profile_visit",BC59,IF(I59="dm",BD59,IF(OR(I59="product_question",I59="trial_intent"),BF59,""))))),IF(I59="save",BK59,IF(I59="discussion",BH59,IF(OR(I59="profile_visit",I59="dm"),BI59,IF(I59="link_click",BJ59,IF(OR(I59="product_question",I59="trial_intent"),BL59,""))))))</x:f>
      </x:c>
      <x:c r="BU59" s="73" t="str">
        <x:f>IF(C59="xiaohongshu",BF59,BL59)</x:f>
      </x:c>
      <x:c r="BV59" s="65" t="str">
        <x:f>IF(COUNT(BQ59,AV59)&lt;2,"unknown",IF(BQ59/AV59-1&gt;=0.2,"high",IF(BQ59/AV59-1&lt;=-0.2,"low","normal")))</x:f>
        <x:v>unknown</x:v>
      </x:c>
      <x:c r="BW59" s="65" t="str">
        <x:f>IF(COUNT(BR59,AW59)&lt;2,"unknown",IF(BR59/AW59-1&gt;=0.2,"high",IF(BR59/AW59-1&lt;=-0.2,"low","normal")))</x:f>
        <x:v>unknown</x:v>
      </x:c>
      <x:c r="BX59" s="65" t="str">
        <x:f>IF(COUNT(BS59,AX59)&lt;2,"unknown",IF(BS59/AX59-1&gt;=0.2,"high",IF(BS59/AX59-1&lt;=-0.2,"low","normal")))</x:f>
        <x:v>unknown</x:v>
      </x:c>
      <x:c r="BY59" s="65" t="str">
        <x:f>IF(COUNT(BT59,AY59)&lt;2,"unknown",IF(BT59/AY59-1&gt;=0.2,"high",IF(BT59/AY59-1&lt;=-0.2,"low","normal")))</x:f>
        <x:v>unknown</x:v>
      </x:c>
      <x:c r="BZ59" s="65" t="str">
        <x:f>IF(COUNT(BU59,AZ59)&lt;2,"unknown",IF(BU59/AZ59-1&gt;=0.2,"high",IF(BU59/AZ59-1&lt;=-0.2,"low","normal")))</x:f>
        <x:v>unknown</x:v>
      </x:c>
      <x:c r="CA59" s="65" t="str">
        <x:f>IF(T59&lt;&gt;"complete","pending",IF(OR(L59&lt;&gt;"pure",U59="true",COUNT(BM59,AT59)&lt;2,AND(AC59&lt;&gt;"",COUNT(BO59,AU59)&lt;2)),"not_attributable","attributable"))</x:f>
        <x:v>pending</x:v>
      </x:c>
      <x:c r="CB59" s="65" t="str">
        <x:f>IF(T59&lt;&gt;"complete","not_evaluated",IF(COUNT(BM59,AT59)&lt;2,"insufficient_data",IF(AND(AC59&lt;&gt;"",COUNT(BP59)=1,BP59&lt;=-0.2),"guardrail_fail",IF(AND(CA59="not_attributable",OR(BV59="high",BN59&gt;=0.2)),"watchlist",IF(CA59&lt;&gt;"attributable","insufficient_data",IF(BN59&gt;=0.2,"win",IF(BN59&lt;=-0.2,"loss","inconclusive")))))))</x:f>
        <x:v>not_evaluated</x:v>
      </x:c>
      <x:c r="CC59" s="65" t="str">
        <x:f>IF(T59&lt;&gt;"complete","COLLECT_MORE_DATA",IF(COUNT(BM59,AT59)&lt;2,"FIX_TRACKING",IF(CB59="guardrail_fail","STOP_VARIANT_GUARDRAIL",IF(CB59="watchlist","WATCHLIST_ONLY",IF(AND(BV59="high",BY59="low"),"KEEP_HOOK_REWRITE_CTA",IF(AND(BW59="high",BX59="low"),"KEEP_STRUCTURE_CHANGE_DISCUSSION_ANGLE",IF(AND(BX59="high",BZ59="low"),"DOWNWEIGHT_TEMPLATE",IF(CB59="win","RETEST_WINNER",IF(CB59="loss","RETURN_TO_BASELINE","COLLECT_MORE_DATA")))))))))</x:f>
        <x:v>COLLECT_MORE_DATA</x:v>
      </x:c>
      <x:c r="CD59" s="75"/>
    </x:row>
    <x:row r="60">
      <x:c r="A60" s="68"/>
      <x:c r="B60" s="69"/>
      <x:c r="C60" s="68"/>
      <x:c r="D60" s="68"/>
      <x:c r="E60" s="68"/>
      <x:c r="F60" s="68"/>
      <x:c r="G60" s="68"/>
      <x:c r="H60" s="70"/>
      <x:c r="I60" s="68"/>
      <x:c r="J60" s="68"/>
      <x:c r="K60" s="68"/>
      <x:c r="L60" s="71" t="str">
        <x:f>IF(K60="","unknown",IF(K60=0,"baseline",IF(K60=1,"pure","mixed")))</x:f>
        <x:v>unknown</x:v>
      </x:c>
      <x:c r="M60" s="68"/>
      <x:c r="N60" s="68"/>
      <x:c r="O60" s="68"/>
      <x:c r="P60" s="68"/>
      <x:c r="Q60" s="68"/>
      <x:c r="R60" s="68"/>
      <x:c r="S60" s="68"/>
      <x:c r="T60" s="68"/>
      <x:c r="U60" s="68"/>
      <x:c r="V60" s="68"/>
      <x:c r="W60" s="68"/>
      <x:c r="X60" s="68"/>
      <x:c r="Y60" s="68"/>
      <x:c r="Z60" s="68"/>
      <x:c r="AA60" s="68"/>
      <x:c r="AB60" s="68"/>
      <x:c r="AC60" s="68"/>
      <x:c r="AD60" s="70"/>
      <x:c r="AE60" s="70"/>
      <x:c r="AF60" s="70"/>
      <x:c r="AG60" s="70"/>
      <x:c r="AH60" s="70"/>
      <x:c r="AI60" s="70"/>
      <x:c r="AJ60" s="70"/>
      <x:c r="AK60" s="70"/>
      <x:c r="AL60" s="70"/>
      <x:c r="AM60" s="70"/>
      <x:c r="AN60" s="70"/>
      <x:c r="AO60" s="70"/>
      <x:c r="AP60" s="70"/>
      <x:c r="AQ60" s="70"/>
      <x:c r="AR60" s="70"/>
      <x:c r="AS60" s="70"/>
      <x:c r="AT60" s="72"/>
      <x:c r="AU60" s="72"/>
      <x:c r="AV60" s="72"/>
      <x:c r="AW60" s="72"/>
      <x:c r="AX60" s="72"/>
      <x:c r="AY60" s="72"/>
      <x:c r="AZ60" s="72"/>
      <x:c r="BA60" s="73" t="str">
        <x:f>IF(C60="xiaohongshu",IF(COUNT(AF60,AE60)&lt;2,"",IFERROR(AF60/AE60,"")),"")</x:f>
      </x:c>
      <x:c r="BB60" s="73" t="str">
        <x:f>IF(C60="xiaohongshu",IF(COUNT(AG60,AE60)&lt;2,"",IFERROR(AG60/AE60,"")),"")</x:f>
      </x:c>
      <x:c r="BC60" s="73" t="str">
        <x:f>IF(C60="xiaohongshu",IF(COUNT(AN60,AE60)&lt;2,"",IFERROR(AN60/AE60,"")),"")</x:f>
      </x:c>
      <x:c r="BD60" s="73" t="str">
        <x:f>IF(C60="xiaohongshu",IF(COUNT(AQ60,AE60)&lt;2,"",IFERROR(AQ60/AE60,"")),"")</x:f>
      </x:c>
      <x:c r="BE60" s="73" t="str">
        <x:f>IF(C60="xiaohongshu",IF(COUNT(AI60,AE60)&lt;2,"",IFERROR(AI60/AE60,"")),"")</x:f>
      </x:c>
      <x:c r="BF60" s="73" t="str">
        <x:f>IF(C60="xiaohongshu",IF(OR(COUNT(AE60)=0,COUNT(AR60,AS60)=0),"",IFERROR((AR60+AS60)/AE60,"")),"")</x:f>
      </x:c>
      <x:c r="BG60" s="73" t="str">
        <x:f>IF(C60="x",IF(COUNT(AD60)=0,"",IF(COUNT(AM60)=1,IFERROR(AM60/AD60,""),IF(COUNT(AH60,AI60,AK60,AL60)=0,"",IFERROR(SUM(AH60,AI60,AK60,AL60)/AD60,"")))),"")</x:f>
      </x:c>
      <x:c r="BH60" s="73" t="str">
        <x:f>IF(C60="x",IF(COUNT(AJ60,AD60)&lt;2,"",IFERROR(AJ60/AD60,"")),"")</x:f>
      </x:c>
      <x:c r="BI60" s="73" t="str">
        <x:f>IF(C60="x",IF(COUNT(AO60,AD60)&lt;2,"",IFERROR(AO60/AD60,"")),"")</x:f>
      </x:c>
      <x:c r="BJ60" s="73" t="str">
        <x:f>IF(C60="x",IF(COUNT(AP60,AD60)&lt;2,"",IFERROR(AP60/AD60,"")),"")</x:f>
      </x:c>
      <x:c r="BK60" s="73" t="str">
        <x:f>IF(C60="x",IF(COUNT(AL60,AD60)&lt;2,"",IFERROR(AL60/AD60,"")),"")</x:f>
      </x:c>
      <x:c r="BL60" s="73" t="str">
        <x:f>IF(C60="x",IF(OR(COUNT(AD60)=0,COUNT(AR60,AS60)=0),"",IFERROR((AR60+AS60)/AD60,"")),"")</x:f>
      </x:c>
      <x:c r="BM60" s="73" t="str">
        <x:f>IF(AB60="xhs_save_rate",BA60,IF(AB60="xhs_completion_rate",BB60,IF(AB60="xhs_profile_visit_rate",BC60,IF(AB60="xhs_dm_intent_rate",BD60,IF(AB60="xhs_discussion_rate",BE60,IF(AB60="xhs_product_relevance_rate",BF60,IF(AB60="x_first_screen_engaged_rate_proxy",BG60,IF(AB60="x_qualified_reply_rate",BH60,IF(AB60="x_profile_click_rate",BI60,IF(AB60="x_link_intent_rate",BJ60,IF(AB60="x_bookmark_rate",BK60,IF(AB60="x_product_relevance_rate",BL60,""))))))))))))</x:f>
      </x:c>
      <x:c r="BN60" s="73" t="str">
        <x:f>IFERROR(BM60/AT60-1,"")</x:f>
      </x:c>
      <x:c r="BO60" s="73" t="str">
        <x:f>IF(AC60="","",IF(AC60="xhs_save_rate",BA60,IF(AC60="xhs_completion_rate",BB60,IF(AC60="xhs_profile_visit_rate",BC60,IF(AC60="xhs_dm_intent_rate",BD60,IF(AC60="xhs_discussion_rate",BE60,IF(AC60="xhs_product_relevance_rate",BF60,IF(AC60="x_first_screen_engaged_rate_proxy",BG60,IF(AC60="x_qualified_reply_rate",BH60,IF(AC60="x_profile_click_rate",BI60,IF(AC60="x_link_intent_rate",BJ60,IF(AC60="x_bookmark_rate",BK60,IF(AC60="x_product_relevance_rate",BL60,"")))))))))))))</x:f>
      </x:c>
      <x:c r="BP60" s="73" t="str">
        <x:f>IFERROR(BO60/AU60-1,"")</x:f>
      </x:c>
      <x:c r="BQ60" s="74" t="str">
        <x:f>IF(COUNT(AD60)=0,"",AD60)</x:f>
      </x:c>
      <x:c r="BR60" s="73" t="str">
        <x:f>IF(C60="xiaohongshu",IF(COUNT(BA60,BB60)=2,AVERAGE(BA60,BB60),IF(COUNT(BA60)=1,BA60,BB60)),BK60)</x:f>
      </x:c>
      <x:c r="BS60" s="73" t="str">
        <x:f>IF(C60="xiaohongshu",BE60,BH60)</x:f>
      </x:c>
      <x:c r="BT60" s="73" t="str">
        <x:f>IF(C60="xiaohongshu",IF(I60="save",BA60,IF(I60="discussion",BE60,IF(I60="profile_visit",BC60,IF(I60="dm",BD60,IF(OR(I60="product_question",I60="trial_intent"),BF60,""))))),IF(I60="save",BK60,IF(I60="discussion",BH60,IF(OR(I60="profile_visit",I60="dm"),BI60,IF(I60="link_click",BJ60,IF(OR(I60="product_question",I60="trial_intent"),BL60,""))))))</x:f>
      </x:c>
      <x:c r="BU60" s="73" t="str">
        <x:f>IF(C60="xiaohongshu",BF60,BL60)</x:f>
      </x:c>
      <x:c r="BV60" s="65" t="str">
        <x:f>IF(COUNT(BQ60,AV60)&lt;2,"unknown",IF(BQ60/AV60-1&gt;=0.2,"high",IF(BQ60/AV60-1&lt;=-0.2,"low","normal")))</x:f>
        <x:v>unknown</x:v>
      </x:c>
      <x:c r="BW60" s="65" t="str">
        <x:f>IF(COUNT(BR60,AW60)&lt;2,"unknown",IF(BR60/AW60-1&gt;=0.2,"high",IF(BR60/AW60-1&lt;=-0.2,"low","normal")))</x:f>
        <x:v>unknown</x:v>
      </x:c>
      <x:c r="BX60" s="65" t="str">
        <x:f>IF(COUNT(BS60,AX60)&lt;2,"unknown",IF(BS60/AX60-1&gt;=0.2,"high",IF(BS60/AX60-1&lt;=-0.2,"low","normal")))</x:f>
        <x:v>unknown</x:v>
      </x:c>
      <x:c r="BY60" s="65" t="str">
        <x:f>IF(COUNT(BT60,AY60)&lt;2,"unknown",IF(BT60/AY60-1&gt;=0.2,"high",IF(BT60/AY60-1&lt;=-0.2,"low","normal")))</x:f>
        <x:v>unknown</x:v>
      </x:c>
      <x:c r="BZ60" s="65" t="str">
        <x:f>IF(COUNT(BU60,AZ60)&lt;2,"unknown",IF(BU60/AZ60-1&gt;=0.2,"high",IF(BU60/AZ60-1&lt;=-0.2,"low","normal")))</x:f>
        <x:v>unknown</x:v>
      </x:c>
      <x:c r="CA60" s="65" t="str">
        <x:f>IF(T60&lt;&gt;"complete","pending",IF(OR(L60&lt;&gt;"pure",U60="true",COUNT(BM60,AT60)&lt;2,AND(AC60&lt;&gt;"",COUNT(BO60,AU60)&lt;2)),"not_attributable","attributable"))</x:f>
        <x:v>pending</x:v>
      </x:c>
      <x:c r="CB60" s="65" t="str">
        <x:f>IF(T60&lt;&gt;"complete","not_evaluated",IF(COUNT(BM60,AT60)&lt;2,"insufficient_data",IF(AND(AC60&lt;&gt;"",COUNT(BP60)=1,BP60&lt;=-0.2),"guardrail_fail",IF(AND(CA60="not_attributable",OR(BV60="high",BN60&gt;=0.2)),"watchlist",IF(CA60&lt;&gt;"attributable","insufficient_data",IF(BN60&gt;=0.2,"win",IF(BN60&lt;=-0.2,"loss","inconclusive")))))))</x:f>
        <x:v>not_evaluated</x:v>
      </x:c>
      <x:c r="CC60" s="65" t="str">
        <x:f>IF(T60&lt;&gt;"complete","COLLECT_MORE_DATA",IF(COUNT(BM60,AT60)&lt;2,"FIX_TRACKING",IF(CB60="guardrail_fail","STOP_VARIANT_GUARDRAIL",IF(CB60="watchlist","WATCHLIST_ONLY",IF(AND(BV60="high",BY60="low"),"KEEP_HOOK_REWRITE_CTA",IF(AND(BW60="high",BX60="low"),"KEEP_STRUCTURE_CHANGE_DISCUSSION_ANGLE",IF(AND(BX60="high",BZ60="low"),"DOWNWEIGHT_TEMPLATE",IF(CB60="win","RETEST_WINNER",IF(CB60="loss","RETURN_TO_BASELINE","COLLECT_MORE_DATA")))))))))</x:f>
        <x:v>COLLECT_MORE_DATA</x:v>
      </x:c>
      <x:c r="CD60" s="75"/>
    </x:row>
    <x:row r="61">
      <x:c r="A61" s="68"/>
      <x:c r="B61" s="69"/>
      <x:c r="C61" s="68"/>
      <x:c r="D61" s="68"/>
      <x:c r="E61" s="68"/>
      <x:c r="F61" s="68"/>
      <x:c r="G61" s="68"/>
      <x:c r="H61" s="70"/>
      <x:c r="I61" s="68"/>
      <x:c r="J61" s="68"/>
      <x:c r="K61" s="68"/>
      <x:c r="L61" s="71" t="str">
        <x:f>IF(K61="","unknown",IF(K61=0,"baseline",IF(K61=1,"pure","mixed")))</x:f>
        <x:v>unknown</x:v>
      </x:c>
      <x:c r="M61" s="68"/>
      <x:c r="N61" s="68"/>
      <x:c r="O61" s="68"/>
      <x:c r="P61" s="68"/>
      <x:c r="Q61" s="68"/>
      <x:c r="R61" s="68"/>
      <x:c r="S61" s="68"/>
      <x:c r="T61" s="68"/>
      <x:c r="U61" s="68"/>
      <x:c r="V61" s="68"/>
      <x:c r="W61" s="68"/>
      <x:c r="X61" s="68"/>
      <x:c r="Y61" s="68"/>
      <x:c r="Z61" s="68"/>
      <x:c r="AA61" s="68"/>
      <x:c r="AB61" s="68"/>
      <x:c r="AC61" s="68"/>
      <x:c r="AD61" s="70"/>
      <x:c r="AE61" s="70"/>
      <x:c r="AF61" s="70"/>
      <x:c r="AG61" s="70"/>
      <x:c r="AH61" s="70"/>
      <x:c r="AI61" s="70"/>
      <x:c r="AJ61" s="70"/>
      <x:c r="AK61" s="70"/>
      <x:c r="AL61" s="70"/>
      <x:c r="AM61" s="70"/>
      <x:c r="AN61" s="70"/>
      <x:c r="AO61" s="70"/>
      <x:c r="AP61" s="70"/>
      <x:c r="AQ61" s="70"/>
      <x:c r="AR61" s="70"/>
      <x:c r="AS61" s="70"/>
      <x:c r="AT61" s="72"/>
      <x:c r="AU61" s="72"/>
      <x:c r="AV61" s="72"/>
      <x:c r="AW61" s="72"/>
      <x:c r="AX61" s="72"/>
      <x:c r="AY61" s="72"/>
      <x:c r="AZ61" s="72"/>
      <x:c r="BA61" s="73" t="str">
        <x:f>IF(C61="xiaohongshu",IF(COUNT(AF61,AE61)&lt;2,"",IFERROR(AF61/AE61,"")),"")</x:f>
      </x:c>
      <x:c r="BB61" s="73" t="str">
        <x:f>IF(C61="xiaohongshu",IF(COUNT(AG61,AE61)&lt;2,"",IFERROR(AG61/AE61,"")),"")</x:f>
      </x:c>
      <x:c r="BC61" s="73" t="str">
        <x:f>IF(C61="xiaohongshu",IF(COUNT(AN61,AE61)&lt;2,"",IFERROR(AN61/AE61,"")),"")</x:f>
      </x:c>
      <x:c r="BD61" s="73" t="str">
        <x:f>IF(C61="xiaohongshu",IF(COUNT(AQ61,AE61)&lt;2,"",IFERROR(AQ61/AE61,"")),"")</x:f>
      </x:c>
      <x:c r="BE61" s="73" t="str">
        <x:f>IF(C61="xiaohongshu",IF(COUNT(AI61,AE61)&lt;2,"",IFERROR(AI61/AE61,"")),"")</x:f>
      </x:c>
      <x:c r="BF61" s="73" t="str">
        <x:f>IF(C61="xiaohongshu",IF(OR(COUNT(AE61)=0,COUNT(AR61,AS61)=0),"",IFERROR((AR61+AS61)/AE61,"")),"")</x:f>
      </x:c>
      <x:c r="BG61" s="73" t="str">
        <x:f>IF(C61="x",IF(COUNT(AD61)=0,"",IF(COUNT(AM61)=1,IFERROR(AM61/AD61,""),IF(COUNT(AH61,AI61,AK61,AL61)=0,"",IFERROR(SUM(AH61,AI61,AK61,AL61)/AD61,"")))),"")</x:f>
      </x:c>
      <x:c r="BH61" s="73" t="str">
        <x:f>IF(C61="x",IF(COUNT(AJ61,AD61)&lt;2,"",IFERROR(AJ61/AD61,"")),"")</x:f>
      </x:c>
      <x:c r="BI61" s="73" t="str">
        <x:f>IF(C61="x",IF(COUNT(AO61,AD61)&lt;2,"",IFERROR(AO61/AD61,"")),"")</x:f>
      </x:c>
      <x:c r="BJ61" s="73" t="str">
        <x:f>IF(C61="x",IF(COUNT(AP61,AD61)&lt;2,"",IFERROR(AP61/AD61,"")),"")</x:f>
      </x:c>
      <x:c r="BK61" s="73" t="str">
        <x:f>IF(C61="x",IF(COUNT(AL61,AD61)&lt;2,"",IFERROR(AL61/AD61,"")),"")</x:f>
      </x:c>
      <x:c r="BL61" s="73" t="str">
        <x:f>IF(C61="x",IF(OR(COUNT(AD61)=0,COUNT(AR61,AS61)=0),"",IFERROR((AR61+AS61)/AD61,"")),"")</x:f>
      </x:c>
      <x:c r="BM61" s="73" t="str">
        <x:f>IF(AB61="xhs_save_rate",BA61,IF(AB61="xhs_completion_rate",BB61,IF(AB61="xhs_profile_visit_rate",BC61,IF(AB61="xhs_dm_intent_rate",BD61,IF(AB61="xhs_discussion_rate",BE61,IF(AB61="xhs_product_relevance_rate",BF61,IF(AB61="x_first_screen_engaged_rate_proxy",BG61,IF(AB61="x_qualified_reply_rate",BH61,IF(AB61="x_profile_click_rate",BI61,IF(AB61="x_link_intent_rate",BJ61,IF(AB61="x_bookmark_rate",BK61,IF(AB61="x_product_relevance_rate",BL61,""))))))))))))</x:f>
      </x:c>
      <x:c r="BN61" s="73" t="str">
        <x:f>IFERROR(BM61/AT61-1,"")</x:f>
      </x:c>
      <x:c r="BO61" s="73" t="str">
        <x:f>IF(AC61="","",IF(AC61="xhs_save_rate",BA61,IF(AC61="xhs_completion_rate",BB61,IF(AC61="xhs_profile_visit_rate",BC61,IF(AC61="xhs_dm_intent_rate",BD61,IF(AC61="xhs_discussion_rate",BE61,IF(AC61="xhs_product_relevance_rate",BF61,IF(AC61="x_first_screen_engaged_rate_proxy",BG61,IF(AC61="x_qualified_reply_rate",BH61,IF(AC61="x_profile_click_rate",BI61,IF(AC61="x_link_intent_rate",BJ61,IF(AC61="x_bookmark_rate",BK61,IF(AC61="x_product_relevance_rate",BL61,"")))))))))))))</x:f>
      </x:c>
      <x:c r="BP61" s="73" t="str">
        <x:f>IFERROR(BO61/AU61-1,"")</x:f>
      </x:c>
      <x:c r="BQ61" s="74" t="str">
        <x:f>IF(COUNT(AD61)=0,"",AD61)</x:f>
      </x:c>
      <x:c r="BR61" s="73" t="str">
        <x:f>IF(C61="xiaohongshu",IF(COUNT(BA61,BB61)=2,AVERAGE(BA61,BB61),IF(COUNT(BA61)=1,BA61,BB61)),BK61)</x:f>
      </x:c>
      <x:c r="BS61" s="73" t="str">
        <x:f>IF(C61="xiaohongshu",BE61,BH61)</x:f>
      </x:c>
      <x:c r="BT61" s="73" t="str">
        <x:f>IF(C61="xiaohongshu",IF(I61="save",BA61,IF(I61="discussion",BE61,IF(I61="profile_visit",BC61,IF(I61="dm",BD61,IF(OR(I61="product_question",I61="trial_intent"),BF61,""))))),IF(I61="save",BK61,IF(I61="discussion",BH61,IF(OR(I61="profile_visit",I61="dm"),BI61,IF(I61="link_click",BJ61,IF(OR(I61="product_question",I61="trial_intent"),BL61,""))))))</x:f>
      </x:c>
      <x:c r="BU61" s="73" t="str">
        <x:f>IF(C61="xiaohongshu",BF61,BL61)</x:f>
      </x:c>
      <x:c r="BV61" s="65" t="str">
        <x:f>IF(COUNT(BQ61,AV61)&lt;2,"unknown",IF(BQ61/AV61-1&gt;=0.2,"high",IF(BQ61/AV61-1&lt;=-0.2,"low","normal")))</x:f>
        <x:v>unknown</x:v>
      </x:c>
      <x:c r="BW61" s="65" t="str">
        <x:f>IF(COUNT(BR61,AW61)&lt;2,"unknown",IF(BR61/AW61-1&gt;=0.2,"high",IF(BR61/AW61-1&lt;=-0.2,"low","normal")))</x:f>
        <x:v>unknown</x:v>
      </x:c>
      <x:c r="BX61" s="65" t="str">
        <x:f>IF(COUNT(BS61,AX61)&lt;2,"unknown",IF(BS61/AX61-1&gt;=0.2,"high",IF(BS61/AX61-1&lt;=-0.2,"low","normal")))</x:f>
        <x:v>unknown</x:v>
      </x:c>
      <x:c r="BY61" s="65" t="str">
        <x:f>IF(COUNT(BT61,AY61)&lt;2,"unknown",IF(BT61/AY61-1&gt;=0.2,"high",IF(BT61/AY61-1&lt;=-0.2,"low","normal")))</x:f>
        <x:v>unknown</x:v>
      </x:c>
      <x:c r="BZ61" s="65" t="str">
        <x:f>IF(COUNT(BU61,AZ61)&lt;2,"unknown",IF(BU61/AZ61-1&gt;=0.2,"high",IF(BU61/AZ61-1&lt;=-0.2,"low","normal")))</x:f>
        <x:v>unknown</x:v>
      </x:c>
      <x:c r="CA61" s="65" t="str">
        <x:f>IF(T61&lt;&gt;"complete","pending",IF(OR(L61&lt;&gt;"pure",U61="true",COUNT(BM61,AT61)&lt;2,AND(AC61&lt;&gt;"",COUNT(BO61,AU61)&lt;2)),"not_attributable","attributable"))</x:f>
        <x:v>pending</x:v>
      </x:c>
      <x:c r="CB61" s="65" t="str">
        <x:f>IF(T61&lt;&gt;"complete","not_evaluated",IF(COUNT(BM61,AT61)&lt;2,"insufficient_data",IF(AND(AC61&lt;&gt;"",COUNT(BP61)=1,BP61&lt;=-0.2),"guardrail_fail",IF(AND(CA61="not_attributable",OR(BV61="high",BN61&gt;=0.2)),"watchlist",IF(CA61&lt;&gt;"attributable","insufficient_data",IF(BN61&gt;=0.2,"win",IF(BN61&lt;=-0.2,"loss","inconclusive")))))))</x:f>
        <x:v>not_evaluated</x:v>
      </x:c>
      <x:c r="CC61" s="65" t="str">
        <x:f>IF(T61&lt;&gt;"complete","COLLECT_MORE_DATA",IF(COUNT(BM61,AT61)&lt;2,"FIX_TRACKING",IF(CB61="guardrail_fail","STOP_VARIANT_GUARDRAIL",IF(CB61="watchlist","WATCHLIST_ONLY",IF(AND(BV61="high",BY61="low"),"KEEP_HOOK_REWRITE_CTA",IF(AND(BW61="high",BX61="low"),"KEEP_STRUCTURE_CHANGE_DISCUSSION_ANGLE",IF(AND(BX61="high",BZ61="low"),"DOWNWEIGHT_TEMPLATE",IF(CB61="win","RETEST_WINNER",IF(CB61="loss","RETURN_TO_BASELINE","COLLECT_MORE_DATA")))))))))</x:f>
        <x:v>COLLECT_MORE_DATA</x:v>
      </x:c>
      <x:c r="CD61" s="75"/>
    </x:row>
    <x:row r="62">
      <x:c r="A62" s="68"/>
      <x:c r="B62" s="69"/>
      <x:c r="C62" s="68"/>
      <x:c r="D62" s="68"/>
      <x:c r="E62" s="68"/>
      <x:c r="F62" s="68"/>
      <x:c r="G62" s="68"/>
      <x:c r="H62" s="70"/>
      <x:c r="I62" s="68"/>
      <x:c r="J62" s="68"/>
      <x:c r="K62" s="68"/>
      <x:c r="L62" s="71" t="str">
        <x:f>IF(K62="","unknown",IF(K62=0,"baseline",IF(K62=1,"pure","mixed")))</x:f>
        <x:v>unknown</x:v>
      </x:c>
      <x:c r="M62" s="68"/>
      <x:c r="N62" s="68"/>
      <x:c r="O62" s="68"/>
      <x:c r="P62" s="68"/>
      <x:c r="Q62" s="68"/>
      <x:c r="R62" s="68"/>
      <x:c r="S62" s="68"/>
      <x:c r="T62" s="68"/>
      <x:c r="U62" s="68"/>
      <x:c r="V62" s="68"/>
      <x:c r="W62" s="68"/>
      <x:c r="X62" s="68"/>
      <x:c r="Y62" s="68"/>
      <x:c r="Z62" s="68"/>
      <x:c r="AA62" s="68"/>
      <x:c r="AB62" s="68"/>
      <x:c r="AC62" s="68"/>
      <x:c r="AD62" s="70"/>
      <x:c r="AE62" s="70"/>
      <x:c r="AF62" s="70"/>
      <x:c r="AG62" s="70"/>
      <x:c r="AH62" s="70"/>
      <x:c r="AI62" s="70"/>
      <x:c r="AJ62" s="70"/>
      <x:c r="AK62" s="70"/>
      <x:c r="AL62" s="70"/>
      <x:c r="AM62" s="70"/>
      <x:c r="AN62" s="70"/>
      <x:c r="AO62" s="70"/>
      <x:c r="AP62" s="70"/>
      <x:c r="AQ62" s="70"/>
      <x:c r="AR62" s="70"/>
      <x:c r="AS62" s="70"/>
      <x:c r="AT62" s="72"/>
      <x:c r="AU62" s="72"/>
      <x:c r="AV62" s="72"/>
      <x:c r="AW62" s="72"/>
      <x:c r="AX62" s="72"/>
      <x:c r="AY62" s="72"/>
      <x:c r="AZ62" s="72"/>
      <x:c r="BA62" s="73" t="str">
        <x:f>IF(C62="xiaohongshu",IF(COUNT(AF62,AE62)&lt;2,"",IFERROR(AF62/AE62,"")),"")</x:f>
      </x:c>
      <x:c r="BB62" s="73" t="str">
        <x:f>IF(C62="xiaohongshu",IF(COUNT(AG62,AE62)&lt;2,"",IFERROR(AG62/AE62,"")),"")</x:f>
      </x:c>
      <x:c r="BC62" s="73" t="str">
        <x:f>IF(C62="xiaohongshu",IF(COUNT(AN62,AE62)&lt;2,"",IFERROR(AN62/AE62,"")),"")</x:f>
      </x:c>
      <x:c r="BD62" s="73" t="str">
        <x:f>IF(C62="xiaohongshu",IF(COUNT(AQ62,AE62)&lt;2,"",IFERROR(AQ62/AE62,"")),"")</x:f>
      </x:c>
      <x:c r="BE62" s="73" t="str">
        <x:f>IF(C62="xiaohongshu",IF(COUNT(AI62,AE62)&lt;2,"",IFERROR(AI62/AE62,"")),"")</x:f>
      </x:c>
      <x:c r="BF62" s="73" t="str">
        <x:f>IF(C62="xiaohongshu",IF(OR(COUNT(AE62)=0,COUNT(AR62,AS62)=0),"",IFERROR((AR62+AS62)/AE62,"")),"")</x:f>
      </x:c>
      <x:c r="BG62" s="73" t="str">
        <x:f>IF(C62="x",IF(COUNT(AD62)=0,"",IF(COUNT(AM62)=1,IFERROR(AM62/AD62,""),IF(COUNT(AH62,AI62,AK62,AL62)=0,"",IFERROR(SUM(AH62,AI62,AK62,AL62)/AD62,"")))),"")</x:f>
      </x:c>
      <x:c r="BH62" s="73" t="str">
        <x:f>IF(C62="x",IF(COUNT(AJ62,AD62)&lt;2,"",IFERROR(AJ62/AD62,"")),"")</x:f>
      </x:c>
      <x:c r="BI62" s="73" t="str">
        <x:f>IF(C62="x",IF(COUNT(AO62,AD62)&lt;2,"",IFERROR(AO62/AD62,"")),"")</x:f>
      </x:c>
      <x:c r="BJ62" s="73" t="str">
        <x:f>IF(C62="x",IF(COUNT(AP62,AD62)&lt;2,"",IFERROR(AP62/AD62,"")),"")</x:f>
      </x:c>
      <x:c r="BK62" s="73" t="str">
        <x:f>IF(C62="x",IF(COUNT(AL62,AD62)&lt;2,"",IFERROR(AL62/AD62,"")),"")</x:f>
      </x:c>
      <x:c r="BL62" s="73" t="str">
        <x:f>IF(C62="x",IF(OR(COUNT(AD62)=0,COUNT(AR62,AS62)=0),"",IFERROR((AR62+AS62)/AD62,"")),"")</x:f>
      </x:c>
      <x:c r="BM62" s="73" t="str">
        <x:f>IF(AB62="xhs_save_rate",BA62,IF(AB62="xhs_completion_rate",BB62,IF(AB62="xhs_profile_visit_rate",BC62,IF(AB62="xhs_dm_intent_rate",BD62,IF(AB62="xhs_discussion_rate",BE62,IF(AB62="xhs_product_relevance_rate",BF62,IF(AB62="x_first_screen_engaged_rate_proxy",BG62,IF(AB62="x_qualified_reply_rate",BH62,IF(AB62="x_profile_click_rate",BI62,IF(AB62="x_link_intent_rate",BJ62,IF(AB62="x_bookmark_rate",BK62,IF(AB62="x_product_relevance_rate",BL62,""))))))))))))</x:f>
      </x:c>
      <x:c r="BN62" s="73" t="str">
        <x:f>IFERROR(BM62/AT62-1,"")</x:f>
      </x:c>
      <x:c r="BO62" s="73" t="str">
        <x:f>IF(AC62="","",IF(AC62="xhs_save_rate",BA62,IF(AC62="xhs_completion_rate",BB62,IF(AC62="xhs_profile_visit_rate",BC62,IF(AC62="xhs_dm_intent_rate",BD62,IF(AC62="xhs_discussion_rate",BE62,IF(AC62="xhs_product_relevance_rate",BF62,IF(AC62="x_first_screen_engaged_rate_proxy",BG62,IF(AC62="x_qualified_reply_rate",BH62,IF(AC62="x_profile_click_rate",BI62,IF(AC62="x_link_intent_rate",BJ62,IF(AC62="x_bookmark_rate",BK62,IF(AC62="x_product_relevance_rate",BL62,"")))))))))))))</x:f>
      </x:c>
      <x:c r="BP62" s="73" t="str">
        <x:f>IFERROR(BO62/AU62-1,"")</x:f>
      </x:c>
      <x:c r="BQ62" s="74" t="str">
        <x:f>IF(COUNT(AD62)=0,"",AD62)</x:f>
      </x:c>
      <x:c r="BR62" s="73" t="str">
        <x:f>IF(C62="xiaohongshu",IF(COUNT(BA62,BB62)=2,AVERAGE(BA62,BB62),IF(COUNT(BA62)=1,BA62,BB62)),BK62)</x:f>
      </x:c>
      <x:c r="BS62" s="73" t="str">
        <x:f>IF(C62="xiaohongshu",BE62,BH62)</x:f>
      </x:c>
      <x:c r="BT62" s="73" t="str">
        <x:f>IF(C62="xiaohongshu",IF(I62="save",BA62,IF(I62="discussion",BE62,IF(I62="profile_visit",BC62,IF(I62="dm",BD62,IF(OR(I62="product_question",I62="trial_intent"),BF62,""))))),IF(I62="save",BK62,IF(I62="discussion",BH62,IF(OR(I62="profile_visit",I62="dm"),BI62,IF(I62="link_click",BJ62,IF(OR(I62="product_question",I62="trial_intent"),BL62,""))))))</x:f>
      </x:c>
      <x:c r="BU62" s="73" t="str">
        <x:f>IF(C62="xiaohongshu",BF62,BL62)</x:f>
      </x:c>
      <x:c r="BV62" s="65" t="str">
        <x:f>IF(COUNT(BQ62,AV62)&lt;2,"unknown",IF(BQ62/AV62-1&gt;=0.2,"high",IF(BQ62/AV62-1&lt;=-0.2,"low","normal")))</x:f>
        <x:v>unknown</x:v>
      </x:c>
      <x:c r="BW62" s="65" t="str">
        <x:f>IF(COUNT(BR62,AW62)&lt;2,"unknown",IF(BR62/AW62-1&gt;=0.2,"high",IF(BR62/AW62-1&lt;=-0.2,"low","normal")))</x:f>
        <x:v>unknown</x:v>
      </x:c>
      <x:c r="BX62" s="65" t="str">
        <x:f>IF(COUNT(BS62,AX62)&lt;2,"unknown",IF(BS62/AX62-1&gt;=0.2,"high",IF(BS62/AX62-1&lt;=-0.2,"low","normal")))</x:f>
        <x:v>unknown</x:v>
      </x:c>
      <x:c r="BY62" s="65" t="str">
        <x:f>IF(COUNT(BT62,AY62)&lt;2,"unknown",IF(BT62/AY62-1&gt;=0.2,"high",IF(BT62/AY62-1&lt;=-0.2,"low","normal")))</x:f>
        <x:v>unknown</x:v>
      </x:c>
      <x:c r="BZ62" s="65" t="str">
        <x:f>IF(COUNT(BU62,AZ62)&lt;2,"unknown",IF(BU62/AZ62-1&gt;=0.2,"high",IF(BU62/AZ62-1&lt;=-0.2,"low","normal")))</x:f>
        <x:v>unknown</x:v>
      </x:c>
      <x:c r="CA62" s="65" t="str">
        <x:f>IF(T62&lt;&gt;"complete","pending",IF(OR(L62&lt;&gt;"pure",U62="true",COUNT(BM62,AT62)&lt;2,AND(AC62&lt;&gt;"",COUNT(BO62,AU62)&lt;2)),"not_attributable","attributable"))</x:f>
        <x:v>pending</x:v>
      </x:c>
      <x:c r="CB62" s="65" t="str">
        <x:f>IF(T62&lt;&gt;"complete","not_evaluated",IF(COUNT(BM62,AT62)&lt;2,"insufficient_data",IF(AND(AC62&lt;&gt;"",COUNT(BP62)=1,BP62&lt;=-0.2),"guardrail_fail",IF(AND(CA62="not_attributable",OR(BV62="high",BN62&gt;=0.2)),"watchlist",IF(CA62&lt;&gt;"attributable","insufficient_data",IF(BN62&gt;=0.2,"win",IF(BN62&lt;=-0.2,"loss","inconclusive")))))))</x:f>
        <x:v>not_evaluated</x:v>
      </x:c>
      <x:c r="CC62" s="65" t="str">
        <x:f>IF(T62&lt;&gt;"complete","COLLECT_MORE_DATA",IF(COUNT(BM62,AT62)&lt;2,"FIX_TRACKING",IF(CB62="guardrail_fail","STOP_VARIANT_GUARDRAIL",IF(CB62="watchlist","WATCHLIST_ONLY",IF(AND(BV62="high",BY62="low"),"KEEP_HOOK_REWRITE_CTA",IF(AND(BW62="high",BX62="low"),"KEEP_STRUCTURE_CHANGE_DISCUSSION_ANGLE",IF(AND(BX62="high",BZ62="low"),"DOWNWEIGHT_TEMPLATE",IF(CB62="win","RETEST_WINNER",IF(CB62="loss","RETURN_TO_BASELINE","COLLECT_MORE_DATA")))))))))</x:f>
        <x:v>COLLECT_MORE_DATA</x:v>
      </x:c>
      <x:c r="CD62" s="75"/>
    </x:row>
    <x:row r="63">
      <x:c r="A63" s="68"/>
      <x:c r="B63" s="69"/>
      <x:c r="C63" s="68"/>
      <x:c r="D63" s="68"/>
      <x:c r="E63" s="68"/>
      <x:c r="F63" s="68"/>
      <x:c r="G63" s="68"/>
      <x:c r="H63" s="70"/>
      <x:c r="I63" s="68"/>
      <x:c r="J63" s="68"/>
      <x:c r="K63" s="68"/>
      <x:c r="L63" s="71" t="str">
        <x:f>IF(K63="","unknown",IF(K63=0,"baseline",IF(K63=1,"pure","mixed")))</x:f>
        <x:v>unknown</x:v>
      </x:c>
      <x:c r="M63" s="68"/>
      <x:c r="N63" s="68"/>
      <x:c r="O63" s="68"/>
      <x:c r="P63" s="68"/>
      <x:c r="Q63" s="68"/>
      <x:c r="R63" s="68"/>
      <x:c r="S63" s="68"/>
      <x:c r="T63" s="68"/>
      <x:c r="U63" s="68"/>
      <x:c r="V63" s="68"/>
      <x:c r="W63" s="68"/>
      <x:c r="X63" s="68"/>
      <x:c r="Y63" s="68"/>
      <x:c r="Z63" s="68"/>
      <x:c r="AA63" s="68"/>
      <x:c r="AB63" s="68"/>
      <x:c r="AC63" s="68"/>
      <x:c r="AD63" s="70"/>
      <x:c r="AE63" s="70"/>
      <x:c r="AF63" s="70"/>
      <x:c r="AG63" s="70"/>
      <x:c r="AH63" s="70"/>
      <x:c r="AI63" s="70"/>
      <x:c r="AJ63" s="70"/>
      <x:c r="AK63" s="70"/>
      <x:c r="AL63" s="70"/>
      <x:c r="AM63" s="70"/>
      <x:c r="AN63" s="70"/>
      <x:c r="AO63" s="70"/>
      <x:c r="AP63" s="70"/>
      <x:c r="AQ63" s="70"/>
      <x:c r="AR63" s="70"/>
      <x:c r="AS63" s="70"/>
      <x:c r="AT63" s="72"/>
      <x:c r="AU63" s="72"/>
      <x:c r="AV63" s="72"/>
      <x:c r="AW63" s="72"/>
      <x:c r="AX63" s="72"/>
      <x:c r="AY63" s="72"/>
      <x:c r="AZ63" s="72"/>
      <x:c r="BA63" s="73" t="str">
        <x:f>IF(C63="xiaohongshu",IF(COUNT(AF63,AE63)&lt;2,"",IFERROR(AF63/AE63,"")),"")</x:f>
      </x:c>
      <x:c r="BB63" s="73" t="str">
        <x:f>IF(C63="xiaohongshu",IF(COUNT(AG63,AE63)&lt;2,"",IFERROR(AG63/AE63,"")),"")</x:f>
      </x:c>
      <x:c r="BC63" s="73" t="str">
        <x:f>IF(C63="xiaohongshu",IF(COUNT(AN63,AE63)&lt;2,"",IFERROR(AN63/AE63,"")),"")</x:f>
      </x:c>
      <x:c r="BD63" s="73" t="str">
        <x:f>IF(C63="xiaohongshu",IF(COUNT(AQ63,AE63)&lt;2,"",IFERROR(AQ63/AE63,"")),"")</x:f>
      </x:c>
      <x:c r="BE63" s="73" t="str">
        <x:f>IF(C63="xiaohongshu",IF(COUNT(AI63,AE63)&lt;2,"",IFERROR(AI63/AE63,"")),"")</x:f>
      </x:c>
      <x:c r="BF63" s="73" t="str">
        <x:f>IF(C63="xiaohongshu",IF(OR(COUNT(AE63)=0,COUNT(AR63,AS63)=0),"",IFERROR((AR63+AS63)/AE63,"")),"")</x:f>
      </x:c>
      <x:c r="BG63" s="73" t="str">
        <x:f>IF(C63="x",IF(COUNT(AD63)=0,"",IF(COUNT(AM63)=1,IFERROR(AM63/AD63,""),IF(COUNT(AH63,AI63,AK63,AL63)=0,"",IFERROR(SUM(AH63,AI63,AK63,AL63)/AD63,"")))),"")</x:f>
      </x:c>
      <x:c r="BH63" s="73" t="str">
        <x:f>IF(C63="x",IF(COUNT(AJ63,AD63)&lt;2,"",IFERROR(AJ63/AD63,"")),"")</x:f>
      </x:c>
      <x:c r="BI63" s="73" t="str">
        <x:f>IF(C63="x",IF(COUNT(AO63,AD63)&lt;2,"",IFERROR(AO63/AD63,"")),"")</x:f>
      </x:c>
      <x:c r="BJ63" s="73" t="str">
        <x:f>IF(C63="x",IF(COUNT(AP63,AD63)&lt;2,"",IFERROR(AP63/AD63,"")),"")</x:f>
      </x:c>
      <x:c r="BK63" s="73" t="str">
        <x:f>IF(C63="x",IF(COUNT(AL63,AD63)&lt;2,"",IFERROR(AL63/AD63,"")),"")</x:f>
      </x:c>
      <x:c r="BL63" s="73" t="str">
        <x:f>IF(C63="x",IF(OR(COUNT(AD63)=0,COUNT(AR63,AS63)=0),"",IFERROR((AR63+AS63)/AD63,"")),"")</x:f>
      </x:c>
      <x:c r="BM63" s="73" t="str">
        <x:f>IF(AB63="xhs_save_rate",BA63,IF(AB63="xhs_completion_rate",BB63,IF(AB63="xhs_profile_visit_rate",BC63,IF(AB63="xhs_dm_intent_rate",BD63,IF(AB63="xhs_discussion_rate",BE63,IF(AB63="xhs_product_relevance_rate",BF63,IF(AB63="x_first_screen_engaged_rate_proxy",BG63,IF(AB63="x_qualified_reply_rate",BH63,IF(AB63="x_profile_click_rate",BI63,IF(AB63="x_link_intent_rate",BJ63,IF(AB63="x_bookmark_rate",BK63,IF(AB63="x_product_relevance_rate",BL63,""))))))))))))</x:f>
      </x:c>
      <x:c r="BN63" s="73" t="str">
        <x:f>IFERROR(BM63/AT63-1,"")</x:f>
      </x:c>
      <x:c r="BO63" s="73" t="str">
        <x:f>IF(AC63="","",IF(AC63="xhs_save_rate",BA63,IF(AC63="xhs_completion_rate",BB63,IF(AC63="xhs_profile_visit_rate",BC63,IF(AC63="xhs_dm_intent_rate",BD63,IF(AC63="xhs_discussion_rate",BE63,IF(AC63="xhs_product_relevance_rate",BF63,IF(AC63="x_first_screen_engaged_rate_proxy",BG63,IF(AC63="x_qualified_reply_rate",BH63,IF(AC63="x_profile_click_rate",BI63,IF(AC63="x_link_intent_rate",BJ63,IF(AC63="x_bookmark_rate",BK63,IF(AC63="x_product_relevance_rate",BL63,"")))))))))))))</x:f>
      </x:c>
      <x:c r="BP63" s="73" t="str">
        <x:f>IFERROR(BO63/AU63-1,"")</x:f>
      </x:c>
      <x:c r="BQ63" s="74" t="str">
        <x:f>IF(COUNT(AD63)=0,"",AD63)</x:f>
      </x:c>
      <x:c r="BR63" s="73" t="str">
        <x:f>IF(C63="xiaohongshu",IF(COUNT(BA63,BB63)=2,AVERAGE(BA63,BB63),IF(COUNT(BA63)=1,BA63,BB63)),BK63)</x:f>
      </x:c>
      <x:c r="BS63" s="73" t="str">
        <x:f>IF(C63="xiaohongshu",BE63,BH63)</x:f>
      </x:c>
      <x:c r="BT63" s="73" t="str">
        <x:f>IF(C63="xiaohongshu",IF(I63="save",BA63,IF(I63="discussion",BE63,IF(I63="profile_visit",BC63,IF(I63="dm",BD63,IF(OR(I63="product_question",I63="trial_intent"),BF63,""))))),IF(I63="save",BK63,IF(I63="discussion",BH63,IF(OR(I63="profile_visit",I63="dm"),BI63,IF(I63="link_click",BJ63,IF(OR(I63="product_question",I63="trial_intent"),BL63,""))))))</x:f>
      </x:c>
      <x:c r="BU63" s="73" t="str">
        <x:f>IF(C63="xiaohongshu",BF63,BL63)</x:f>
      </x:c>
      <x:c r="BV63" s="65" t="str">
        <x:f>IF(COUNT(BQ63,AV63)&lt;2,"unknown",IF(BQ63/AV63-1&gt;=0.2,"high",IF(BQ63/AV63-1&lt;=-0.2,"low","normal")))</x:f>
        <x:v>unknown</x:v>
      </x:c>
      <x:c r="BW63" s="65" t="str">
        <x:f>IF(COUNT(BR63,AW63)&lt;2,"unknown",IF(BR63/AW63-1&gt;=0.2,"high",IF(BR63/AW63-1&lt;=-0.2,"low","normal")))</x:f>
        <x:v>unknown</x:v>
      </x:c>
      <x:c r="BX63" s="65" t="str">
        <x:f>IF(COUNT(BS63,AX63)&lt;2,"unknown",IF(BS63/AX63-1&gt;=0.2,"high",IF(BS63/AX63-1&lt;=-0.2,"low","normal")))</x:f>
        <x:v>unknown</x:v>
      </x:c>
      <x:c r="BY63" s="65" t="str">
        <x:f>IF(COUNT(BT63,AY63)&lt;2,"unknown",IF(BT63/AY63-1&gt;=0.2,"high",IF(BT63/AY63-1&lt;=-0.2,"low","normal")))</x:f>
        <x:v>unknown</x:v>
      </x:c>
      <x:c r="BZ63" s="65" t="str">
        <x:f>IF(COUNT(BU63,AZ63)&lt;2,"unknown",IF(BU63/AZ63-1&gt;=0.2,"high",IF(BU63/AZ63-1&lt;=-0.2,"low","normal")))</x:f>
        <x:v>unknown</x:v>
      </x:c>
      <x:c r="CA63" s="65" t="str">
        <x:f>IF(T63&lt;&gt;"complete","pending",IF(OR(L63&lt;&gt;"pure",U63="true",COUNT(BM63,AT63)&lt;2,AND(AC63&lt;&gt;"",COUNT(BO63,AU63)&lt;2)),"not_attributable","attributable"))</x:f>
        <x:v>pending</x:v>
      </x:c>
      <x:c r="CB63" s="65" t="str">
        <x:f>IF(T63&lt;&gt;"complete","not_evaluated",IF(COUNT(BM63,AT63)&lt;2,"insufficient_data",IF(AND(AC63&lt;&gt;"",COUNT(BP63)=1,BP63&lt;=-0.2),"guardrail_fail",IF(AND(CA63="not_attributable",OR(BV63="high",BN63&gt;=0.2)),"watchlist",IF(CA63&lt;&gt;"attributable","insufficient_data",IF(BN63&gt;=0.2,"win",IF(BN63&lt;=-0.2,"loss","inconclusive")))))))</x:f>
        <x:v>not_evaluated</x:v>
      </x:c>
      <x:c r="CC63" s="65" t="str">
        <x:f>IF(T63&lt;&gt;"complete","COLLECT_MORE_DATA",IF(COUNT(BM63,AT63)&lt;2,"FIX_TRACKING",IF(CB63="guardrail_fail","STOP_VARIANT_GUARDRAIL",IF(CB63="watchlist","WATCHLIST_ONLY",IF(AND(BV63="high",BY63="low"),"KEEP_HOOK_REWRITE_CTA",IF(AND(BW63="high",BX63="low"),"KEEP_STRUCTURE_CHANGE_DISCUSSION_ANGLE",IF(AND(BX63="high",BZ63="low"),"DOWNWEIGHT_TEMPLATE",IF(CB63="win","RETEST_WINNER",IF(CB63="loss","RETURN_TO_BASELINE","COLLECT_MORE_DATA")))))))))</x:f>
        <x:v>COLLECT_MORE_DATA</x:v>
      </x:c>
      <x:c r="CD63" s="75"/>
    </x:row>
    <x:row r="64">
      <x:c r="A64" s="68"/>
      <x:c r="B64" s="69"/>
      <x:c r="C64" s="68"/>
      <x:c r="D64" s="68"/>
      <x:c r="E64" s="68"/>
      <x:c r="F64" s="68"/>
      <x:c r="G64" s="68"/>
      <x:c r="H64" s="70"/>
      <x:c r="I64" s="68"/>
      <x:c r="J64" s="68"/>
      <x:c r="K64" s="68"/>
      <x:c r="L64" s="71" t="str">
        <x:f>IF(K64="","unknown",IF(K64=0,"baseline",IF(K64=1,"pure","mixed")))</x:f>
        <x:v>unknown</x:v>
      </x:c>
      <x:c r="M64" s="68"/>
      <x:c r="N64" s="68"/>
      <x:c r="O64" s="68"/>
      <x:c r="P64" s="68"/>
      <x:c r="Q64" s="68"/>
      <x:c r="R64" s="68"/>
      <x:c r="S64" s="68"/>
      <x:c r="T64" s="68"/>
      <x:c r="U64" s="68"/>
      <x:c r="V64" s="68"/>
      <x:c r="W64" s="68"/>
      <x:c r="X64" s="68"/>
      <x:c r="Y64" s="68"/>
      <x:c r="Z64" s="68"/>
      <x:c r="AA64" s="68"/>
      <x:c r="AB64" s="68"/>
      <x:c r="AC64" s="68"/>
      <x:c r="AD64" s="70"/>
      <x:c r="AE64" s="70"/>
      <x:c r="AF64" s="70"/>
      <x:c r="AG64" s="70"/>
      <x:c r="AH64" s="70"/>
      <x:c r="AI64" s="70"/>
      <x:c r="AJ64" s="70"/>
      <x:c r="AK64" s="70"/>
      <x:c r="AL64" s="70"/>
      <x:c r="AM64" s="70"/>
      <x:c r="AN64" s="70"/>
      <x:c r="AO64" s="70"/>
      <x:c r="AP64" s="70"/>
      <x:c r="AQ64" s="70"/>
      <x:c r="AR64" s="70"/>
      <x:c r="AS64" s="70"/>
      <x:c r="AT64" s="72"/>
      <x:c r="AU64" s="72"/>
      <x:c r="AV64" s="72"/>
      <x:c r="AW64" s="72"/>
      <x:c r="AX64" s="72"/>
      <x:c r="AY64" s="72"/>
      <x:c r="AZ64" s="72"/>
      <x:c r="BA64" s="73" t="str">
        <x:f>IF(C64="xiaohongshu",IF(COUNT(AF64,AE64)&lt;2,"",IFERROR(AF64/AE64,"")),"")</x:f>
      </x:c>
      <x:c r="BB64" s="73" t="str">
        <x:f>IF(C64="xiaohongshu",IF(COUNT(AG64,AE64)&lt;2,"",IFERROR(AG64/AE64,"")),"")</x:f>
      </x:c>
      <x:c r="BC64" s="73" t="str">
        <x:f>IF(C64="xiaohongshu",IF(COUNT(AN64,AE64)&lt;2,"",IFERROR(AN64/AE64,"")),"")</x:f>
      </x:c>
      <x:c r="BD64" s="73" t="str">
        <x:f>IF(C64="xiaohongshu",IF(COUNT(AQ64,AE64)&lt;2,"",IFERROR(AQ64/AE64,"")),"")</x:f>
      </x:c>
      <x:c r="BE64" s="73" t="str">
        <x:f>IF(C64="xiaohongshu",IF(COUNT(AI64,AE64)&lt;2,"",IFERROR(AI64/AE64,"")),"")</x:f>
      </x:c>
      <x:c r="BF64" s="73" t="str">
        <x:f>IF(C64="xiaohongshu",IF(OR(COUNT(AE64)=0,COUNT(AR64,AS64)=0),"",IFERROR((AR64+AS64)/AE64,"")),"")</x:f>
      </x:c>
      <x:c r="BG64" s="73" t="str">
        <x:f>IF(C64="x",IF(COUNT(AD64)=0,"",IF(COUNT(AM64)=1,IFERROR(AM64/AD64,""),IF(COUNT(AH64,AI64,AK64,AL64)=0,"",IFERROR(SUM(AH64,AI64,AK64,AL64)/AD64,"")))),"")</x:f>
      </x:c>
      <x:c r="BH64" s="73" t="str">
        <x:f>IF(C64="x",IF(COUNT(AJ64,AD64)&lt;2,"",IFERROR(AJ64/AD64,"")),"")</x:f>
      </x:c>
      <x:c r="BI64" s="73" t="str">
        <x:f>IF(C64="x",IF(COUNT(AO64,AD64)&lt;2,"",IFERROR(AO64/AD64,"")),"")</x:f>
      </x:c>
      <x:c r="BJ64" s="73" t="str">
        <x:f>IF(C64="x",IF(COUNT(AP64,AD64)&lt;2,"",IFERROR(AP64/AD64,"")),"")</x:f>
      </x:c>
      <x:c r="BK64" s="73" t="str">
        <x:f>IF(C64="x",IF(COUNT(AL64,AD64)&lt;2,"",IFERROR(AL64/AD64,"")),"")</x:f>
      </x:c>
      <x:c r="BL64" s="73" t="str">
        <x:f>IF(C64="x",IF(OR(COUNT(AD64)=0,COUNT(AR64,AS64)=0),"",IFERROR((AR64+AS64)/AD64,"")),"")</x:f>
      </x:c>
      <x:c r="BM64" s="73" t="str">
        <x:f>IF(AB64="xhs_save_rate",BA64,IF(AB64="xhs_completion_rate",BB64,IF(AB64="xhs_profile_visit_rate",BC64,IF(AB64="xhs_dm_intent_rate",BD64,IF(AB64="xhs_discussion_rate",BE64,IF(AB64="xhs_product_relevance_rate",BF64,IF(AB64="x_first_screen_engaged_rate_proxy",BG64,IF(AB64="x_qualified_reply_rate",BH64,IF(AB64="x_profile_click_rate",BI64,IF(AB64="x_link_intent_rate",BJ64,IF(AB64="x_bookmark_rate",BK64,IF(AB64="x_product_relevance_rate",BL64,""))))))))))))</x:f>
      </x:c>
      <x:c r="BN64" s="73" t="str">
        <x:f>IFERROR(BM64/AT64-1,"")</x:f>
      </x:c>
      <x:c r="BO64" s="73" t="str">
        <x:f>IF(AC64="","",IF(AC64="xhs_save_rate",BA64,IF(AC64="xhs_completion_rate",BB64,IF(AC64="xhs_profile_visit_rate",BC64,IF(AC64="xhs_dm_intent_rate",BD64,IF(AC64="xhs_discussion_rate",BE64,IF(AC64="xhs_product_relevance_rate",BF64,IF(AC64="x_first_screen_engaged_rate_proxy",BG64,IF(AC64="x_qualified_reply_rate",BH64,IF(AC64="x_profile_click_rate",BI64,IF(AC64="x_link_intent_rate",BJ64,IF(AC64="x_bookmark_rate",BK64,IF(AC64="x_product_relevance_rate",BL64,"")))))))))))))</x:f>
      </x:c>
      <x:c r="BP64" s="73" t="str">
        <x:f>IFERROR(BO64/AU64-1,"")</x:f>
      </x:c>
      <x:c r="BQ64" s="74" t="str">
        <x:f>IF(COUNT(AD64)=0,"",AD64)</x:f>
      </x:c>
      <x:c r="BR64" s="73" t="str">
        <x:f>IF(C64="xiaohongshu",IF(COUNT(BA64,BB64)=2,AVERAGE(BA64,BB64),IF(COUNT(BA64)=1,BA64,BB64)),BK64)</x:f>
      </x:c>
      <x:c r="BS64" s="73" t="str">
        <x:f>IF(C64="xiaohongshu",BE64,BH64)</x:f>
      </x:c>
      <x:c r="BT64" s="73" t="str">
        <x:f>IF(C64="xiaohongshu",IF(I64="save",BA64,IF(I64="discussion",BE64,IF(I64="profile_visit",BC64,IF(I64="dm",BD64,IF(OR(I64="product_question",I64="trial_intent"),BF64,""))))),IF(I64="save",BK64,IF(I64="discussion",BH64,IF(OR(I64="profile_visit",I64="dm"),BI64,IF(I64="link_click",BJ64,IF(OR(I64="product_question",I64="trial_intent"),BL64,""))))))</x:f>
      </x:c>
      <x:c r="BU64" s="73" t="str">
        <x:f>IF(C64="xiaohongshu",BF64,BL64)</x:f>
      </x:c>
      <x:c r="BV64" s="65" t="str">
        <x:f>IF(COUNT(BQ64,AV64)&lt;2,"unknown",IF(BQ64/AV64-1&gt;=0.2,"high",IF(BQ64/AV64-1&lt;=-0.2,"low","normal")))</x:f>
        <x:v>unknown</x:v>
      </x:c>
      <x:c r="BW64" s="65" t="str">
        <x:f>IF(COUNT(BR64,AW64)&lt;2,"unknown",IF(BR64/AW64-1&gt;=0.2,"high",IF(BR64/AW64-1&lt;=-0.2,"low","normal")))</x:f>
        <x:v>unknown</x:v>
      </x:c>
      <x:c r="BX64" s="65" t="str">
        <x:f>IF(COUNT(BS64,AX64)&lt;2,"unknown",IF(BS64/AX64-1&gt;=0.2,"high",IF(BS64/AX64-1&lt;=-0.2,"low","normal")))</x:f>
        <x:v>unknown</x:v>
      </x:c>
      <x:c r="BY64" s="65" t="str">
        <x:f>IF(COUNT(BT64,AY64)&lt;2,"unknown",IF(BT64/AY64-1&gt;=0.2,"high",IF(BT64/AY64-1&lt;=-0.2,"low","normal")))</x:f>
        <x:v>unknown</x:v>
      </x:c>
      <x:c r="BZ64" s="65" t="str">
        <x:f>IF(COUNT(BU64,AZ64)&lt;2,"unknown",IF(BU64/AZ64-1&gt;=0.2,"high",IF(BU64/AZ64-1&lt;=-0.2,"low","normal")))</x:f>
        <x:v>unknown</x:v>
      </x:c>
      <x:c r="CA64" s="65" t="str">
        <x:f>IF(T64&lt;&gt;"complete","pending",IF(OR(L64&lt;&gt;"pure",U64="true",COUNT(BM64,AT64)&lt;2,AND(AC64&lt;&gt;"",COUNT(BO64,AU64)&lt;2)),"not_attributable","attributable"))</x:f>
        <x:v>pending</x:v>
      </x:c>
      <x:c r="CB64" s="65" t="str">
        <x:f>IF(T64&lt;&gt;"complete","not_evaluated",IF(COUNT(BM64,AT64)&lt;2,"insufficient_data",IF(AND(AC64&lt;&gt;"",COUNT(BP64)=1,BP64&lt;=-0.2),"guardrail_fail",IF(AND(CA64="not_attributable",OR(BV64="high",BN64&gt;=0.2)),"watchlist",IF(CA64&lt;&gt;"attributable","insufficient_data",IF(BN64&gt;=0.2,"win",IF(BN64&lt;=-0.2,"loss","inconclusive")))))))</x:f>
        <x:v>not_evaluated</x:v>
      </x:c>
      <x:c r="CC64" s="65" t="str">
        <x:f>IF(T64&lt;&gt;"complete","COLLECT_MORE_DATA",IF(COUNT(BM64,AT64)&lt;2,"FIX_TRACKING",IF(CB64="guardrail_fail","STOP_VARIANT_GUARDRAIL",IF(CB64="watchlist","WATCHLIST_ONLY",IF(AND(BV64="high",BY64="low"),"KEEP_HOOK_REWRITE_CTA",IF(AND(BW64="high",BX64="low"),"KEEP_STRUCTURE_CHANGE_DISCUSSION_ANGLE",IF(AND(BX64="high",BZ64="low"),"DOWNWEIGHT_TEMPLATE",IF(CB64="win","RETEST_WINNER",IF(CB64="loss","RETURN_TO_BASELINE","COLLECT_MORE_DATA")))))))))</x:f>
        <x:v>COLLECT_MORE_DATA</x:v>
      </x:c>
      <x:c r="CD64" s="75"/>
    </x:row>
    <x:row r="65">
      <x:c r="A65" s="68"/>
      <x:c r="B65" s="69"/>
      <x:c r="C65" s="68"/>
      <x:c r="D65" s="68"/>
      <x:c r="E65" s="68"/>
      <x:c r="F65" s="68"/>
      <x:c r="G65" s="68"/>
      <x:c r="H65" s="70"/>
      <x:c r="I65" s="68"/>
      <x:c r="J65" s="68"/>
      <x:c r="K65" s="68"/>
      <x:c r="L65" s="71" t="str">
        <x:f>IF(K65="","unknown",IF(K65=0,"baseline",IF(K65=1,"pure","mixed")))</x:f>
        <x:v>unknown</x:v>
      </x:c>
      <x:c r="M65" s="68"/>
      <x:c r="N65" s="68"/>
      <x:c r="O65" s="68"/>
      <x:c r="P65" s="68"/>
      <x:c r="Q65" s="68"/>
      <x:c r="R65" s="68"/>
      <x:c r="S65" s="68"/>
      <x:c r="T65" s="68"/>
      <x:c r="U65" s="68"/>
      <x:c r="V65" s="68"/>
      <x:c r="W65" s="68"/>
      <x:c r="X65" s="68"/>
      <x:c r="Y65" s="68"/>
      <x:c r="Z65" s="68"/>
      <x:c r="AA65" s="68"/>
      <x:c r="AB65" s="68"/>
      <x:c r="AC65" s="68"/>
      <x:c r="AD65" s="70"/>
      <x:c r="AE65" s="70"/>
      <x:c r="AF65" s="70"/>
      <x:c r="AG65" s="70"/>
      <x:c r="AH65" s="70"/>
      <x:c r="AI65" s="70"/>
      <x:c r="AJ65" s="70"/>
      <x:c r="AK65" s="70"/>
      <x:c r="AL65" s="70"/>
      <x:c r="AM65" s="70"/>
      <x:c r="AN65" s="70"/>
      <x:c r="AO65" s="70"/>
      <x:c r="AP65" s="70"/>
      <x:c r="AQ65" s="70"/>
      <x:c r="AR65" s="70"/>
      <x:c r="AS65" s="70"/>
      <x:c r="AT65" s="72"/>
      <x:c r="AU65" s="72"/>
      <x:c r="AV65" s="72"/>
      <x:c r="AW65" s="72"/>
      <x:c r="AX65" s="72"/>
      <x:c r="AY65" s="72"/>
      <x:c r="AZ65" s="72"/>
      <x:c r="BA65" s="73" t="str">
        <x:f>IF(C65="xiaohongshu",IF(COUNT(AF65,AE65)&lt;2,"",IFERROR(AF65/AE65,"")),"")</x:f>
      </x:c>
      <x:c r="BB65" s="73" t="str">
        <x:f>IF(C65="xiaohongshu",IF(COUNT(AG65,AE65)&lt;2,"",IFERROR(AG65/AE65,"")),"")</x:f>
      </x:c>
      <x:c r="BC65" s="73" t="str">
        <x:f>IF(C65="xiaohongshu",IF(COUNT(AN65,AE65)&lt;2,"",IFERROR(AN65/AE65,"")),"")</x:f>
      </x:c>
      <x:c r="BD65" s="73" t="str">
        <x:f>IF(C65="xiaohongshu",IF(COUNT(AQ65,AE65)&lt;2,"",IFERROR(AQ65/AE65,"")),"")</x:f>
      </x:c>
      <x:c r="BE65" s="73" t="str">
        <x:f>IF(C65="xiaohongshu",IF(COUNT(AI65,AE65)&lt;2,"",IFERROR(AI65/AE65,"")),"")</x:f>
      </x:c>
      <x:c r="BF65" s="73" t="str">
        <x:f>IF(C65="xiaohongshu",IF(OR(COUNT(AE65)=0,COUNT(AR65,AS65)=0),"",IFERROR((AR65+AS65)/AE65,"")),"")</x:f>
      </x:c>
      <x:c r="BG65" s="73" t="str">
        <x:f>IF(C65="x",IF(COUNT(AD65)=0,"",IF(COUNT(AM65)=1,IFERROR(AM65/AD65,""),IF(COUNT(AH65,AI65,AK65,AL65)=0,"",IFERROR(SUM(AH65,AI65,AK65,AL65)/AD65,"")))),"")</x:f>
      </x:c>
      <x:c r="BH65" s="73" t="str">
        <x:f>IF(C65="x",IF(COUNT(AJ65,AD65)&lt;2,"",IFERROR(AJ65/AD65,"")),"")</x:f>
      </x:c>
      <x:c r="BI65" s="73" t="str">
        <x:f>IF(C65="x",IF(COUNT(AO65,AD65)&lt;2,"",IFERROR(AO65/AD65,"")),"")</x:f>
      </x:c>
      <x:c r="BJ65" s="73" t="str">
        <x:f>IF(C65="x",IF(COUNT(AP65,AD65)&lt;2,"",IFERROR(AP65/AD65,"")),"")</x:f>
      </x:c>
      <x:c r="BK65" s="73" t="str">
        <x:f>IF(C65="x",IF(COUNT(AL65,AD65)&lt;2,"",IFERROR(AL65/AD65,"")),"")</x:f>
      </x:c>
      <x:c r="BL65" s="73" t="str">
        <x:f>IF(C65="x",IF(OR(COUNT(AD65)=0,COUNT(AR65,AS65)=0),"",IFERROR((AR65+AS65)/AD65,"")),"")</x:f>
      </x:c>
      <x:c r="BM65" s="73" t="str">
        <x:f>IF(AB65="xhs_save_rate",BA65,IF(AB65="xhs_completion_rate",BB65,IF(AB65="xhs_profile_visit_rate",BC65,IF(AB65="xhs_dm_intent_rate",BD65,IF(AB65="xhs_discussion_rate",BE65,IF(AB65="xhs_product_relevance_rate",BF65,IF(AB65="x_first_screen_engaged_rate_proxy",BG65,IF(AB65="x_qualified_reply_rate",BH65,IF(AB65="x_profile_click_rate",BI65,IF(AB65="x_link_intent_rate",BJ65,IF(AB65="x_bookmark_rate",BK65,IF(AB65="x_product_relevance_rate",BL65,""))))))))))))</x:f>
      </x:c>
      <x:c r="BN65" s="73" t="str">
        <x:f>IFERROR(BM65/AT65-1,"")</x:f>
      </x:c>
      <x:c r="BO65" s="73" t="str">
        <x:f>IF(AC65="","",IF(AC65="xhs_save_rate",BA65,IF(AC65="xhs_completion_rate",BB65,IF(AC65="xhs_profile_visit_rate",BC65,IF(AC65="xhs_dm_intent_rate",BD65,IF(AC65="xhs_discussion_rate",BE65,IF(AC65="xhs_product_relevance_rate",BF65,IF(AC65="x_first_screen_engaged_rate_proxy",BG65,IF(AC65="x_qualified_reply_rate",BH65,IF(AC65="x_profile_click_rate",BI65,IF(AC65="x_link_intent_rate",BJ65,IF(AC65="x_bookmark_rate",BK65,IF(AC65="x_product_relevance_rate",BL65,"")))))))))))))</x:f>
      </x:c>
      <x:c r="BP65" s="73" t="str">
        <x:f>IFERROR(BO65/AU65-1,"")</x:f>
      </x:c>
      <x:c r="BQ65" s="74" t="str">
        <x:f>IF(COUNT(AD65)=0,"",AD65)</x:f>
      </x:c>
      <x:c r="BR65" s="73" t="str">
        <x:f>IF(C65="xiaohongshu",IF(COUNT(BA65,BB65)=2,AVERAGE(BA65,BB65),IF(COUNT(BA65)=1,BA65,BB65)),BK65)</x:f>
      </x:c>
      <x:c r="BS65" s="73" t="str">
        <x:f>IF(C65="xiaohongshu",BE65,BH65)</x:f>
      </x:c>
      <x:c r="BT65" s="73" t="str">
        <x:f>IF(C65="xiaohongshu",IF(I65="save",BA65,IF(I65="discussion",BE65,IF(I65="profile_visit",BC65,IF(I65="dm",BD65,IF(OR(I65="product_question",I65="trial_intent"),BF65,""))))),IF(I65="save",BK65,IF(I65="discussion",BH65,IF(OR(I65="profile_visit",I65="dm"),BI65,IF(I65="link_click",BJ65,IF(OR(I65="product_question",I65="trial_intent"),BL65,""))))))</x:f>
      </x:c>
      <x:c r="BU65" s="73" t="str">
        <x:f>IF(C65="xiaohongshu",BF65,BL65)</x:f>
      </x:c>
      <x:c r="BV65" s="65" t="str">
        <x:f>IF(COUNT(BQ65,AV65)&lt;2,"unknown",IF(BQ65/AV65-1&gt;=0.2,"high",IF(BQ65/AV65-1&lt;=-0.2,"low","normal")))</x:f>
        <x:v>unknown</x:v>
      </x:c>
      <x:c r="BW65" s="65" t="str">
        <x:f>IF(COUNT(BR65,AW65)&lt;2,"unknown",IF(BR65/AW65-1&gt;=0.2,"high",IF(BR65/AW65-1&lt;=-0.2,"low","normal")))</x:f>
        <x:v>unknown</x:v>
      </x:c>
      <x:c r="BX65" s="65" t="str">
        <x:f>IF(COUNT(BS65,AX65)&lt;2,"unknown",IF(BS65/AX65-1&gt;=0.2,"high",IF(BS65/AX65-1&lt;=-0.2,"low","normal")))</x:f>
        <x:v>unknown</x:v>
      </x:c>
      <x:c r="BY65" s="65" t="str">
        <x:f>IF(COUNT(BT65,AY65)&lt;2,"unknown",IF(BT65/AY65-1&gt;=0.2,"high",IF(BT65/AY65-1&lt;=-0.2,"low","normal")))</x:f>
        <x:v>unknown</x:v>
      </x:c>
      <x:c r="BZ65" s="65" t="str">
        <x:f>IF(COUNT(BU65,AZ65)&lt;2,"unknown",IF(BU65/AZ65-1&gt;=0.2,"high",IF(BU65/AZ65-1&lt;=-0.2,"low","normal")))</x:f>
        <x:v>unknown</x:v>
      </x:c>
      <x:c r="CA65" s="65" t="str">
        <x:f>IF(T65&lt;&gt;"complete","pending",IF(OR(L65&lt;&gt;"pure",U65="true",COUNT(BM65,AT65)&lt;2,AND(AC65&lt;&gt;"",COUNT(BO65,AU65)&lt;2)),"not_attributable","attributable"))</x:f>
        <x:v>pending</x:v>
      </x:c>
      <x:c r="CB65" s="65" t="str">
        <x:f>IF(T65&lt;&gt;"complete","not_evaluated",IF(COUNT(BM65,AT65)&lt;2,"insufficient_data",IF(AND(AC65&lt;&gt;"",COUNT(BP65)=1,BP65&lt;=-0.2),"guardrail_fail",IF(AND(CA65="not_attributable",OR(BV65="high",BN65&gt;=0.2)),"watchlist",IF(CA65&lt;&gt;"attributable","insufficient_data",IF(BN65&gt;=0.2,"win",IF(BN65&lt;=-0.2,"loss","inconclusive")))))))</x:f>
        <x:v>not_evaluated</x:v>
      </x:c>
      <x:c r="CC65" s="65" t="str">
        <x:f>IF(T65&lt;&gt;"complete","COLLECT_MORE_DATA",IF(COUNT(BM65,AT65)&lt;2,"FIX_TRACKING",IF(CB65="guardrail_fail","STOP_VARIANT_GUARDRAIL",IF(CB65="watchlist","WATCHLIST_ONLY",IF(AND(BV65="high",BY65="low"),"KEEP_HOOK_REWRITE_CTA",IF(AND(BW65="high",BX65="low"),"KEEP_STRUCTURE_CHANGE_DISCUSSION_ANGLE",IF(AND(BX65="high",BZ65="low"),"DOWNWEIGHT_TEMPLATE",IF(CB65="win","RETEST_WINNER",IF(CB65="loss","RETURN_TO_BASELINE","COLLECT_MORE_DATA")))))))))</x:f>
        <x:v>COLLECT_MORE_DATA</x:v>
      </x:c>
      <x:c r="CD65" s="75"/>
    </x:row>
    <x:row r="66">
      <x:c r="A66" s="68"/>
      <x:c r="B66" s="69"/>
      <x:c r="C66" s="68"/>
      <x:c r="D66" s="68"/>
      <x:c r="E66" s="68"/>
      <x:c r="F66" s="68"/>
      <x:c r="G66" s="68"/>
      <x:c r="H66" s="70"/>
      <x:c r="I66" s="68"/>
      <x:c r="J66" s="68"/>
      <x:c r="K66" s="68"/>
      <x:c r="L66" s="71" t="str">
        <x:f>IF(K66="","unknown",IF(K66=0,"baseline",IF(K66=1,"pure","mixed")))</x:f>
        <x:v>unknown</x:v>
      </x:c>
      <x:c r="M66" s="68"/>
      <x:c r="N66" s="68"/>
      <x:c r="O66" s="68"/>
      <x:c r="P66" s="68"/>
      <x:c r="Q66" s="68"/>
      <x:c r="R66" s="68"/>
      <x:c r="S66" s="68"/>
      <x:c r="T66" s="68"/>
      <x:c r="U66" s="68"/>
      <x:c r="V66" s="68"/>
      <x:c r="W66" s="68"/>
      <x:c r="X66" s="68"/>
      <x:c r="Y66" s="68"/>
      <x:c r="Z66" s="68"/>
      <x:c r="AA66" s="68"/>
      <x:c r="AB66" s="68"/>
      <x:c r="AC66" s="68"/>
      <x:c r="AD66" s="70"/>
      <x:c r="AE66" s="70"/>
      <x:c r="AF66" s="70"/>
      <x:c r="AG66" s="70"/>
      <x:c r="AH66" s="70"/>
      <x:c r="AI66" s="70"/>
      <x:c r="AJ66" s="70"/>
      <x:c r="AK66" s="70"/>
      <x:c r="AL66" s="70"/>
      <x:c r="AM66" s="70"/>
      <x:c r="AN66" s="70"/>
      <x:c r="AO66" s="70"/>
      <x:c r="AP66" s="70"/>
      <x:c r="AQ66" s="70"/>
      <x:c r="AR66" s="70"/>
      <x:c r="AS66" s="70"/>
      <x:c r="AT66" s="72"/>
      <x:c r="AU66" s="72"/>
      <x:c r="AV66" s="72"/>
      <x:c r="AW66" s="72"/>
      <x:c r="AX66" s="72"/>
      <x:c r="AY66" s="72"/>
      <x:c r="AZ66" s="72"/>
      <x:c r="BA66" s="73" t="str">
        <x:f>IF(C66="xiaohongshu",IF(COUNT(AF66,AE66)&lt;2,"",IFERROR(AF66/AE66,"")),"")</x:f>
      </x:c>
      <x:c r="BB66" s="73" t="str">
        <x:f>IF(C66="xiaohongshu",IF(COUNT(AG66,AE66)&lt;2,"",IFERROR(AG66/AE66,"")),"")</x:f>
      </x:c>
      <x:c r="BC66" s="73" t="str">
        <x:f>IF(C66="xiaohongshu",IF(COUNT(AN66,AE66)&lt;2,"",IFERROR(AN66/AE66,"")),"")</x:f>
      </x:c>
      <x:c r="BD66" s="73" t="str">
        <x:f>IF(C66="xiaohongshu",IF(COUNT(AQ66,AE66)&lt;2,"",IFERROR(AQ66/AE66,"")),"")</x:f>
      </x:c>
      <x:c r="BE66" s="73" t="str">
        <x:f>IF(C66="xiaohongshu",IF(COUNT(AI66,AE66)&lt;2,"",IFERROR(AI66/AE66,"")),"")</x:f>
      </x:c>
      <x:c r="BF66" s="73" t="str">
        <x:f>IF(C66="xiaohongshu",IF(OR(COUNT(AE66)=0,COUNT(AR66,AS66)=0),"",IFERROR((AR66+AS66)/AE66,"")),"")</x:f>
      </x:c>
      <x:c r="BG66" s="73" t="str">
        <x:f>IF(C66="x",IF(COUNT(AD66)=0,"",IF(COUNT(AM66)=1,IFERROR(AM66/AD66,""),IF(COUNT(AH66,AI66,AK66,AL66)=0,"",IFERROR(SUM(AH66,AI66,AK66,AL66)/AD66,"")))),"")</x:f>
      </x:c>
      <x:c r="BH66" s="73" t="str">
        <x:f>IF(C66="x",IF(COUNT(AJ66,AD66)&lt;2,"",IFERROR(AJ66/AD66,"")),"")</x:f>
      </x:c>
      <x:c r="BI66" s="73" t="str">
        <x:f>IF(C66="x",IF(COUNT(AO66,AD66)&lt;2,"",IFERROR(AO66/AD66,"")),"")</x:f>
      </x:c>
      <x:c r="BJ66" s="73" t="str">
        <x:f>IF(C66="x",IF(COUNT(AP66,AD66)&lt;2,"",IFERROR(AP66/AD66,"")),"")</x:f>
      </x:c>
      <x:c r="BK66" s="73" t="str">
        <x:f>IF(C66="x",IF(COUNT(AL66,AD66)&lt;2,"",IFERROR(AL66/AD66,"")),"")</x:f>
      </x:c>
      <x:c r="BL66" s="73" t="str">
        <x:f>IF(C66="x",IF(OR(COUNT(AD66)=0,COUNT(AR66,AS66)=0),"",IFERROR((AR66+AS66)/AD66,"")),"")</x:f>
      </x:c>
      <x:c r="BM66" s="73" t="str">
        <x:f>IF(AB66="xhs_save_rate",BA66,IF(AB66="xhs_completion_rate",BB66,IF(AB66="xhs_profile_visit_rate",BC66,IF(AB66="xhs_dm_intent_rate",BD66,IF(AB66="xhs_discussion_rate",BE66,IF(AB66="xhs_product_relevance_rate",BF66,IF(AB66="x_first_screen_engaged_rate_proxy",BG66,IF(AB66="x_qualified_reply_rate",BH66,IF(AB66="x_profile_click_rate",BI66,IF(AB66="x_link_intent_rate",BJ66,IF(AB66="x_bookmark_rate",BK66,IF(AB66="x_product_relevance_rate",BL66,""))))))))))))</x:f>
      </x:c>
      <x:c r="BN66" s="73" t="str">
        <x:f>IFERROR(BM66/AT66-1,"")</x:f>
      </x:c>
      <x:c r="BO66" s="73" t="str">
        <x:f>IF(AC66="","",IF(AC66="xhs_save_rate",BA66,IF(AC66="xhs_completion_rate",BB66,IF(AC66="xhs_profile_visit_rate",BC66,IF(AC66="xhs_dm_intent_rate",BD66,IF(AC66="xhs_discussion_rate",BE66,IF(AC66="xhs_product_relevance_rate",BF66,IF(AC66="x_first_screen_engaged_rate_proxy",BG66,IF(AC66="x_qualified_reply_rate",BH66,IF(AC66="x_profile_click_rate",BI66,IF(AC66="x_link_intent_rate",BJ66,IF(AC66="x_bookmark_rate",BK66,IF(AC66="x_product_relevance_rate",BL66,"")))))))))))))</x:f>
      </x:c>
      <x:c r="BP66" s="73" t="str">
        <x:f>IFERROR(BO66/AU66-1,"")</x:f>
      </x:c>
      <x:c r="BQ66" s="74" t="str">
        <x:f>IF(COUNT(AD66)=0,"",AD66)</x:f>
      </x:c>
      <x:c r="BR66" s="73" t="str">
        <x:f>IF(C66="xiaohongshu",IF(COUNT(BA66,BB66)=2,AVERAGE(BA66,BB66),IF(COUNT(BA66)=1,BA66,BB66)),BK66)</x:f>
      </x:c>
      <x:c r="BS66" s="73" t="str">
        <x:f>IF(C66="xiaohongshu",BE66,BH66)</x:f>
      </x:c>
      <x:c r="BT66" s="73" t="str">
        <x:f>IF(C66="xiaohongshu",IF(I66="save",BA66,IF(I66="discussion",BE66,IF(I66="profile_visit",BC66,IF(I66="dm",BD66,IF(OR(I66="product_question",I66="trial_intent"),BF66,""))))),IF(I66="save",BK66,IF(I66="discussion",BH66,IF(OR(I66="profile_visit",I66="dm"),BI66,IF(I66="link_click",BJ66,IF(OR(I66="product_question",I66="trial_intent"),BL66,""))))))</x:f>
      </x:c>
      <x:c r="BU66" s="73" t="str">
        <x:f>IF(C66="xiaohongshu",BF66,BL66)</x:f>
      </x:c>
      <x:c r="BV66" s="65" t="str">
        <x:f>IF(COUNT(BQ66,AV66)&lt;2,"unknown",IF(BQ66/AV66-1&gt;=0.2,"high",IF(BQ66/AV66-1&lt;=-0.2,"low","normal")))</x:f>
        <x:v>unknown</x:v>
      </x:c>
      <x:c r="BW66" s="65" t="str">
        <x:f>IF(COUNT(BR66,AW66)&lt;2,"unknown",IF(BR66/AW66-1&gt;=0.2,"high",IF(BR66/AW66-1&lt;=-0.2,"low","normal")))</x:f>
        <x:v>unknown</x:v>
      </x:c>
      <x:c r="BX66" s="65" t="str">
        <x:f>IF(COUNT(BS66,AX66)&lt;2,"unknown",IF(BS66/AX66-1&gt;=0.2,"high",IF(BS66/AX66-1&lt;=-0.2,"low","normal")))</x:f>
        <x:v>unknown</x:v>
      </x:c>
      <x:c r="BY66" s="65" t="str">
        <x:f>IF(COUNT(BT66,AY66)&lt;2,"unknown",IF(BT66/AY66-1&gt;=0.2,"high",IF(BT66/AY66-1&lt;=-0.2,"low","normal")))</x:f>
        <x:v>unknown</x:v>
      </x:c>
      <x:c r="BZ66" s="65" t="str">
        <x:f>IF(COUNT(BU66,AZ66)&lt;2,"unknown",IF(BU66/AZ66-1&gt;=0.2,"high",IF(BU66/AZ66-1&lt;=-0.2,"low","normal")))</x:f>
        <x:v>unknown</x:v>
      </x:c>
      <x:c r="CA66" s="65" t="str">
        <x:f>IF(T66&lt;&gt;"complete","pending",IF(OR(L66&lt;&gt;"pure",U66="true",COUNT(BM66,AT66)&lt;2,AND(AC66&lt;&gt;"",COUNT(BO66,AU66)&lt;2)),"not_attributable","attributable"))</x:f>
        <x:v>pending</x:v>
      </x:c>
      <x:c r="CB66" s="65" t="str">
        <x:f>IF(T66&lt;&gt;"complete","not_evaluated",IF(COUNT(BM66,AT66)&lt;2,"insufficient_data",IF(AND(AC66&lt;&gt;"",COUNT(BP66)=1,BP66&lt;=-0.2),"guardrail_fail",IF(AND(CA66="not_attributable",OR(BV66="high",BN66&gt;=0.2)),"watchlist",IF(CA66&lt;&gt;"attributable","insufficient_data",IF(BN66&gt;=0.2,"win",IF(BN66&lt;=-0.2,"loss","inconclusive")))))))</x:f>
        <x:v>not_evaluated</x:v>
      </x:c>
      <x:c r="CC66" s="65" t="str">
        <x:f>IF(T66&lt;&gt;"complete","COLLECT_MORE_DATA",IF(COUNT(BM66,AT66)&lt;2,"FIX_TRACKING",IF(CB66="guardrail_fail","STOP_VARIANT_GUARDRAIL",IF(CB66="watchlist","WATCHLIST_ONLY",IF(AND(BV66="high",BY66="low"),"KEEP_HOOK_REWRITE_CTA",IF(AND(BW66="high",BX66="low"),"KEEP_STRUCTURE_CHANGE_DISCUSSION_ANGLE",IF(AND(BX66="high",BZ66="low"),"DOWNWEIGHT_TEMPLATE",IF(CB66="win","RETEST_WINNER",IF(CB66="loss","RETURN_TO_BASELINE","COLLECT_MORE_DATA")))))))))</x:f>
        <x:v>COLLECT_MORE_DATA</x:v>
      </x:c>
      <x:c r="CD66" s="75"/>
    </x:row>
    <x:row r="67">
      <x:c r="A67" s="68"/>
      <x:c r="B67" s="69"/>
      <x:c r="C67" s="68"/>
      <x:c r="D67" s="68"/>
      <x:c r="E67" s="68"/>
      <x:c r="F67" s="68"/>
      <x:c r="G67" s="68"/>
      <x:c r="H67" s="70"/>
      <x:c r="I67" s="68"/>
      <x:c r="J67" s="68"/>
      <x:c r="K67" s="68"/>
      <x:c r="L67" s="71" t="str">
        <x:f>IF(K67="","unknown",IF(K67=0,"baseline",IF(K67=1,"pure","mixed")))</x:f>
        <x:v>unknown</x:v>
      </x:c>
      <x:c r="M67" s="68"/>
      <x:c r="N67" s="68"/>
      <x:c r="O67" s="68"/>
      <x:c r="P67" s="68"/>
      <x:c r="Q67" s="68"/>
      <x:c r="R67" s="68"/>
      <x:c r="S67" s="68"/>
      <x:c r="T67" s="68"/>
      <x:c r="U67" s="68"/>
      <x:c r="V67" s="68"/>
      <x:c r="W67" s="68"/>
      <x:c r="X67" s="68"/>
      <x:c r="Y67" s="68"/>
      <x:c r="Z67" s="68"/>
      <x:c r="AA67" s="68"/>
      <x:c r="AB67" s="68"/>
      <x:c r="AC67" s="68"/>
      <x:c r="AD67" s="70"/>
      <x:c r="AE67" s="70"/>
      <x:c r="AF67" s="70"/>
      <x:c r="AG67" s="70"/>
      <x:c r="AH67" s="70"/>
      <x:c r="AI67" s="70"/>
      <x:c r="AJ67" s="70"/>
      <x:c r="AK67" s="70"/>
      <x:c r="AL67" s="70"/>
      <x:c r="AM67" s="70"/>
      <x:c r="AN67" s="70"/>
      <x:c r="AO67" s="70"/>
      <x:c r="AP67" s="70"/>
      <x:c r="AQ67" s="70"/>
      <x:c r="AR67" s="70"/>
      <x:c r="AS67" s="70"/>
      <x:c r="AT67" s="72"/>
      <x:c r="AU67" s="72"/>
      <x:c r="AV67" s="72"/>
      <x:c r="AW67" s="72"/>
      <x:c r="AX67" s="72"/>
      <x:c r="AY67" s="72"/>
      <x:c r="AZ67" s="72"/>
      <x:c r="BA67" s="73" t="str">
        <x:f>IF(C67="xiaohongshu",IF(COUNT(AF67,AE67)&lt;2,"",IFERROR(AF67/AE67,"")),"")</x:f>
      </x:c>
      <x:c r="BB67" s="73" t="str">
        <x:f>IF(C67="xiaohongshu",IF(COUNT(AG67,AE67)&lt;2,"",IFERROR(AG67/AE67,"")),"")</x:f>
      </x:c>
      <x:c r="BC67" s="73" t="str">
        <x:f>IF(C67="xiaohongshu",IF(COUNT(AN67,AE67)&lt;2,"",IFERROR(AN67/AE67,"")),"")</x:f>
      </x:c>
      <x:c r="BD67" s="73" t="str">
        <x:f>IF(C67="xiaohongshu",IF(COUNT(AQ67,AE67)&lt;2,"",IFERROR(AQ67/AE67,"")),"")</x:f>
      </x:c>
      <x:c r="BE67" s="73" t="str">
        <x:f>IF(C67="xiaohongshu",IF(COUNT(AI67,AE67)&lt;2,"",IFERROR(AI67/AE67,"")),"")</x:f>
      </x:c>
      <x:c r="BF67" s="73" t="str">
        <x:f>IF(C67="xiaohongshu",IF(OR(COUNT(AE67)=0,COUNT(AR67,AS67)=0),"",IFERROR((AR67+AS67)/AE67,"")),"")</x:f>
      </x:c>
      <x:c r="BG67" s="73" t="str">
        <x:f>IF(C67="x",IF(COUNT(AD67)=0,"",IF(COUNT(AM67)=1,IFERROR(AM67/AD67,""),IF(COUNT(AH67,AI67,AK67,AL67)=0,"",IFERROR(SUM(AH67,AI67,AK67,AL67)/AD67,"")))),"")</x:f>
      </x:c>
      <x:c r="BH67" s="73" t="str">
        <x:f>IF(C67="x",IF(COUNT(AJ67,AD67)&lt;2,"",IFERROR(AJ67/AD67,"")),"")</x:f>
      </x:c>
      <x:c r="BI67" s="73" t="str">
        <x:f>IF(C67="x",IF(COUNT(AO67,AD67)&lt;2,"",IFERROR(AO67/AD67,"")),"")</x:f>
      </x:c>
      <x:c r="BJ67" s="73" t="str">
        <x:f>IF(C67="x",IF(COUNT(AP67,AD67)&lt;2,"",IFERROR(AP67/AD67,"")),"")</x:f>
      </x:c>
      <x:c r="BK67" s="73" t="str">
        <x:f>IF(C67="x",IF(COUNT(AL67,AD67)&lt;2,"",IFERROR(AL67/AD67,"")),"")</x:f>
      </x:c>
      <x:c r="BL67" s="73" t="str">
        <x:f>IF(C67="x",IF(OR(COUNT(AD67)=0,COUNT(AR67,AS67)=0),"",IFERROR((AR67+AS67)/AD67,"")),"")</x:f>
      </x:c>
      <x:c r="BM67" s="73" t="str">
        <x:f>IF(AB67="xhs_save_rate",BA67,IF(AB67="xhs_completion_rate",BB67,IF(AB67="xhs_profile_visit_rate",BC67,IF(AB67="xhs_dm_intent_rate",BD67,IF(AB67="xhs_discussion_rate",BE67,IF(AB67="xhs_product_relevance_rate",BF67,IF(AB67="x_first_screen_engaged_rate_proxy",BG67,IF(AB67="x_qualified_reply_rate",BH67,IF(AB67="x_profile_click_rate",BI67,IF(AB67="x_link_intent_rate",BJ67,IF(AB67="x_bookmark_rate",BK67,IF(AB67="x_product_relevance_rate",BL67,""))))))))))))</x:f>
      </x:c>
      <x:c r="BN67" s="73" t="str">
        <x:f>IFERROR(BM67/AT67-1,"")</x:f>
      </x:c>
      <x:c r="BO67" s="73" t="str">
        <x:f>IF(AC67="","",IF(AC67="xhs_save_rate",BA67,IF(AC67="xhs_completion_rate",BB67,IF(AC67="xhs_profile_visit_rate",BC67,IF(AC67="xhs_dm_intent_rate",BD67,IF(AC67="xhs_discussion_rate",BE67,IF(AC67="xhs_product_relevance_rate",BF67,IF(AC67="x_first_screen_engaged_rate_proxy",BG67,IF(AC67="x_qualified_reply_rate",BH67,IF(AC67="x_profile_click_rate",BI67,IF(AC67="x_link_intent_rate",BJ67,IF(AC67="x_bookmark_rate",BK67,IF(AC67="x_product_relevance_rate",BL67,"")))))))))))))</x:f>
      </x:c>
      <x:c r="BP67" s="73" t="str">
        <x:f>IFERROR(BO67/AU67-1,"")</x:f>
      </x:c>
      <x:c r="BQ67" s="74" t="str">
        <x:f>IF(COUNT(AD67)=0,"",AD67)</x:f>
      </x:c>
      <x:c r="BR67" s="73" t="str">
        <x:f>IF(C67="xiaohongshu",IF(COUNT(BA67,BB67)=2,AVERAGE(BA67,BB67),IF(COUNT(BA67)=1,BA67,BB67)),BK67)</x:f>
      </x:c>
      <x:c r="BS67" s="73" t="str">
        <x:f>IF(C67="xiaohongshu",BE67,BH67)</x:f>
      </x:c>
      <x:c r="BT67" s="73" t="str">
        <x:f>IF(C67="xiaohongshu",IF(I67="save",BA67,IF(I67="discussion",BE67,IF(I67="profile_visit",BC67,IF(I67="dm",BD67,IF(OR(I67="product_question",I67="trial_intent"),BF67,""))))),IF(I67="save",BK67,IF(I67="discussion",BH67,IF(OR(I67="profile_visit",I67="dm"),BI67,IF(I67="link_click",BJ67,IF(OR(I67="product_question",I67="trial_intent"),BL67,""))))))</x:f>
      </x:c>
      <x:c r="BU67" s="73" t="str">
        <x:f>IF(C67="xiaohongshu",BF67,BL67)</x:f>
      </x:c>
      <x:c r="BV67" s="65" t="str">
        <x:f>IF(COUNT(BQ67,AV67)&lt;2,"unknown",IF(BQ67/AV67-1&gt;=0.2,"high",IF(BQ67/AV67-1&lt;=-0.2,"low","normal")))</x:f>
        <x:v>unknown</x:v>
      </x:c>
      <x:c r="BW67" s="65" t="str">
        <x:f>IF(COUNT(BR67,AW67)&lt;2,"unknown",IF(BR67/AW67-1&gt;=0.2,"high",IF(BR67/AW67-1&lt;=-0.2,"low","normal")))</x:f>
        <x:v>unknown</x:v>
      </x:c>
      <x:c r="BX67" s="65" t="str">
        <x:f>IF(COUNT(BS67,AX67)&lt;2,"unknown",IF(BS67/AX67-1&gt;=0.2,"high",IF(BS67/AX67-1&lt;=-0.2,"low","normal")))</x:f>
        <x:v>unknown</x:v>
      </x:c>
      <x:c r="BY67" s="65" t="str">
        <x:f>IF(COUNT(BT67,AY67)&lt;2,"unknown",IF(BT67/AY67-1&gt;=0.2,"high",IF(BT67/AY67-1&lt;=-0.2,"low","normal")))</x:f>
        <x:v>unknown</x:v>
      </x:c>
      <x:c r="BZ67" s="65" t="str">
        <x:f>IF(COUNT(BU67,AZ67)&lt;2,"unknown",IF(BU67/AZ67-1&gt;=0.2,"high",IF(BU67/AZ67-1&lt;=-0.2,"low","normal")))</x:f>
        <x:v>unknown</x:v>
      </x:c>
      <x:c r="CA67" s="65" t="str">
        <x:f>IF(T67&lt;&gt;"complete","pending",IF(OR(L67&lt;&gt;"pure",U67="true",COUNT(BM67,AT67)&lt;2,AND(AC67&lt;&gt;"",COUNT(BO67,AU67)&lt;2)),"not_attributable","attributable"))</x:f>
        <x:v>pending</x:v>
      </x:c>
      <x:c r="CB67" s="65" t="str">
        <x:f>IF(T67&lt;&gt;"complete","not_evaluated",IF(COUNT(BM67,AT67)&lt;2,"insufficient_data",IF(AND(AC67&lt;&gt;"",COUNT(BP67)=1,BP67&lt;=-0.2),"guardrail_fail",IF(AND(CA67="not_attributable",OR(BV67="high",BN67&gt;=0.2)),"watchlist",IF(CA67&lt;&gt;"attributable","insufficient_data",IF(BN67&gt;=0.2,"win",IF(BN67&lt;=-0.2,"loss","inconclusive")))))))</x:f>
        <x:v>not_evaluated</x:v>
      </x:c>
      <x:c r="CC67" s="65" t="str">
        <x:f>IF(T67&lt;&gt;"complete","COLLECT_MORE_DATA",IF(COUNT(BM67,AT67)&lt;2,"FIX_TRACKING",IF(CB67="guardrail_fail","STOP_VARIANT_GUARDRAIL",IF(CB67="watchlist","WATCHLIST_ONLY",IF(AND(BV67="high",BY67="low"),"KEEP_HOOK_REWRITE_CTA",IF(AND(BW67="high",BX67="low"),"KEEP_STRUCTURE_CHANGE_DISCUSSION_ANGLE",IF(AND(BX67="high",BZ67="low"),"DOWNWEIGHT_TEMPLATE",IF(CB67="win","RETEST_WINNER",IF(CB67="loss","RETURN_TO_BASELINE","COLLECT_MORE_DATA")))))))))</x:f>
        <x:v>COLLECT_MORE_DATA</x:v>
      </x:c>
      <x:c r="CD67" s="75"/>
    </x:row>
    <x:row r="68">
      <x:c r="A68" s="68"/>
      <x:c r="B68" s="69"/>
      <x:c r="C68" s="68"/>
      <x:c r="D68" s="68"/>
      <x:c r="E68" s="68"/>
      <x:c r="F68" s="68"/>
      <x:c r="G68" s="68"/>
      <x:c r="H68" s="70"/>
      <x:c r="I68" s="68"/>
      <x:c r="J68" s="68"/>
      <x:c r="K68" s="68"/>
      <x:c r="L68" s="71" t="str">
        <x:f>IF(K68="","unknown",IF(K68=0,"baseline",IF(K68=1,"pure","mixed")))</x:f>
        <x:v>unknown</x:v>
      </x:c>
      <x:c r="M68" s="68"/>
      <x:c r="N68" s="68"/>
      <x:c r="O68" s="68"/>
      <x:c r="P68" s="68"/>
      <x:c r="Q68" s="68"/>
      <x:c r="R68" s="68"/>
      <x:c r="S68" s="68"/>
      <x:c r="T68" s="68"/>
      <x:c r="U68" s="68"/>
      <x:c r="V68" s="68"/>
      <x:c r="W68" s="68"/>
      <x:c r="X68" s="68"/>
      <x:c r="Y68" s="68"/>
      <x:c r="Z68" s="68"/>
      <x:c r="AA68" s="68"/>
      <x:c r="AB68" s="68"/>
      <x:c r="AC68" s="68"/>
      <x:c r="AD68" s="70"/>
      <x:c r="AE68" s="70"/>
      <x:c r="AF68" s="70"/>
      <x:c r="AG68" s="70"/>
      <x:c r="AH68" s="70"/>
      <x:c r="AI68" s="70"/>
      <x:c r="AJ68" s="70"/>
      <x:c r="AK68" s="70"/>
      <x:c r="AL68" s="70"/>
      <x:c r="AM68" s="70"/>
      <x:c r="AN68" s="70"/>
      <x:c r="AO68" s="70"/>
      <x:c r="AP68" s="70"/>
      <x:c r="AQ68" s="70"/>
      <x:c r="AR68" s="70"/>
      <x:c r="AS68" s="70"/>
      <x:c r="AT68" s="72"/>
      <x:c r="AU68" s="72"/>
      <x:c r="AV68" s="72"/>
      <x:c r="AW68" s="72"/>
      <x:c r="AX68" s="72"/>
      <x:c r="AY68" s="72"/>
      <x:c r="AZ68" s="72"/>
      <x:c r="BA68" s="73" t="str">
        <x:f>IF(C68="xiaohongshu",IF(COUNT(AF68,AE68)&lt;2,"",IFERROR(AF68/AE68,"")),"")</x:f>
      </x:c>
      <x:c r="BB68" s="73" t="str">
        <x:f>IF(C68="xiaohongshu",IF(COUNT(AG68,AE68)&lt;2,"",IFERROR(AG68/AE68,"")),"")</x:f>
      </x:c>
      <x:c r="BC68" s="73" t="str">
        <x:f>IF(C68="xiaohongshu",IF(COUNT(AN68,AE68)&lt;2,"",IFERROR(AN68/AE68,"")),"")</x:f>
      </x:c>
      <x:c r="BD68" s="73" t="str">
        <x:f>IF(C68="xiaohongshu",IF(COUNT(AQ68,AE68)&lt;2,"",IFERROR(AQ68/AE68,"")),"")</x:f>
      </x:c>
      <x:c r="BE68" s="73" t="str">
        <x:f>IF(C68="xiaohongshu",IF(COUNT(AI68,AE68)&lt;2,"",IFERROR(AI68/AE68,"")),"")</x:f>
      </x:c>
      <x:c r="BF68" s="73" t="str">
        <x:f>IF(C68="xiaohongshu",IF(OR(COUNT(AE68)=0,COUNT(AR68,AS68)=0),"",IFERROR((AR68+AS68)/AE68,"")),"")</x:f>
      </x:c>
      <x:c r="BG68" s="73" t="str">
        <x:f>IF(C68="x",IF(COUNT(AD68)=0,"",IF(COUNT(AM68)=1,IFERROR(AM68/AD68,""),IF(COUNT(AH68,AI68,AK68,AL68)=0,"",IFERROR(SUM(AH68,AI68,AK68,AL68)/AD68,"")))),"")</x:f>
      </x:c>
      <x:c r="BH68" s="73" t="str">
        <x:f>IF(C68="x",IF(COUNT(AJ68,AD68)&lt;2,"",IFERROR(AJ68/AD68,"")),"")</x:f>
      </x:c>
      <x:c r="BI68" s="73" t="str">
        <x:f>IF(C68="x",IF(COUNT(AO68,AD68)&lt;2,"",IFERROR(AO68/AD68,"")),"")</x:f>
      </x:c>
      <x:c r="BJ68" s="73" t="str">
        <x:f>IF(C68="x",IF(COUNT(AP68,AD68)&lt;2,"",IFERROR(AP68/AD68,"")),"")</x:f>
      </x:c>
      <x:c r="BK68" s="73" t="str">
        <x:f>IF(C68="x",IF(COUNT(AL68,AD68)&lt;2,"",IFERROR(AL68/AD68,"")),"")</x:f>
      </x:c>
      <x:c r="BL68" s="73" t="str">
        <x:f>IF(C68="x",IF(OR(COUNT(AD68)=0,COUNT(AR68,AS68)=0),"",IFERROR((AR68+AS68)/AD68,"")),"")</x:f>
      </x:c>
      <x:c r="BM68" s="73" t="str">
        <x:f>IF(AB68="xhs_save_rate",BA68,IF(AB68="xhs_completion_rate",BB68,IF(AB68="xhs_profile_visit_rate",BC68,IF(AB68="xhs_dm_intent_rate",BD68,IF(AB68="xhs_discussion_rate",BE68,IF(AB68="xhs_product_relevance_rate",BF68,IF(AB68="x_first_screen_engaged_rate_proxy",BG68,IF(AB68="x_qualified_reply_rate",BH68,IF(AB68="x_profile_click_rate",BI68,IF(AB68="x_link_intent_rate",BJ68,IF(AB68="x_bookmark_rate",BK68,IF(AB68="x_product_relevance_rate",BL68,""))))))))))))</x:f>
      </x:c>
      <x:c r="BN68" s="73" t="str">
        <x:f>IFERROR(BM68/AT68-1,"")</x:f>
      </x:c>
      <x:c r="BO68" s="73" t="str">
        <x:f>IF(AC68="","",IF(AC68="xhs_save_rate",BA68,IF(AC68="xhs_completion_rate",BB68,IF(AC68="xhs_profile_visit_rate",BC68,IF(AC68="xhs_dm_intent_rate",BD68,IF(AC68="xhs_discussion_rate",BE68,IF(AC68="xhs_product_relevance_rate",BF68,IF(AC68="x_first_screen_engaged_rate_proxy",BG68,IF(AC68="x_qualified_reply_rate",BH68,IF(AC68="x_profile_click_rate",BI68,IF(AC68="x_link_intent_rate",BJ68,IF(AC68="x_bookmark_rate",BK68,IF(AC68="x_product_relevance_rate",BL68,"")))))))))))))</x:f>
      </x:c>
      <x:c r="BP68" s="73" t="str">
        <x:f>IFERROR(BO68/AU68-1,"")</x:f>
      </x:c>
      <x:c r="BQ68" s="74" t="str">
        <x:f>IF(COUNT(AD68)=0,"",AD68)</x:f>
      </x:c>
      <x:c r="BR68" s="73" t="str">
        <x:f>IF(C68="xiaohongshu",IF(COUNT(BA68,BB68)=2,AVERAGE(BA68,BB68),IF(COUNT(BA68)=1,BA68,BB68)),BK68)</x:f>
      </x:c>
      <x:c r="BS68" s="73" t="str">
        <x:f>IF(C68="xiaohongshu",BE68,BH68)</x:f>
      </x:c>
      <x:c r="BT68" s="73" t="str">
        <x:f>IF(C68="xiaohongshu",IF(I68="save",BA68,IF(I68="discussion",BE68,IF(I68="profile_visit",BC68,IF(I68="dm",BD68,IF(OR(I68="product_question",I68="trial_intent"),BF68,""))))),IF(I68="save",BK68,IF(I68="discussion",BH68,IF(OR(I68="profile_visit",I68="dm"),BI68,IF(I68="link_click",BJ68,IF(OR(I68="product_question",I68="trial_intent"),BL68,""))))))</x:f>
      </x:c>
      <x:c r="BU68" s="73" t="str">
        <x:f>IF(C68="xiaohongshu",BF68,BL68)</x:f>
      </x:c>
      <x:c r="BV68" s="65" t="str">
        <x:f>IF(COUNT(BQ68,AV68)&lt;2,"unknown",IF(BQ68/AV68-1&gt;=0.2,"high",IF(BQ68/AV68-1&lt;=-0.2,"low","normal")))</x:f>
        <x:v>unknown</x:v>
      </x:c>
      <x:c r="BW68" s="65" t="str">
        <x:f>IF(COUNT(BR68,AW68)&lt;2,"unknown",IF(BR68/AW68-1&gt;=0.2,"high",IF(BR68/AW68-1&lt;=-0.2,"low","normal")))</x:f>
        <x:v>unknown</x:v>
      </x:c>
      <x:c r="BX68" s="65" t="str">
        <x:f>IF(COUNT(BS68,AX68)&lt;2,"unknown",IF(BS68/AX68-1&gt;=0.2,"high",IF(BS68/AX68-1&lt;=-0.2,"low","normal")))</x:f>
        <x:v>unknown</x:v>
      </x:c>
      <x:c r="BY68" s="65" t="str">
        <x:f>IF(COUNT(BT68,AY68)&lt;2,"unknown",IF(BT68/AY68-1&gt;=0.2,"high",IF(BT68/AY68-1&lt;=-0.2,"low","normal")))</x:f>
        <x:v>unknown</x:v>
      </x:c>
      <x:c r="BZ68" s="65" t="str">
        <x:f>IF(COUNT(BU68,AZ68)&lt;2,"unknown",IF(BU68/AZ68-1&gt;=0.2,"high",IF(BU68/AZ68-1&lt;=-0.2,"low","normal")))</x:f>
        <x:v>unknown</x:v>
      </x:c>
      <x:c r="CA68" s="65" t="str">
        <x:f>IF(T68&lt;&gt;"complete","pending",IF(OR(L68&lt;&gt;"pure",U68="true",COUNT(BM68,AT68)&lt;2,AND(AC68&lt;&gt;"",COUNT(BO68,AU68)&lt;2)),"not_attributable","attributable"))</x:f>
        <x:v>pending</x:v>
      </x:c>
      <x:c r="CB68" s="65" t="str">
        <x:f>IF(T68&lt;&gt;"complete","not_evaluated",IF(COUNT(BM68,AT68)&lt;2,"insufficient_data",IF(AND(AC68&lt;&gt;"",COUNT(BP68)=1,BP68&lt;=-0.2),"guardrail_fail",IF(AND(CA68="not_attributable",OR(BV68="high",BN68&gt;=0.2)),"watchlist",IF(CA68&lt;&gt;"attributable","insufficient_data",IF(BN68&gt;=0.2,"win",IF(BN68&lt;=-0.2,"loss","inconclusive")))))))</x:f>
        <x:v>not_evaluated</x:v>
      </x:c>
      <x:c r="CC68" s="65" t="str">
        <x:f>IF(T68&lt;&gt;"complete","COLLECT_MORE_DATA",IF(COUNT(BM68,AT68)&lt;2,"FIX_TRACKING",IF(CB68="guardrail_fail","STOP_VARIANT_GUARDRAIL",IF(CB68="watchlist","WATCHLIST_ONLY",IF(AND(BV68="high",BY68="low"),"KEEP_HOOK_REWRITE_CTA",IF(AND(BW68="high",BX68="low"),"KEEP_STRUCTURE_CHANGE_DISCUSSION_ANGLE",IF(AND(BX68="high",BZ68="low"),"DOWNWEIGHT_TEMPLATE",IF(CB68="win","RETEST_WINNER",IF(CB68="loss","RETURN_TO_BASELINE","COLLECT_MORE_DATA")))))))))</x:f>
        <x:v>COLLECT_MORE_DATA</x:v>
      </x:c>
      <x:c r="CD68" s="75"/>
    </x:row>
    <x:row r="69">
      <x:c r="A69" s="68"/>
      <x:c r="B69" s="69"/>
      <x:c r="C69" s="68"/>
      <x:c r="D69" s="68"/>
      <x:c r="E69" s="68"/>
      <x:c r="F69" s="68"/>
      <x:c r="G69" s="68"/>
      <x:c r="H69" s="70"/>
      <x:c r="I69" s="68"/>
      <x:c r="J69" s="68"/>
      <x:c r="K69" s="68"/>
      <x:c r="L69" s="71" t="str">
        <x:f>IF(K69="","unknown",IF(K69=0,"baseline",IF(K69=1,"pure","mixed")))</x:f>
        <x:v>unknown</x:v>
      </x:c>
      <x:c r="M69" s="68"/>
      <x:c r="N69" s="68"/>
      <x:c r="O69" s="68"/>
      <x:c r="P69" s="68"/>
      <x:c r="Q69" s="68"/>
      <x:c r="R69" s="68"/>
      <x:c r="S69" s="68"/>
      <x:c r="T69" s="68"/>
      <x:c r="U69" s="68"/>
      <x:c r="V69" s="68"/>
      <x:c r="W69" s="68"/>
      <x:c r="X69" s="68"/>
      <x:c r="Y69" s="68"/>
      <x:c r="Z69" s="68"/>
      <x:c r="AA69" s="68"/>
      <x:c r="AB69" s="68"/>
      <x:c r="AC69" s="68"/>
      <x:c r="AD69" s="70"/>
      <x:c r="AE69" s="70"/>
      <x:c r="AF69" s="70"/>
      <x:c r="AG69" s="70"/>
      <x:c r="AH69" s="70"/>
      <x:c r="AI69" s="70"/>
      <x:c r="AJ69" s="70"/>
      <x:c r="AK69" s="70"/>
      <x:c r="AL69" s="70"/>
      <x:c r="AM69" s="70"/>
      <x:c r="AN69" s="70"/>
      <x:c r="AO69" s="70"/>
      <x:c r="AP69" s="70"/>
      <x:c r="AQ69" s="70"/>
      <x:c r="AR69" s="70"/>
      <x:c r="AS69" s="70"/>
      <x:c r="AT69" s="72"/>
      <x:c r="AU69" s="72"/>
      <x:c r="AV69" s="72"/>
      <x:c r="AW69" s="72"/>
      <x:c r="AX69" s="72"/>
      <x:c r="AY69" s="72"/>
      <x:c r="AZ69" s="72"/>
      <x:c r="BA69" s="73" t="str">
        <x:f>IF(C69="xiaohongshu",IF(COUNT(AF69,AE69)&lt;2,"",IFERROR(AF69/AE69,"")),"")</x:f>
      </x:c>
      <x:c r="BB69" s="73" t="str">
        <x:f>IF(C69="xiaohongshu",IF(COUNT(AG69,AE69)&lt;2,"",IFERROR(AG69/AE69,"")),"")</x:f>
      </x:c>
      <x:c r="BC69" s="73" t="str">
        <x:f>IF(C69="xiaohongshu",IF(COUNT(AN69,AE69)&lt;2,"",IFERROR(AN69/AE69,"")),"")</x:f>
      </x:c>
      <x:c r="BD69" s="73" t="str">
        <x:f>IF(C69="xiaohongshu",IF(COUNT(AQ69,AE69)&lt;2,"",IFERROR(AQ69/AE69,"")),"")</x:f>
      </x:c>
      <x:c r="BE69" s="73" t="str">
        <x:f>IF(C69="xiaohongshu",IF(COUNT(AI69,AE69)&lt;2,"",IFERROR(AI69/AE69,"")),"")</x:f>
      </x:c>
      <x:c r="BF69" s="73" t="str">
        <x:f>IF(C69="xiaohongshu",IF(OR(COUNT(AE69)=0,COUNT(AR69,AS69)=0),"",IFERROR((AR69+AS69)/AE69,"")),"")</x:f>
      </x:c>
      <x:c r="BG69" s="73" t="str">
        <x:f>IF(C69="x",IF(COUNT(AD69)=0,"",IF(COUNT(AM69)=1,IFERROR(AM69/AD69,""),IF(COUNT(AH69,AI69,AK69,AL69)=0,"",IFERROR(SUM(AH69,AI69,AK69,AL69)/AD69,"")))),"")</x:f>
      </x:c>
      <x:c r="BH69" s="73" t="str">
        <x:f>IF(C69="x",IF(COUNT(AJ69,AD69)&lt;2,"",IFERROR(AJ69/AD69,"")),"")</x:f>
      </x:c>
      <x:c r="BI69" s="73" t="str">
        <x:f>IF(C69="x",IF(COUNT(AO69,AD69)&lt;2,"",IFERROR(AO69/AD69,"")),"")</x:f>
      </x:c>
      <x:c r="BJ69" s="73" t="str">
        <x:f>IF(C69="x",IF(COUNT(AP69,AD69)&lt;2,"",IFERROR(AP69/AD69,"")),"")</x:f>
      </x:c>
      <x:c r="BK69" s="73" t="str">
        <x:f>IF(C69="x",IF(COUNT(AL69,AD69)&lt;2,"",IFERROR(AL69/AD69,"")),"")</x:f>
      </x:c>
      <x:c r="BL69" s="73" t="str">
        <x:f>IF(C69="x",IF(OR(COUNT(AD69)=0,COUNT(AR69,AS69)=0),"",IFERROR((AR69+AS69)/AD69,"")),"")</x:f>
      </x:c>
      <x:c r="BM69" s="73" t="str">
        <x:f>IF(AB69="xhs_save_rate",BA69,IF(AB69="xhs_completion_rate",BB69,IF(AB69="xhs_profile_visit_rate",BC69,IF(AB69="xhs_dm_intent_rate",BD69,IF(AB69="xhs_discussion_rate",BE69,IF(AB69="xhs_product_relevance_rate",BF69,IF(AB69="x_first_screen_engaged_rate_proxy",BG69,IF(AB69="x_qualified_reply_rate",BH69,IF(AB69="x_profile_click_rate",BI69,IF(AB69="x_link_intent_rate",BJ69,IF(AB69="x_bookmark_rate",BK69,IF(AB69="x_product_relevance_rate",BL69,""))))))))))))</x:f>
      </x:c>
      <x:c r="BN69" s="73" t="str">
        <x:f>IFERROR(BM69/AT69-1,"")</x:f>
      </x:c>
      <x:c r="BO69" s="73" t="str">
        <x:f>IF(AC69="","",IF(AC69="xhs_save_rate",BA69,IF(AC69="xhs_completion_rate",BB69,IF(AC69="xhs_profile_visit_rate",BC69,IF(AC69="xhs_dm_intent_rate",BD69,IF(AC69="xhs_discussion_rate",BE69,IF(AC69="xhs_product_relevance_rate",BF69,IF(AC69="x_first_screen_engaged_rate_proxy",BG69,IF(AC69="x_qualified_reply_rate",BH69,IF(AC69="x_profile_click_rate",BI69,IF(AC69="x_link_intent_rate",BJ69,IF(AC69="x_bookmark_rate",BK69,IF(AC69="x_product_relevance_rate",BL69,"")))))))))))))</x:f>
      </x:c>
      <x:c r="BP69" s="73" t="str">
        <x:f>IFERROR(BO69/AU69-1,"")</x:f>
      </x:c>
      <x:c r="BQ69" s="74" t="str">
        <x:f>IF(COUNT(AD69)=0,"",AD69)</x:f>
      </x:c>
      <x:c r="BR69" s="73" t="str">
        <x:f>IF(C69="xiaohongshu",IF(COUNT(BA69,BB69)=2,AVERAGE(BA69,BB69),IF(COUNT(BA69)=1,BA69,BB69)),BK69)</x:f>
      </x:c>
      <x:c r="BS69" s="73" t="str">
        <x:f>IF(C69="xiaohongshu",BE69,BH69)</x:f>
      </x:c>
      <x:c r="BT69" s="73" t="str">
        <x:f>IF(C69="xiaohongshu",IF(I69="save",BA69,IF(I69="discussion",BE69,IF(I69="profile_visit",BC69,IF(I69="dm",BD69,IF(OR(I69="product_question",I69="trial_intent"),BF69,""))))),IF(I69="save",BK69,IF(I69="discussion",BH69,IF(OR(I69="profile_visit",I69="dm"),BI69,IF(I69="link_click",BJ69,IF(OR(I69="product_question",I69="trial_intent"),BL69,""))))))</x:f>
      </x:c>
      <x:c r="BU69" s="73" t="str">
        <x:f>IF(C69="xiaohongshu",BF69,BL69)</x:f>
      </x:c>
      <x:c r="BV69" s="65" t="str">
        <x:f>IF(COUNT(BQ69,AV69)&lt;2,"unknown",IF(BQ69/AV69-1&gt;=0.2,"high",IF(BQ69/AV69-1&lt;=-0.2,"low","normal")))</x:f>
        <x:v>unknown</x:v>
      </x:c>
      <x:c r="BW69" s="65" t="str">
        <x:f>IF(COUNT(BR69,AW69)&lt;2,"unknown",IF(BR69/AW69-1&gt;=0.2,"high",IF(BR69/AW69-1&lt;=-0.2,"low","normal")))</x:f>
        <x:v>unknown</x:v>
      </x:c>
      <x:c r="BX69" s="65" t="str">
        <x:f>IF(COUNT(BS69,AX69)&lt;2,"unknown",IF(BS69/AX69-1&gt;=0.2,"high",IF(BS69/AX69-1&lt;=-0.2,"low","normal")))</x:f>
        <x:v>unknown</x:v>
      </x:c>
      <x:c r="BY69" s="65" t="str">
        <x:f>IF(COUNT(BT69,AY69)&lt;2,"unknown",IF(BT69/AY69-1&gt;=0.2,"high",IF(BT69/AY69-1&lt;=-0.2,"low","normal")))</x:f>
        <x:v>unknown</x:v>
      </x:c>
      <x:c r="BZ69" s="65" t="str">
        <x:f>IF(COUNT(BU69,AZ69)&lt;2,"unknown",IF(BU69/AZ69-1&gt;=0.2,"high",IF(BU69/AZ69-1&lt;=-0.2,"low","normal")))</x:f>
        <x:v>unknown</x:v>
      </x:c>
      <x:c r="CA69" s="65" t="str">
        <x:f>IF(T69&lt;&gt;"complete","pending",IF(OR(L69&lt;&gt;"pure",U69="true",COUNT(BM69,AT69)&lt;2,AND(AC69&lt;&gt;"",COUNT(BO69,AU69)&lt;2)),"not_attributable","attributable"))</x:f>
        <x:v>pending</x:v>
      </x:c>
      <x:c r="CB69" s="65" t="str">
        <x:f>IF(T69&lt;&gt;"complete","not_evaluated",IF(COUNT(BM69,AT69)&lt;2,"insufficient_data",IF(AND(AC69&lt;&gt;"",COUNT(BP69)=1,BP69&lt;=-0.2),"guardrail_fail",IF(AND(CA69="not_attributable",OR(BV69="high",BN69&gt;=0.2)),"watchlist",IF(CA69&lt;&gt;"attributable","insufficient_data",IF(BN69&gt;=0.2,"win",IF(BN69&lt;=-0.2,"loss","inconclusive")))))))</x:f>
        <x:v>not_evaluated</x:v>
      </x:c>
      <x:c r="CC69" s="65" t="str">
        <x:f>IF(T69&lt;&gt;"complete","COLLECT_MORE_DATA",IF(COUNT(BM69,AT69)&lt;2,"FIX_TRACKING",IF(CB69="guardrail_fail","STOP_VARIANT_GUARDRAIL",IF(CB69="watchlist","WATCHLIST_ONLY",IF(AND(BV69="high",BY69="low"),"KEEP_HOOK_REWRITE_CTA",IF(AND(BW69="high",BX69="low"),"KEEP_STRUCTURE_CHANGE_DISCUSSION_ANGLE",IF(AND(BX69="high",BZ69="low"),"DOWNWEIGHT_TEMPLATE",IF(CB69="win","RETEST_WINNER",IF(CB69="loss","RETURN_TO_BASELINE","COLLECT_MORE_DATA")))))))))</x:f>
        <x:v>COLLECT_MORE_DATA</x:v>
      </x:c>
      <x:c r="CD69" s="75"/>
    </x:row>
    <x:row r="70">
      <x:c r="A70" s="68"/>
      <x:c r="B70" s="69"/>
      <x:c r="C70" s="68"/>
      <x:c r="D70" s="68"/>
      <x:c r="E70" s="68"/>
      <x:c r="F70" s="68"/>
      <x:c r="G70" s="68"/>
      <x:c r="H70" s="70"/>
      <x:c r="I70" s="68"/>
      <x:c r="J70" s="68"/>
      <x:c r="K70" s="68"/>
      <x:c r="L70" s="71" t="str">
        <x:f>IF(K70="","unknown",IF(K70=0,"baseline",IF(K70=1,"pure","mixed")))</x:f>
        <x:v>unknown</x:v>
      </x:c>
      <x:c r="M70" s="68"/>
      <x:c r="N70" s="68"/>
      <x:c r="O70" s="68"/>
      <x:c r="P70" s="68"/>
      <x:c r="Q70" s="68"/>
      <x:c r="R70" s="68"/>
      <x:c r="S70" s="68"/>
      <x:c r="T70" s="68"/>
      <x:c r="U70" s="68"/>
      <x:c r="V70" s="68"/>
      <x:c r="W70" s="68"/>
      <x:c r="X70" s="68"/>
      <x:c r="Y70" s="68"/>
      <x:c r="Z70" s="68"/>
      <x:c r="AA70" s="68"/>
      <x:c r="AB70" s="68"/>
      <x:c r="AC70" s="68"/>
      <x:c r="AD70" s="70"/>
      <x:c r="AE70" s="70"/>
      <x:c r="AF70" s="70"/>
      <x:c r="AG70" s="70"/>
      <x:c r="AH70" s="70"/>
      <x:c r="AI70" s="70"/>
      <x:c r="AJ70" s="70"/>
      <x:c r="AK70" s="70"/>
      <x:c r="AL70" s="70"/>
      <x:c r="AM70" s="70"/>
      <x:c r="AN70" s="70"/>
      <x:c r="AO70" s="70"/>
      <x:c r="AP70" s="70"/>
      <x:c r="AQ70" s="70"/>
      <x:c r="AR70" s="70"/>
      <x:c r="AS70" s="70"/>
      <x:c r="AT70" s="72"/>
      <x:c r="AU70" s="72"/>
      <x:c r="AV70" s="72"/>
      <x:c r="AW70" s="72"/>
      <x:c r="AX70" s="72"/>
      <x:c r="AY70" s="72"/>
      <x:c r="AZ70" s="72"/>
      <x:c r="BA70" s="73" t="str">
        <x:f>IF(C70="xiaohongshu",IF(COUNT(AF70,AE70)&lt;2,"",IFERROR(AF70/AE70,"")),"")</x:f>
      </x:c>
      <x:c r="BB70" s="73" t="str">
        <x:f>IF(C70="xiaohongshu",IF(COUNT(AG70,AE70)&lt;2,"",IFERROR(AG70/AE70,"")),"")</x:f>
      </x:c>
      <x:c r="BC70" s="73" t="str">
        <x:f>IF(C70="xiaohongshu",IF(COUNT(AN70,AE70)&lt;2,"",IFERROR(AN70/AE70,"")),"")</x:f>
      </x:c>
      <x:c r="BD70" s="73" t="str">
        <x:f>IF(C70="xiaohongshu",IF(COUNT(AQ70,AE70)&lt;2,"",IFERROR(AQ70/AE70,"")),"")</x:f>
      </x:c>
      <x:c r="BE70" s="73" t="str">
        <x:f>IF(C70="xiaohongshu",IF(COUNT(AI70,AE70)&lt;2,"",IFERROR(AI70/AE70,"")),"")</x:f>
      </x:c>
      <x:c r="BF70" s="73" t="str">
        <x:f>IF(C70="xiaohongshu",IF(OR(COUNT(AE70)=0,COUNT(AR70,AS70)=0),"",IFERROR((AR70+AS70)/AE70,"")),"")</x:f>
      </x:c>
      <x:c r="BG70" s="73" t="str">
        <x:f>IF(C70="x",IF(COUNT(AD70)=0,"",IF(COUNT(AM70)=1,IFERROR(AM70/AD70,""),IF(COUNT(AH70,AI70,AK70,AL70)=0,"",IFERROR(SUM(AH70,AI70,AK70,AL70)/AD70,"")))),"")</x:f>
      </x:c>
      <x:c r="BH70" s="73" t="str">
        <x:f>IF(C70="x",IF(COUNT(AJ70,AD70)&lt;2,"",IFERROR(AJ70/AD70,"")),"")</x:f>
      </x:c>
      <x:c r="BI70" s="73" t="str">
        <x:f>IF(C70="x",IF(COUNT(AO70,AD70)&lt;2,"",IFERROR(AO70/AD70,"")),"")</x:f>
      </x:c>
      <x:c r="BJ70" s="73" t="str">
        <x:f>IF(C70="x",IF(COUNT(AP70,AD70)&lt;2,"",IFERROR(AP70/AD70,"")),"")</x:f>
      </x:c>
      <x:c r="BK70" s="73" t="str">
        <x:f>IF(C70="x",IF(COUNT(AL70,AD70)&lt;2,"",IFERROR(AL70/AD70,"")),"")</x:f>
      </x:c>
      <x:c r="BL70" s="73" t="str">
        <x:f>IF(C70="x",IF(OR(COUNT(AD70)=0,COUNT(AR70,AS70)=0),"",IFERROR((AR70+AS70)/AD70,"")),"")</x:f>
      </x:c>
      <x:c r="BM70" s="73" t="str">
        <x:f>IF(AB70="xhs_save_rate",BA70,IF(AB70="xhs_completion_rate",BB70,IF(AB70="xhs_profile_visit_rate",BC70,IF(AB70="xhs_dm_intent_rate",BD70,IF(AB70="xhs_discussion_rate",BE70,IF(AB70="xhs_product_relevance_rate",BF70,IF(AB70="x_first_screen_engaged_rate_proxy",BG70,IF(AB70="x_qualified_reply_rate",BH70,IF(AB70="x_profile_click_rate",BI70,IF(AB70="x_link_intent_rate",BJ70,IF(AB70="x_bookmark_rate",BK70,IF(AB70="x_product_relevance_rate",BL70,""))))))))))))</x:f>
      </x:c>
      <x:c r="BN70" s="73" t="str">
        <x:f>IFERROR(BM70/AT70-1,"")</x:f>
      </x:c>
      <x:c r="BO70" s="73" t="str">
        <x:f>IF(AC70="","",IF(AC70="xhs_save_rate",BA70,IF(AC70="xhs_completion_rate",BB70,IF(AC70="xhs_profile_visit_rate",BC70,IF(AC70="xhs_dm_intent_rate",BD70,IF(AC70="xhs_discussion_rate",BE70,IF(AC70="xhs_product_relevance_rate",BF70,IF(AC70="x_first_screen_engaged_rate_proxy",BG70,IF(AC70="x_qualified_reply_rate",BH70,IF(AC70="x_profile_click_rate",BI70,IF(AC70="x_link_intent_rate",BJ70,IF(AC70="x_bookmark_rate",BK70,IF(AC70="x_product_relevance_rate",BL70,"")))))))))))))</x:f>
      </x:c>
      <x:c r="BP70" s="73" t="str">
        <x:f>IFERROR(BO70/AU70-1,"")</x:f>
      </x:c>
      <x:c r="BQ70" s="74" t="str">
        <x:f>IF(COUNT(AD70)=0,"",AD70)</x:f>
      </x:c>
      <x:c r="BR70" s="73" t="str">
        <x:f>IF(C70="xiaohongshu",IF(COUNT(BA70,BB70)=2,AVERAGE(BA70,BB70),IF(COUNT(BA70)=1,BA70,BB70)),BK70)</x:f>
      </x:c>
      <x:c r="BS70" s="73" t="str">
        <x:f>IF(C70="xiaohongshu",BE70,BH70)</x:f>
      </x:c>
      <x:c r="BT70" s="73" t="str">
        <x:f>IF(C70="xiaohongshu",IF(I70="save",BA70,IF(I70="discussion",BE70,IF(I70="profile_visit",BC70,IF(I70="dm",BD70,IF(OR(I70="product_question",I70="trial_intent"),BF70,""))))),IF(I70="save",BK70,IF(I70="discussion",BH70,IF(OR(I70="profile_visit",I70="dm"),BI70,IF(I70="link_click",BJ70,IF(OR(I70="product_question",I70="trial_intent"),BL70,""))))))</x:f>
      </x:c>
      <x:c r="BU70" s="73" t="str">
        <x:f>IF(C70="xiaohongshu",BF70,BL70)</x:f>
      </x:c>
      <x:c r="BV70" s="65" t="str">
        <x:f>IF(COUNT(BQ70,AV70)&lt;2,"unknown",IF(BQ70/AV70-1&gt;=0.2,"high",IF(BQ70/AV70-1&lt;=-0.2,"low","normal")))</x:f>
        <x:v>unknown</x:v>
      </x:c>
      <x:c r="BW70" s="65" t="str">
        <x:f>IF(COUNT(BR70,AW70)&lt;2,"unknown",IF(BR70/AW70-1&gt;=0.2,"high",IF(BR70/AW70-1&lt;=-0.2,"low","normal")))</x:f>
        <x:v>unknown</x:v>
      </x:c>
      <x:c r="BX70" s="65" t="str">
        <x:f>IF(COUNT(BS70,AX70)&lt;2,"unknown",IF(BS70/AX70-1&gt;=0.2,"high",IF(BS70/AX70-1&lt;=-0.2,"low","normal")))</x:f>
        <x:v>unknown</x:v>
      </x:c>
      <x:c r="BY70" s="65" t="str">
        <x:f>IF(COUNT(BT70,AY70)&lt;2,"unknown",IF(BT70/AY70-1&gt;=0.2,"high",IF(BT70/AY70-1&lt;=-0.2,"low","normal")))</x:f>
        <x:v>unknown</x:v>
      </x:c>
      <x:c r="BZ70" s="65" t="str">
        <x:f>IF(COUNT(BU70,AZ70)&lt;2,"unknown",IF(BU70/AZ70-1&gt;=0.2,"high",IF(BU70/AZ70-1&lt;=-0.2,"low","normal")))</x:f>
        <x:v>unknown</x:v>
      </x:c>
      <x:c r="CA70" s="65" t="str">
        <x:f>IF(T70&lt;&gt;"complete","pending",IF(OR(L70&lt;&gt;"pure",U70="true",COUNT(BM70,AT70)&lt;2,AND(AC70&lt;&gt;"",COUNT(BO70,AU70)&lt;2)),"not_attributable","attributable"))</x:f>
        <x:v>pending</x:v>
      </x:c>
      <x:c r="CB70" s="65" t="str">
        <x:f>IF(T70&lt;&gt;"complete","not_evaluated",IF(COUNT(BM70,AT70)&lt;2,"insufficient_data",IF(AND(AC70&lt;&gt;"",COUNT(BP70)=1,BP70&lt;=-0.2),"guardrail_fail",IF(AND(CA70="not_attributable",OR(BV70="high",BN70&gt;=0.2)),"watchlist",IF(CA70&lt;&gt;"attributable","insufficient_data",IF(BN70&gt;=0.2,"win",IF(BN70&lt;=-0.2,"loss","inconclusive")))))))</x:f>
        <x:v>not_evaluated</x:v>
      </x:c>
      <x:c r="CC70" s="65" t="str">
        <x:f>IF(T70&lt;&gt;"complete","COLLECT_MORE_DATA",IF(COUNT(BM70,AT70)&lt;2,"FIX_TRACKING",IF(CB70="guardrail_fail","STOP_VARIANT_GUARDRAIL",IF(CB70="watchlist","WATCHLIST_ONLY",IF(AND(BV70="high",BY70="low"),"KEEP_HOOK_REWRITE_CTA",IF(AND(BW70="high",BX70="low"),"KEEP_STRUCTURE_CHANGE_DISCUSSION_ANGLE",IF(AND(BX70="high",BZ70="low"),"DOWNWEIGHT_TEMPLATE",IF(CB70="win","RETEST_WINNER",IF(CB70="loss","RETURN_TO_BASELINE","COLLECT_MORE_DATA")))))))))</x:f>
        <x:v>COLLECT_MORE_DATA</x:v>
      </x:c>
      <x:c r="CD70" s="75"/>
    </x:row>
    <x:row r="71">
      <x:c r="A71" s="68"/>
      <x:c r="B71" s="69"/>
      <x:c r="C71" s="68"/>
      <x:c r="D71" s="68"/>
      <x:c r="E71" s="68"/>
      <x:c r="F71" s="68"/>
      <x:c r="G71" s="68"/>
      <x:c r="H71" s="70"/>
      <x:c r="I71" s="68"/>
      <x:c r="J71" s="68"/>
      <x:c r="K71" s="68"/>
      <x:c r="L71" s="71" t="str">
        <x:f>IF(K71="","unknown",IF(K71=0,"baseline",IF(K71=1,"pure","mixed")))</x:f>
        <x:v>unknown</x:v>
      </x:c>
      <x:c r="M71" s="68"/>
      <x:c r="N71" s="68"/>
      <x:c r="O71" s="68"/>
      <x:c r="P71" s="68"/>
      <x:c r="Q71" s="68"/>
      <x:c r="R71" s="68"/>
      <x:c r="S71" s="68"/>
      <x:c r="T71" s="68"/>
      <x:c r="U71" s="68"/>
      <x:c r="V71" s="68"/>
      <x:c r="W71" s="68"/>
      <x:c r="X71" s="68"/>
      <x:c r="Y71" s="68"/>
      <x:c r="Z71" s="68"/>
      <x:c r="AA71" s="68"/>
      <x:c r="AB71" s="68"/>
      <x:c r="AC71" s="68"/>
      <x:c r="AD71" s="70"/>
      <x:c r="AE71" s="70"/>
      <x:c r="AF71" s="70"/>
      <x:c r="AG71" s="70"/>
      <x:c r="AH71" s="70"/>
      <x:c r="AI71" s="70"/>
      <x:c r="AJ71" s="70"/>
      <x:c r="AK71" s="70"/>
      <x:c r="AL71" s="70"/>
      <x:c r="AM71" s="70"/>
      <x:c r="AN71" s="70"/>
      <x:c r="AO71" s="70"/>
      <x:c r="AP71" s="70"/>
      <x:c r="AQ71" s="70"/>
      <x:c r="AR71" s="70"/>
      <x:c r="AS71" s="70"/>
      <x:c r="AT71" s="72"/>
      <x:c r="AU71" s="72"/>
      <x:c r="AV71" s="72"/>
      <x:c r="AW71" s="72"/>
      <x:c r="AX71" s="72"/>
      <x:c r="AY71" s="72"/>
      <x:c r="AZ71" s="72"/>
      <x:c r="BA71" s="73" t="str">
        <x:f>IF(C71="xiaohongshu",IF(COUNT(AF71,AE71)&lt;2,"",IFERROR(AF71/AE71,"")),"")</x:f>
      </x:c>
      <x:c r="BB71" s="73" t="str">
        <x:f>IF(C71="xiaohongshu",IF(COUNT(AG71,AE71)&lt;2,"",IFERROR(AG71/AE71,"")),"")</x:f>
      </x:c>
      <x:c r="BC71" s="73" t="str">
        <x:f>IF(C71="xiaohongshu",IF(COUNT(AN71,AE71)&lt;2,"",IFERROR(AN71/AE71,"")),"")</x:f>
      </x:c>
      <x:c r="BD71" s="73" t="str">
        <x:f>IF(C71="xiaohongshu",IF(COUNT(AQ71,AE71)&lt;2,"",IFERROR(AQ71/AE71,"")),"")</x:f>
      </x:c>
      <x:c r="BE71" s="73" t="str">
        <x:f>IF(C71="xiaohongshu",IF(COUNT(AI71,AE71)&lt;2,"",IFERROR(AI71/AE71,"")),"")</x:f>
      </x:c>
      <x:c r="BF71" s="73" t="str">
        <x:f>IF(C71="xiaohongshu",IF(OR(COUNT(AE71)=0,COUNT(AR71,AS71)=0),"",IFERROR((AR71+AS71)/AE71,"")),"")</x:f>
      </x:c>
      <x:c r="BG71" s="73" t="str">
        <x:f>IF(C71="x",IF(COUNT(AD71)=0,"",IF(COUNT(AM71)=1,IFERROR(AM71/AD71,""),IF(COUNT(AH71,AI71,AK71,AL71)=0,"",IFERROR(SUM(AH71,AI71,AK71,AL71)/AD71,"")))),"")</x:f>
      </x:c>
      <x:c r="BH71" s="73" t="str">
        <x:f>IF(C71="x",IF(COUNT(AJ71,AD71)&lt;2,"",IFERROR(AJ71/AD71,"")),"")</x:f>
      </x:c>
      <x:c r="BI71" s="73" t="str">
        <x:f>IF(C71="x",IF(COUNT(AO71,AD71)&lt;2,"",IFERROR(AO71/AD71,"")),"")</x:f>
      </x:c>
      <x:c r="BJ71" s="73" t="str">
        <x:f>IF(C71="x",IF(COUNT(AP71,AD71)&lt;2,"",IFERROR(AP71/AD71,"")),"")</x:f>
      </x:c>
      <x:c r="BK71" s="73" t="str">
        <x:f>IF(C71="x",IF(COUNT(AL71,AD71)&lt;2,"",IFERROR(AL71/AD71,"")),"")</x:f>
      </x:c>
      <x:c r="BL71" s="73" t="str">
        <x:f>IF(C71="x",IF(OR(COUNT(AD71)=0,COUNT(AR71,AS71)=0),"",IFERROR((AR71+AS71)/AD71,"")),"")</x:f>
      </x:c>
      <x:c r="BM71" s="73" t="str">
        <x:f>IF(AB71="xhs_save_rate",BA71,IF(AB71="xhs_completion_rate",BB71,IF(AB71="xhs_profile_visit_rate",BC71,IF(AB71="xhs_dm_intent_rate",BD71,IF(AB71="xhs_discussion_rate",BE71,IF(AB71="xhs_product_relevance_rate",BF71,IF(AB71="x_first_screen_engaged_rate_proxy",BG71,IF(AB71="x_qualified_reply_rate",BH71,IF(AB71="x_profile_click_rate",BI71,IF(AB71="x_link_intent_rate",BJ71,IF(AB71="x_bookmark_rate",BK71,IF(AB71="x_product_relevance_rate",BL71,""))))))))))))</x:f>
      </x:c>
      <x:c r="BN71" s="73" t="str">
        <x:f>IFERROR(BM71/AT71-1,"")</x:f>
      </x:c>
      <x:c r="BO71" s="73" t="str">
        <x:f>IF(AC71="","",IF(AC71="xhs_save_rate",BA71,IF(AC71="xhs_completion_rate",BB71,IF(AC71="xhs_profile_visit_rate",BC71,IF(AC71="xhs_dm_intent_rate",BD71,IF(AC71="xhs_discussion_rate",BE71,IF(AC71="xhs_product_relevance_rate",BF71,IF(AC71="x_first_screen_engaged_rate_proxy",BG71,IF(AC71="x_qualified_reply_rate",BH71,IF(AC71="x_profile_click_rate",BI71,IF(AC71="x_link_intent_rate",BJ71,IF(AC71="x_bookmark_rate",BK71,IF(AC71="x_product_relevance_rate",BL71,"")))))))))))))</x:f>
      </x:c>
      <x:c r="BP71" s="73" t="str">
        <x:f>IFERROR(BO71/AU71-1,"")</x:f>
      </x:c>
      <x:c r="BQ71" s="74" t="str">
        <x:f>IF(COUNT(AD71)=0,"",AD71)</x:f>
      </x:c>
      <x:c r="BR71" s="73" t="str">
        <x:f>IF(C71="xiaohongshu",IF(COUNT(BA71,BB71)=2,AVERAGE(BA71,BB71),IF(COUNT(BA71)=1,BA71,BB71)),BK71)</x:f>
      </x:c>
      <x:c r="BS71" s="73" t="str">
        <x:f>IF(C71="xiaohongshu",BE71,BH71)</x:f>
      </x:c>
      <x:c r="BT71" s="73" t="str">
        <x:f>IF(C71="xiaohongshu",IF(I71="save",BA71,IF(I71="discussion",BE71,IF(I71="profile_visit",BC71,IF(I71="dm",BD71,IF(OR(I71="product_question",I71="trial_intent"),BF71,""))))),IF(I71="save",BK71,IF(I71="discussion",BH71,IF(OR(I71="profile_visit",I71="dm"),BI71,IF(I71="link_click",BJ71,IF(OR(I71="product_question",I71="trial_intent"),BL71,""))))))</x:f>
      </x:c>
      <x:c r="BU71" s="73" t="str">
        <x:f>IF(C71="xiaohongshu",BF71,BL71)</x:f>
      </x:c>
      <x:c r="BV71" s="65" t="str">
        <x:f>IF(COUNT(BQ71,AV71)&lt;2,"unknown",IF(BQ71/AV71-1&gt;=0.2,"high",IF(BQ71/AV71-1&lt;=-0.2,"low","normal")))</x:f>
        <x:v>unknown</x:v>
      </x:c>
      <x:c r="BW71" s="65" t="str">
        <x:f>IF(COUNT(BR71,AW71)&lt;2,"unknown",IF(BR71/AW71-1&gt;=0.2,"high",IF(BR71/AW71-1&lt;=-0.2,"low","normal")))</x:f>
        <x:v>unknown</x:v>
      </x:c>
      <x:c r="BX71" s="65" t="str">
        <x:f>IF(COUNT(BS71,AX71)&lt;2,"unknown",IF(BS71/AX71-1&gt;=0.2,"high",IF(BS71/AX71-1&lt;=-0.2,"low","normal")))</x:f>
        <x:v>unknown</x:v>
      </x:c>
      <x:c r="BY71" s="65" t="str">
        <x:f>IF(COUNT(BT71,AY71)&lt;2,"unknown",IF(BT71/AY71-1&gt;=0.2,"high",IF(BT71/AY71-1&lt;=-0.2,"low","normal")))</x:f>
        <x:v>unknown</x:v>
      </x:c>
      <x:c r="BZ71" s="65" t="str">
        <x:f>IF(COUNT(BU71,AZ71)&lt;2,"unknown",IF(BU71/AZ71-1&gt;=0.2,"high",IF(BU71/AZ71-1&lt;=-0.2,"low","normal")))</x:f>
        <x:v>unknown</x:v>
      </x:c>
      <x:c r="CA71" s="65" t="str">
        <x:f>IF(T71&lt;&gt;"complete","pending",IF(OR(L71&lt;&gt;"pure",U71="true",COUNT(BM71,AT71)&lt;2,AND(AC71&lt;&gt;"",COUNT(BO71,AU71)&lt;2)),"not_attributable","attributable"))</x:f>
        <x:v>pending</x:v>
      </x:c>
      <x:c r="CB71" s="65" t="str">
        <x:f>IF(T71&lt;&gt;"complete","not_evaluated",IF(COUNT(BM71,AT71)&lt;2,"insufficient_data",IF(AND(AC71&lt;&gt;"",COUNT(BP71)=1,BP71&lt;=-0.2),"guardrail_fail",IF(AND(CA71="not_attributable",OR(BV71="high",BN71&gt;=0.2)),"watchlist",IF(CA71&lt;&gt;"attributable","insufficient_data",IF(BN71&gt;=0.2,"win",IF(BN71&lt;=-0.2,"loss","inconclusive")))))))</x:f>
        <x:v>not_evaluated</x:v>
      </x:c>
      <x:c r="CC71" s="65" t="str">
        <x:f>IF(T71&lt;&gt;"complete","COLLECT_MORE_DATA",IF(COUNT(BM71,AT71)&lt;2,"FIX_TRACKING",IF(CB71="guardrail_fail","STOP_VARIANT_GUARDRAIL",IF(CB71="watchlist","WATCHLIST_ONLY",IF(AND(BV71="high",BY71="low"),"KEEP_HOOK_REWRITE_CTA",IF(AND(BW71="high",BX71="low"),"KEEP_STRUCTURE_CHANGE_DISCUSSION_ANGLE",IF(AND(BX71="high",BZ71="low"),"DOWNWEIGHT_TEMPLATE",IF(CB71="win","RETEST_WINNER",IF(CB71="loss","RETURN_TO_BASELINE","COLLECT_MORE_DATA")))))))))</x:f>
        <x:v>COLLECT_MORE_DATA</x:v>
      </x:c>
      <x:c r="CD71" s="75"/>
    </x:row>
    <x:row r="72">
      <x:c r="A72" s="68"/>
      <x:c r="B72" s="69"/>
      <x:c r="C72" s="68"/>
      <x:c r="D72" s="68"/>
      <x:c r="E72" s="68"/>
      <x:c r="F72" s="68"/>
      <x:c r="G72" s="68"/>
      <x:c r="H72" s="70"/>
      <x:c r="I72" s="68"/>
      <x:c r="J72" s="68"/>
      <x:c r="K72" s="68"/>
      <x:c r="L72" s="71" t="str">
        <x:f>IF(K72="","unknown",IF(K72=0,"baseline",IF(K72=1,"pure","mixed")))</x:f>
        <x:v>unknown</x:v>
      </x:c>
      <x:c r="M72" s="68"/>
      <x:c r="N72" s="68"/>
      <x:c r="O72" s="68"/>
      <x:c r="P72" s="68"/>
      <x:c r="Q72" s="68"/>
      <x:c r="R72" s="68"/>
      <x:c r="S72" s="68"/>
      <x:c r="T72" s="68"/>
      <x:c r="U72" s="68"/>
      <x:c r="V72" s="68"/>
      <x:c r="W72" s="68"/>
      <x:c r="X72" s="68"/>
      <x:c r="Y72" s="68"/>
      <x:c r="Z72" s="68"/>
      <x:c r="AA72" s="68"/>
      <x:c r="AB72" s="68"/>
      <x:c r="AC72" s="68"/>
      <x:c r="AD72" s="70"/>
      <x:c r="AE72" s="70"/>
      <x:c r="AF72" s="70"/>
      <x:c r="AG72" s="70"/>
      <x:c r="AH72" s="70"/>
      <x:c r="AI72" s="70"/>
      <x:c r="AJ72" s="70"/>
      <x:c r="AK72" s="70"/>
      <x:c r="AL72" s="70"/>
      <x:c r="AM72" s="70"/>
      <x:c r="AN72" s="70"/>
      <x:c r="AO72" s="70"/>
      <x:c r="AP72" s="70"/>
      <x:c r="AQ72" s="70"/>
      <x:c r="AR72" s="70"/>
      <x:c r="AS72" s="70"/>
      <x:c r="AT72" s="72"/>
      <x:c r="AU72" s="72"/>
      <x:c r="AV72" s="72"/>
      <x:c r="AW72" s="72"/>
      <x:c r="AX72" s="72"/>
      <x:c r="AY72" s="72"/>
      <x:c r="AZ72" s="72"/>
      <x:c r="BA72" s="73" t="str">
        <x:f>IF(C72="xiaohongshu",IF(COUNT(AF72,AE72)&lt;2,"",IFERROR(AF72/AE72,"")),"")</x:f>
      </x:c>
      <x:c r="BB72" s="73" t="str">
        <x:f>IF(C72="xiaohongshu",IF(COUNT(AG72,AE72)&lt;2,"",IFERROR(AG72/AE72,"")),"")</x:f>
      </x:c>
      <x:c r="BC72" s="73" t="str">
        <x:f>IF(C72="xiaohongshu",IF(COUNT(AN72,AE72)&lt;2,"",IFERROR(AN72/AE72,"")),"")</x:f>
      </x:c>
      <x:c r="BD72" s="73" t="str">
        <x:f>IF(C72="xiaohongshu",IF(COUNT(AQ72,AE72)&lt;2,"",IFERROR(AQ72/AE72,"")),"")</x:f>
      </x:c>
      <x:c r="BE72" s="73" t="str">
        <x:f>IF(C72="xiaohongshu",IF(COUNT(AI72,AE72)&lt;2,"",IFERROR(AI72/AE72,"")),"")</x:f>
      </x:c>
      <x:c r="BF72" s="73" t="str">
        <x:f>IF(C72="xiaohongshu",IF(OR(COUNT(AE72)=0,COUNT(AR72,AS72)=0),"",IFERROR((AR72+AS72)/AE72,"")),"")</x:f>
      </x:c>
      <x:c r="BG72" s="73" t="str">
        <x:f>IF(C72="x",IF(COUNT(AD72)=0,"",IF(COUNT(AM72)=1,IFERROR(AM72/AD72,""),IF(COUNT(AH72,AI72,AK72,AL72)=0,"",IFERROR(SUM(AH72,AI72,AK72,AL72)/AD72,"")))),"")</x:f>
      </x:c>
      <x:c r="BH72" s="73" t="str">
        <x:f>IF(C72="x",IF(COUNT(AJ72,AD72)&lt;2,"",IFERROR(AJ72/AD72,"")),"")</x:f>
      </x:c>
      <x:c r="BI72" s="73" t="str">
        <x:f>IF(C72="x",IF(COUNT(AO72,AD72)&lt;2,"",IFERROR(AO72/AD72,"")),"")</x:f>
      </x:c>
      <x:c r="BJ72" s="73" t="str">
        <x:f>IF(C72="x",IF(COUNT(AP72,AD72)&lt;2,"",IFERROR(AP72/AD72,"")),"")</x:f>
      </x:c>
      <x:c r="BK72" s="73" t="str">
        <x:f>IF(C72="x",IF(COUNT(AL72,AD72)&lt;2,"",IFERROR(AL72/AD72,"")),"")</x:f>
      </x:c>
      <x:c r="BL72" s="73" t="str">
        <x:f>IF(C72="x",IF(OR(COUNT(AD72)=0,COUNT(AR72,AS72)=0),"",IFERROR((AR72+AS72)/AD72,"")),"")</x:f>
      </x:c>
      <x:c r="BM72" s="73" t="str">
        <x:f>IF(AB72="xhs_save_rate",BA72,IF(AB72="xhs_completion_rate",BB72,IF(AB72="xhs_profile_visit_rate",BC72,IF(AB72="xhs_dm_intent_rate",BD72,IF(AB72="xhs_discussion_rate",BE72,IF(AB72="xhs_product_relevance_rate",BF72,IF(AB72="x_first_screen_engaged_rate_proxy",BG72,IF(AB72="x_qualified_reply_rate",BH72,IF(AB72="x_profile_click_rate",BI72,IF(AB72="x_link_intent_rate",BJ72,IF(AB72="x_bookmark_rate",BK72,IF(AB72="x_product_relevance_rate",BL72,""))))))))))))</x:f>
      </x:c>
      <x:c r="BN72" s="73" t="str">
        <x:f>IFERROR(BM72/AT72-1,"")</x:f>
      </x:c>
      <x:c r="BO72" s="73" t="str">
        <x:f>IF(AC72="","",IF(AC72="xhs_save_rate",BA72,IF(AC72="xhs_completion_rate",BB72,IF(AC72="xhs_profile_visit_rate",BC72,IF(AC72="xhs_dm_intent_rate",BD72,IF(AC72="xhs_discussion_rate",BE72,IF(AC72="xhs_product_relevance_rate",BF72,IF(AC72="x_first_screen_engaged_rate_proxy",BG72,IF(AC72="x_qualified_reply_rate",BH72,IF(AC72="x_profile_click_rate",BI72,IF(AC72="x_link_intent_rate",BJ72,IF(AC72="x_bookmark_rate",BK72,IF(AC72="x_product_relevance_rate",BL72,"")))))))))))))</x:f>
      </x:c>
      <x:c r="BP72" s="73" t="str">
        <x:f>IFERROR(BO72/AU72-1,"")</x:f>
      </x:c>
      <x:c r="BQ72" s="74" t="str">
        <x:f>IF(COUNT(AD72)=0,"",AD72)</x:f>
      </x:c>
      <x:c r="BR72" s="73" t="str">
        <x:f>IF(C72="xiaohongshu",IF(COUNT(BA72,BB72)=2,AVERAGE(BA72,BB72),IF(COUNT(BA72)=1,BA72,BB72)),BK72)</x:f>
      </x:c>
      <x:c r="BS72" s="73" t="str">
        <x:f>IF(C72="xiaohongshu",BE72,BH72)</x:f>
      </x:c>
      <x:c r="BT72" s="73" t="str">
        <x:f>IF(C72="xiaohongshu",IF(I72="save",BA72,IF(I72="discussion",BE72,IF(I72="profile_visit",BC72,IF(I72="dm",BD72,IF(OR(I72="product_question",I72="trial_intent"),BF72,""))))),IF(I72="save",BK72,IF(I72="discussion",BH72,IF(OR(I72="profile_visit",I72="dm"),BI72,IF(I72="link_click",BJ72,IF(OR(I72="product_question",I72="trial_intent"),BL72,""))))))</x:f>
      </x:c>
      <x:c r="BU72" s="73" t="str">
        <x:f>IF(C72="xiaohongshu",BF72,BL72)</x:f>
      </x:c>
      <x:c r="BV72" s="65" t="str">
        <x:f>IF(COUNT(BQ72,AV72)&lt;2,"unknown",IF(BQ72/AV72-1&gt;=0.2,"high",IF(BQ72/AV72-1&lt;=-0.2,"low","normal")))</x:f>
        <x:v>unknown</x:v>
      </x:c>
      <x:c r="BW72" s="65" t="str">
        <x:f>IF(COUNT(BR72,AW72)&lt;2,"unknown",IF(BR72/AW72-1&gt;=0.2,"high",IF(BR72/AW72-1&lt;=-0.2,"low","normal")))</x:f>
        <x:v>unknown</x:v>
      </x:c>
      <x:c r="BX72" s="65" t="str">
        <x:f>IF(COUNT(BS72,AX72)&lt;2,"unknown",IF(BS72/AX72-1&gt;=0.2,"high",IF(BS72/AX72-1&lt;=-0.2,"low","normal")))</x:f>
        <x:v>unknown</x:v>
      </x:c>
      <x:c r="BY72" s="65" t="str">
        <x:f>IF(COUNT(BT72,AY72)&lt;2,"unknown",IF(BT72/AY72-1&gt;=0.2,"high",IF(BT72/AY72-1&lt;=-0.2,"low","normal")))</x:f>
        <x:v>unknown</x:v>
      </x:c>
      <x:c r="BZ72" s="65" t="str">
        <x:f>IF(COUNT(BU72,AZ72)&lt;2,"unknown",IF(BU72/AZ72-1&gt;=0.2,"high",IF(BU72/AZ72-1&lt;=-0.2,"low","normal")))</x:f>
        <x:v>unknown</x:v>
      </x:c>
      <x:c r="CA72" s="65" t="str">
        <x:f>IF(T72&lt;&gt;"complete","pending",IF(OR(L72&lt;&gt;"pure",U72="true",COUNT(BM72,AT72)&lt;2,AND(AC72&lt;&gt;"",COUNT(BO72,AU72)&lt;2)),"not_attributable","attributable"))</x:f>
        <x:v>pending</x:v>
      </x:c>
      <x:c r="CB72" s="65" t="str">
        <x:f>IF(T72&lt;&gt;"complete","not_evaluated",IF(COUNT(BM72,AT72)&lt;2,"insufficient_data",IF(AND(AC72&lt;&gt;"",COUNT(BP72)=1,BP72&lt;=-0.2),"guardrail_fail",IF(AND(CA72="not_attributable",OR(BV72="high",BN72&gt;=0.2)),"watchlist",IF(CA72&lt;&gt;"attributable","insufficient_data",IF(BN72&gt;=0.2,"win",IF(BN72&lt;=-0.2,"loss","inconclusive")))))))</x:f>
        <x:v>not_evaluated</x:v>
      </x:c>
      <x:c r="CC72" s="65" t="str">
        <x:f>IF(T72&lt;&gt;"complete","COLLECT_MORE_DATA",IF(COUNT(BM72,AT72)&lt;2,"FIX_TRACKING",IF(CB72="guardrail_fail","STOP_VARIANT_GUARDRAIL",IF(CB72="watchlist","WATCHLIST_ONLY",IF(AND(BV72="high",BY72="low"),"KEEP_HOOK_REWRITE_CTA",IF(AND(BW72="high",BX72="low"),"KEEP_STRUCTURE_CHANGE_DISCUSSION_ANGLE",IF(AND(BX72="high",BZ72="low"),"DOWNWEIGHT_TEMPLATE",IF(CB72="win","RETEST_WINNER",IF(CB72="loss","RETURN_TO_BASELINE","COLLECT_MORE_DATA")))))))))</x:f>
        <x:v>COLLECT_MORE_DATA</x:v>
      </x:c>
      <x:c r="CD72" s="75"/>
    </x:row>
    <x:row r="73">
      <x:c r="A73" s="68"/>
      <x:c r="B73" s="69"/>
      <x:c r="C73" s="68"/>
      <x:c r="D73" s="68"/>
      <x:c r="E73" s="68"/>
      <x:c r="F73" s="68"/>
      <x:c r="G73" s="68"/>
      <x:c r="H73" s="70"/>
      <x:c r="I73" s="68"/>
      <x:c r="J73" s="68"/>
      <x:c r="K73" s="68"/>
      <x:c r="L73" s="71" t="str">
        <x:f>IF(K73="","unknown",IF(K73=0,"baseline",IF(K73=1,"pure","mixed")))</x:f>
        <x:v>unknown</x:v>
      </x:c>
      <x:c r="M73" s="68"/>
      <x:c r="N73" s="68"/>
      <x:c r="O73" s="68"/>
      <x:c r="P73" s="68"/>
      <x:c r="Q73" s="68"/>
      <x:c r="R73" s="68"/>
      <x:c r="S73" s="68"/>
      <x:c r="T73" s="68"/>
      <x:c r="U73" s="68"/>
      <x:c r="V73" s="68"/>
      <x:c r="W73" s="68"/>
      <x:c r="X73" s="68"/>
      <x:c r="Y73" s="68"/>
      <x:c r="Z73" s="68"/>
      <x:c r="AA73" s="68"/>
      <x:c r="AB73" s="68"/>
      <x:c r="AC73" s="68"/>
      <x:c r="AD73" s="70"/>
      <x:c r="AE73" s="70"/>
      <x:c r="AF73" s="70"/>
      <x:c r="AG73" s="70"/>
      <x:c r="AH73" s="70"/>
      <x:c r="AI73" s="70"/>
      <x:c r="AJ73" s="70"/>
      <x:c r="AK73" s="70"/>
      <x:c r="AL73" s="70"/>
      <x:c r="AM73" s="70"/>
      <x:c r="AN73" s="70"/>
      <x:c r="AO73" s="70"/>
      <x:c r="AP73" s="70"/>
      <x:c r="AQ73" s="70"/>
      <x:c r="AR73" s="70"/>
      <x:c r="AS73" s="70"/>
      <x:c r="AT73" s="72"/>
      <x:c r="AU73" s="72"/>
      <x:c r="AV73" s="72"/>
      <x:c r="AW73" s="72"/>
      <x:c r="AX73" s="72"/>
      <x:c r="AY73" s="72"/>
      <x:c r="AZ73" s="72"/>
      <x:c r="BA73" s="73" t="str">
        <x:f>IF(C73="xiaohongshu",IF(COUNT(AF73,AE73)&lt;2,"",IFERROR(AF73/AE73,"")),"")</x:f>
      </x:c>
      <x:c r="BB73" s="73" t="str">
        <x:f>IF(C73="xiaohongshu",IF(COUNT(AG73,AE73)&lt;2,"",IFERROR(AG73/AE73,"")),"")</x:f>
      </x:c>
      <x:c r="BC73" s="73" t="str">
        <x:f>IF(C73="xiaohongshu",IF(COUNT(AN73,AE73)&lt;2,"",IFERROR(AN73/AE73,"")),"")</x:f>
      </x:c>
      <x:c r="BD73" s="73" t="str">
        <x:f>IF(C73="xiaohongshu",IF(COUNT(AQ73,AE73)&lt;2,"",IFERROR(AQ73/AE73,"")),"")</x:f>
      </x:c>
      <x:c r="BE73" s="73" t="str">
        <x:f>IF(C73="xiaohongshu",IF(COUNT(AI73,AE73)&lt;2,"",IFERROR(AI73/AE73,"")),"")</x:f>
      </x:c>
      <x:c r="BF73" s="73" t="str">
        <x:f>IF(C73="xiaohongshu",IF(OR(COUNT(AE73)=0,COUNT(AR73,AS73)=0),"",IFERROR((AR73+AS73)/AE73,"")),"")</x:f>
      </x:c>
      <x:c r="BG73" s="73" t="str">
        <x:f>IF(C73="x",IF(COUNT(AD73)=0,"",IF(COUNT(AM73)=1,IFERROR(AM73/AD73,""),IF(COUNT(AH73,AI73,AK73,AL73)=0,"",IFERROR(SUM(AH73,AI73,AK73,AL73)/AD73,"")))),"")</x:f>
      </x:c>
      <x:c r="BH73" s="73" t="str">
        <x:f>IF(C73="x",IF(COUNT(AJ73,AD73)&lt;2,"",IFERROR(AJ73/AD73,"")),"")</x:f>
      </x:c>
      <x:c r="BI73" s="73" t="str">
        <x:f>IF(C73="x",IF(COUNT(AO73,AD73)&lt;2,"",IFERROR(AO73/AD73,"")),"")</x:f>
      </x:c>
      <x:c r="BJ73" s="73" t="str">
        <x:f>IF(C73="x",IF(COUNT(AP73,AD73)&lt;2,"",IFERROR(AP73/AD73,"")),"")</x:f>
      </x:c>
      <x:c r="BK73" s="73" t="str">
        <x:f>IF(C73="x",IF(COUNT(AL73,AD73)&lt;2,"",IFERROR(AL73/AD73,"")),"")</x:f>
      </x:c>
      <x:c r="BL73" s="73" t="str">
        <x:f>IF(C73="x",IF(OR(COUNT(AD73)=0,COUNT(AR73,AS73)=0),"",IFERROR((AR73+AS73)/AD73,"")),"")</x:f>
      </x:c>
      <x:c r="BM73" s="73" t="str">
        <x:f>IF(AB73="xhs_save_rate",BA73,IF(AB73="xhs_completion_rate",BB73,IF(AB73="xhs_profile_visit_rate",BC73,IF(AB73="xhs_dm_intent_rate",BD73,IF(AB73="xhs_discussion_rate",BE73,IF(AB73="xhs_product_relevance_rate",BF73,IF(AB73="x_first_screen_engaged_rate_proxy",BG73,IF(AB73="x_qualified_reply_rate",BH73,IF(AB73="x_profile_click_rate",BI73,IF(AB73="x_link_intent_rate",BJ73,IF(AB73="x_bookmark_rate",BK73,IF(AB73="x_product_relevance_rate",BL73,""))))))))))))</x:f>
      </x:c>
      <x:c r="BN73" s="73" t="str">
        <x:f>IFERROR(BM73/AT73-1,"")</x:f>
      </x:c>
      <x:c r="BO73" s="73" t="str">
        <x:f>IF(AC73="","",IF(AC73="xhs_save_rate",BA73,IF(AC73="xhs_completion_rate",BB73,IF(AC73="xhs_profile_visit_rate",BC73,IF(AC73="xhs_dm_intent_rate",BD73,IF(AC73="xhs_discussion_rate",BE73,IF(AC73="xhs_product_relevance_rate",BF73,IF(AC73="x_first_screen_engaged_rate_proxy",BG73,IF(AC73="x_qualified_reply_rate",BH73,IF(AC73="x_profile_click_rate",BI73,IF(AC73="x_link_intent_rate",BJ73,IF(AC73="x_bookmark_rate",BK73,IF(AC73="x_product_relevance_rate",BL73,"")))))))))))))</x:f>
      </x:c>
      <x:c r="BP73" s="73" t="str">
        <x:f>IFERROR(BO73/AU73-1,"")</x:f>
      </x:c>
      <x:c r="BQ73" s="74" t="str">
        <x:f>IF(COUNT(AD73)=0,"",AD73)</x:f>
      </x:c>
      <x:c r="BR73" s="73" t="str">
        <x:f>IF(C73="xiaohongshu",IF(COUNT(BA73,BB73)=2,AVERAGE(BA73,BB73),IF(COUNT(BA73)=1,BA73,BB73)),BK73)</x:f>
      </x:c>
      <x:c r="BS73" s="73" t="str">
        <x:f>IF(C73="xiaohongshu",BE73,BH73)</x:f>
      </x:c>
      <x:c r="BT73" s="73" t="str">
        <x:f>IF(C73="xiaohongshu",IF(I73="save",BA73,IF(I73="discussion",BE73,IF(I73="profile_visit",BC73,IF(I73="dm",BD73,IF(OR(I73="product_question",I73="trial_intent"),BF73,""))))),IF(I73="save",BK73,IF(I73="discussion",BH73,IF(OR(I73="profile_visit",I73="dm"),BI73,IF(I73="link_click",BJ73,IF(OR(I73="product_question",I73="trial_intent"),BL73,""))))))</x:f>
      </x:c>
      <x:c r="BU73" s="73" t="str">
        <x:f>IF(C73="xiaohongshu",BF73,BL73)</x:f>
      </x:c>
      <x:c r="BV73" s="65" t="str">
        <x:f>IF(COUNT(BQ73,AV73)&lt;2,"unknown",IF(BQ73/AV73-1&gt;=0.2,"high",IF(BQ73/AV73-1&lt;=-0.2,"low","normal")))</x:f>
        <x:v>unknown</x:v>
      </x:c>
      <x:c r="BW73" s="65" t="str">
        <x:f>IF(COUNT(BR73,AW73)&lt;2,"unknown",IF(BR73/AW73-1&gt;=0.2,"high",IF(BR73/AW73-1&lt;=-0.2,"low","normal")))</x:f>
        <x:v>unknown</x:v>
      </x:c>
      <x:c r="BX73" s="65" t="str">
        <x:f>IF(COUNT(BS73,AX73)&lt;2,"unknown",IF(BS73/AX73-1&gt;=0.2,"high",IF(BS73/AX73-1&lt;=-0.2,"low","normal")))</x:f>
        <x:v>unknown</x:v>
      </x:c>
      <x:c r="BY73" s="65" t="str">
        <x:f>IF(COUNT(BT73,AY73)&lt;2,"unknown",IF(BT73/AY73-1&gt;=0.2,"high",IF(BT73/AY73-1&lt;=-0.2,"low","normal")))</x:f>
        <x:v>unknown</x:v>
      </x:c>
      <x:c r="BZ73" s="65" t="str">
        <x:f>IF(COUNT(BU73,AZ73)&lt;2,"unknown",IF(BU73/AZ73-1&gt;=0.2,"high",IF(BU73/AZ73-1&lt;=-0.2,"low","normal")))</x:f>
        <x:v>unknown</x:v>
      </x:c>
      <x:c r="CA73" s="65" t="str">
        <x:f>IF(T73&lt;&gt;"complete","pending",IF(OR(L73&lt;&gt;"pure",U73="true",COUNT(BM73,AT73)&lt;2,AND(AC73&lt;&gt;"",COUNT(BO73,AU73)&lt;2)),"not_attributable","attributable"))</x:f>
        <x:v>pending</x:v>
      </x:c>
      <x:c r="CB73" s="65" t="str">
        <x:f>IF(T73&lt;&gt;"complete","not_evaluated",IF(COUNT(BM73,AT73)&lt;2,"insufficient_data",IF(AND(AC73&lt;&gt;"",COUNT(BP73)=1,BP73&lt;=-0.2),"guardrail_fail",IF(AND(CA73="not_attributable",OR(BV73="high",BN73&gt;=0.2)),"watchlist",IF(CA73&lt;&gt;"attributable","insufficient_data",IF(BN73&gt;=0.2,"win",IF(BN73&lt;=-0.2,"loss","inconclusive")))))))</x:f>
        <x:v>not_evaluated</x:v>
      </x:c>
      <x:c r="CC73" s="65" t="str">
        <x:f>IF(T73&lt;&gt;"complete","COLLECT_MORE_DATA",IF(COUNT(BM73,AT73)&lt;2,"FIX_TRACKING",IF(CB73="guardrail_fail","STOP_VARIANT_GUARDRAIL",IF(CB73="watchlist","WATCHLIST_ONLY",IF(AND(BV73="high",BY73="low"),"KEEP_HOOK_REWRITE_CTA",IF(AND(BW73="high",BX73="low"),"KEEP_STRUCTURE_CHANGE_DISCUSSION_ANGLE",IF(AND(BX73="high",BZ73="low"),"DOWNWEIGHT_TEMPLATE",IF(CB73="win","RETEST_WINNER",IF(CB73="loss","RETURN_TO_BASELINE","COLLECT_MORE_DATA")))))))))</x:f>
        <x:v>COLLECT_MORE_DATA</x:v>
      </x:c>
      <x:c r="CD73" s="75"/>
    </x:row>
    <x:row r="74">
      <x:c r="A74" s="68"/>
      <x:c r="B74" s="69"/>
      <x:c r="C74" s="68"/>
      <x:c r="D74" s="68"/>
      <x:c r="E74" s="68"/>
      <x:c r="F74" s="68"/>
      <x:c r="G74" s="68"/>
      <x:c r="H74" s="70"/>
      <x:c r="I74" s="68"/>
      <x:c r="J74" s="68"/>
      <x:c r="K74" s="68"/>
      <x:c r="L74" s="71" t="str">
        <x:f>IF(K74="","unknown",IF(K74=0,"baseline",IF(K74=1,"pure","mixed")))</x:f>
        <x:v>unknown</x:v>
      </x:c>
      <x:c r="M74" s="68"/>
      <x:c r="N74" s="68"/>
      <x:c r="O74" s="68"/>
      <x:c r="P74" s="68"/>
      <x:c r="Q74" s="68"/>
      <x:c r="R74" s="68"/>
      <x:c r="S74" s="68"/>
      <x:c r="T74" s="68"/>
      <x:c r="U74" s="68"/>
      <x:c r="V74" s="68"/>
      <x:c r="W74" s="68"/>
      <x:c r="X74" s="68"/>
      <x:c r="Y74" s="68"/>
      <x:c r="Z74" s="68"/>
      <x:c r="AA74" s="68"/>
      <x:c r="AB74" s="68"/>
      <x:c r="AC74" s="68"/>
      <x:c r="AD74" s="70"/>
      <x:c r="AE74" s="70"/>
      <x:c r="AF74" s="70"/>
      <x:c r="AG74" s="70"/>
      <x:c r="AH74" s="70"/>
      <x:c r="AI74" s="70"/>
      <x:c r="AJ74" s="70"/>
      <x:c r="AK74" s="70"/>
      <x:c r="AL74" s="70"/>
      <x:c r="AM74" s="70"/>
      <x:c r="AN74" s="70"/>
      <x:c r="AO74" s="70"/>
      <x:c r="AP74" s="70"/>
      <x:c r="AQ74" s="70"/>
      <x:c r="AR74" s="70"/>
      <x:c r="AS74" s="70"/>
      <x:c r="AT74" s="72"/>
      <x:c r="AU74" s="72"/>
      <x:c r="AV74" s="72"/>
      <x:c r="AW74" s="72"/>
      <x:c r="AX74" s="72"/>
      <x:c r="AY74" s="72"/>
      <x:c r="AZ74" s="72"/>
      <x:c r="BA74" s="73" t="str">
        <x:f>IF(C74="xiaohongshu",IF(COUNT(AF74,AE74)&lt;2,"",IFERROR(AF74/AE74,"")),"")</x:f>
      </x:c>
      <x:c r="BB74" s="73" t="str">
        <x:f>IF(C74="xiaohongshu",IF(COUNT(AG74,AE74)&lt;2,"",IFERROR(AG74/AE74,"")),"")</x:f>
      </x:c>
      <x:c r="BC74" s="73" t="str">
        <x:f>IF(C74="xiaohongshu",IF(COUNT(AN74,AE74)&lt;2,"",IFERROR(AN74/AE74,"")),"")</x:f>
      </x:c>
      <x:c r="BD74" s="73" t="str">
        <x:f>IF(C74="xiaohongshu",IF(COUNT(AQ74,AE74)&lt;2,"",IFERROR(AQ74/AE74,"")),"")</x:f>
      </x:c>
      <x:c r="BE74" s="73" t="str">
        <x:f>IF(C74="xiaohongshu",IF(COUNT(AI74,AE74)&lt;2,"",IFERROR(AI74/AE74,"")),"")</x:f>
      </x:c>
      <x:c r="BF74" s="73" t="str">
        <x:f>IF(C74="xiaohongshu",IF(OR(COUNT(AE74)=0,COUNT(AR74,AS74)=0),"",IFERROR((AR74+AS74)/AE74,"")),"")</x:f>
      </x:c>
      <x:c r="BG74" s="73" t="str">
        <x:f>IF(C74="x",IF(COUNT(AD74)=0,"",IF(COUNT(AM74)=1,IFERROR(AM74/AD74,""),IF(COUNT(AH74,AI74,AK74,AL74)=0,"",IFERROR(SUM(AH74,AI74,AK74,AL74)/AD74,"")))),"")</x:f>
      </x:c>
      <x:c r="BH74" s="73" t="str">
        <x:f>IF(C74="x",IF(COUNT(AJ74,AD74)&lt;2,"",IFERROR(AJ74/AD74,"")),"")</x:f>
      </x:c>
      <x:c r="BI74" s="73" t="str">
        <x:f>IF(C74="x",IF(COUNT(AO74,AD74)&lt;2,"",IFERROR(AO74/AD74,"")),"")</x:f>
      </x:c>
      <x:c r="BJ74" s="73" t="str">
        <x:f>IF(C74="x",IF(COUNT(AP74,AD74)&lt;2,"",IFERROR(AP74/AD74,"")),"")</x:f>
      </x:c>
      <x:c r="BK74" s="73" t="str">
        <x:f>IF(C74="x",IF(COUNT(AL74,AD74)&lt;2,"",IFERROR(AL74/AD74,"")),"")</x:f>
      </x:c>
      <x:c r="BL74" s="73" t="str">
        <x:f>IF(C74="x",IF(OR(COUNT(AD74)=0,COUNT(AR74,AS74)=0),"",IFERROR((AR74+AS74)/AD74,"")),"")</x:f>
      </x:c>
      <x:c r="BM74" s="73" t="str">
        <x:f>IF(AB74="xhs_save_rate",BA74,IF(AB74="xhs_completion_rate",BB74,IF(AB74="xhs_profile_visit_rate",BC74,IF(AB74="xhs_dm_intent_rate",BD74,IF(AB74="xhs_discussion_rate",BE74,IF(AB74="xhs_product_relevance_rate",BF74,IF(AB74="x_first_screen_engaged_rate_proxy",BG74,IF(AB74="x_qualified_reply_rate",BH74,IF(AB74="x_profile_click_rate",BI74,IF(AB74="x_link_intent_rate",BJ74,IF(AB74="x_bookmark_rate",BK74,IF(AB74="x_product_relevance_rate",BL74,""))))))))))))</x:f>
      </x:c>
      <x:c r="BN74" s="73" t="str">
        <x:f>IFERROR(BM74/AT74-1,"")</x:f>
      </x:c>
      <x:c r="BO74" s="73" t="str">
        <x:f>IF(AC74="","",IF(AC74="xhs_save_rate",BA74,IF(AC74="xhs_completion_rate",BB74,IF(AC74="xhs_profile_visit_rate",BC74,IF(AC74="xhs_dm_intent_rate",BD74,IF(AC74="xhs_discussion_rate",BE74,IF(AC74="xhs_product_relevance_rate",BF74,IF(AC74="x_first_screen_engaged_rate_proxy",BG74,IF(AC74="x_qualified_reply_rate",BH74,IF(AC74="x_profile_click_rate",BI74,IF(AC74="x_link_intent_rate",BJ74,IF(AC74="x_bookmark_rate",BK74,IF(AC74="x_product_relevance_rate",BL74,"")))))))))))))</x:f>
      </x:c>
      <x:c r="BP74" s="73" t="str">
        <x:f>IFERROR(BO74/AU74-1,"")</x:f>
      </x:c>
      <x:c r="BQ74" s="74" t="str">
        <x:f>IF(COUNT(AD74)=0,"",AD74)</x:f>
      </x:c>
      <x:c r="BR74" s="73" t="str">
        <x:f>IF(C74="xiaohongshu",IF(COUNT(BA74,BB74)=2,AVERAGE(BA74,BB74),IF(COUNT(BA74)=1,BA74,BB74)),BK74)</x:f>
      </x:c>
      <x:c r="BS74" s="73" t="str">
        <x:f>IF(C74="xiaohongshu",BE74,BH74)</x:f>
      </x:c>
      <x:c r="BT74" s="73" t="str">
        <x:f>IF(C74="xiaohongshu",IF(I74="save",BA74,IF(I74="discussion",BE74,IF(I74="profile_visit",BC74,IF(I74="dm",BD74,IF(OR(I74="product_question",I74="trial_intent"),BF74,""))))),IF(I74="save",BK74,IF(I74="discussion",BH74,IF(OR(I74="profile_visit",I74="dm"),BI74,IF(I74="link_click",BJ74,IF(OR(I74="product_question",I74="trial_intent"),BL74,""))))))</x:f>
      </x:c>
      <x:c r="BU74" s="73" t="str">
        <x:f>IF(C74="xiaohongshu",BF74,BL74)</x:f>
      </x:c>
      <x:c r="BV74" s="65" t="str">
        <x:f>IF(COUNT(BQ74,AV74)&lt;2,"unknown",IF(BQ74/AV74-1&gt;=0.2,"high",IF(BQ74/AV74-1&lt;=-0.2,"low","normal")))</x:f>
        <x:v>unknown</x:v>
      </x:c>
      <x:c r="BW74" s="65" t="str">
        <x:f>IF(COUNT(BR74,AW74)&lt;2,"unknown",IF(BR74/AW74-1&gt;=0.2,"high",IF(BR74/AW74-1&lt;=-0.2,"low","normal")))</x:f>
        <x:v>unknown</x:v>
      </x:c>
      <x:c r="BX74" s="65" t="str">
        <x:f>IF(COUNT(BS74,AX74)&lt;2,"unknown",IF(BS74/AX74-1&gt;=0.2,"high",IF(BS74/AX74-1&lt;=-0.2,"low","normal")))</x:f>
        <x:v>unknown</x:v>
      </x:c>
      <x:c r="BY74" s="65" t="str">
        <x:f>IF(COUNT(BT74,AY74)&lt;2,"unknown",IF(BT74/AY74-1&gt;=0.2,"high",IF(BT74/AY74-1&lt;=-0.2,"low","normal")))</x:f>
        <x:v>unknown</x:v>
      </x:c>
      <x:c r="BZ74" s="65" t="str">
        <x:f>IF(COUNT(BU74,AZ74)&lt;2,"unknown",IF(BU74/AZ74-1&gt;=0.2,"high",IF(BU74/AZ74-1&lt;=-0.2,"low","normal")))</x:f>
        <x:v>unknown</x:v>
      </x:c>
      <x:c r="CA74" s="65" t="str">
        <x:f>IF(T74&lt;&gt;"complete","pending",IF(OR(L74&lt;&gt;"pure",U74="true",COUNT(BM74,AT74)&lt;2,AND(AC74&lt;&gt;"",COUNT(BO74,AU74)&lt;2)),"not_attributable","attributable"))</x:f>
        <x:v>pending</x:v>
      </x:c>
      <x:c r="CB74" s="65" t="str">
        <x:f>IF(T74&lt;&gt;"complete","not_evaluated",IF(COUNT(BM74,AT74)&lt;2,"insufficient_data",IF(AND(AC74&lt;&gt;"",COUNT(BP74)=1,BP74&lt;=-0.2),"guardrail_fail",IF(AND(CA74="not_attributable",OR(BV74="high",BN74&gt;=0.2)),"watchlist",IF(CA74&lt;&gt;"attributable","insufficient_data",IF(BN74&gt;=0.2,"win",IF(BN74&lt;=-0.2,"loss","inconclusive")))))))</x:f>
        <x:v>not_evaluated</x:v>
      </x:c>
      <x:c r="CC74" s="65" t="str">
        <x:f>IF(T74&lt;&gt;"complete","COLLECT_MORE_DATA",IF(COUNT(BM74,AT74)&lt;2,"FIX_TRACKING",IF(CB74="guardrail_fail","STOP_VARIANT_GUARDRAIL",IF(CB74="watchlist","WATCHLIST_ONLY",IF(AND(BV74="high",BY74="low"),"KEEP_HOOK_REWRITE_CTA",IF(AND(BW74="high",BX74="low"),"KEEP_STRUCTURE_CHANGE_DISCUSSION_ANGLE",IF(AND(BX74="high",BZ74="low"),"DOWNWEIGHT_TEMPLATE",IF(CB74="win","RETEST_WINNER",IF(CB74="loss","RETURN_TO_BASELINE","COLLECT_MORE_DATA")))))))))</x:f>
        <x:v>COLLECT_MORE_DATA</x:v>
      </x:c>
      <x:c r="CD74" s="75"/>
    </x:row>
    <x:row r="75">
      <x:c r="A75" s="68"/>
      <x:c r="B75" s="69"/>
      <x:c r="C75" s="68"/>
      <x:c r="D75" s="68"/>
      <x:c r="E75" s="68"/>
      <x:c r="F75" s="68"/>
      <x:c r="G75" s="68"/>
      <x:c r="H75" s="70"/>
      <x:c r="I75" s="68"/>
      <x:c r="J75" s="68"/>
      <x:c r="K75" s="68"/>
      <x:c r="L75" s="71" t="str">
        <x:f>IF(K75="","unknown",IF(K75=0,"baseline",IF(K75=1,"pure","mixed")))</x:f>
        <x:v>unknown</x:v>
      </x:c>
      <x:c r="M75" s="68"/>
      <x:c r="N75" s="68"/>
      <x:c r="O75" s="68"/>
      <x:c r="P75" s="68"/>
      <x:c r="Q75" s="68"/>
      <x:c r="R75" s="68"/>
      <x:c r="S75" s="68"/>
      <x:c r="T75" s="68"/>
      <x:c r="U75" s="68"/>
      <x:c r="V75" s="68"/>
      <x:c r="W75" s="68"/>
      <x:c r="X75" s="68"/>
      <x:c r="Y75" s="68"/>
      <x:c r="Z75" s="68"/>
      <x:c r="AA75" s="68"/>
      <x:c r="AB75" s="68"/>
      <x:c r="AC75" s="68"/>
      <x:c r="AD75" s="70"/>
      <x:c r="AE75" s="70"/>
      <x:c r="AF75" s="70"/>
      <x:c r="AG75" s="70"/>
      <x:c r="AH75" s="70"/>
      <x:c r="AI75" s="70"/>
      <x:c r="AJ75" s="70"/>
      <x:c r="AK75" s="70"/>
      <x:c r="AL75" s="70"/>
      <x:c r="AM75" s="70"/>
      <x:c r="AN75" s="70"/>
      <x:c r="AO75" s="70"/>
      <x:c r="AP75" s="70"/>
      <x:c r="AQ75" s="70"/>
      <x:c r="AR75" s="70"/>
      <x:c r="AS75" s="70"/>
      <x:c r="AT75" s="72"/>
      <x:c r="AU75" s="72"/>
      <x:c r="AV75" s="72"/>
      <x:c r="AW75" s="72"/>
      <x:c r="AX75" s="72"/>
      <x:c r="AY75" s="72"/>
      <x:c r="AZ75" s="72"/>
      <x:c r="BA75" s="73" t="str">
        <x:f>IF(C75="xiaohongshu",IF(COUNT(AF75,AE75)&lt;2,"",IFERROR(AF75/AE75,"")),"")</x:f>
      </x:c>
      <x:c r="BB75" s="73" t="str">
        <x:f>IF(C75="xiaohongshu",IF(COUNT(AG75,AE75)&lt;2,"",IFERROR(AG75/AE75,"")),"")</x:f>
      </x:c>
      <x:c r="BC75" s="73" t="str">
        <x:f>IF(C75="xiaohongshu",IF(COUNT(AN75,AE75)&lt;2,"",IFERROR(AN75/AE75,"")),"")</x:f>
      </x:c>
      <x:c r="BD75" s="73" t="str">
        <x:f>IF(C75="xiaohongshu",IF(COUNT(AQ75,AE75)&lt;2,"",IFERROR(AQ75/AE75,"")),"")</x:f>
      </x:c>
      <x:c r="BE75" s="73" t="str">
        <x:f>IF(C75="xiaohongshu",IF(COUNT(AI75,AE75)&lt;2,"",IFERROR(AI75/AE75,"")),"")</x:f>
      </x:c>
      <x:c r="BF75" s="73" t="str">
        <x:f>IF(C75="xiaohongshu",IF(OR(COUNT(AE75)=0,COUNT(AR75,AS75)=0),"",IFERROR((AR75+AS75)/AE75,"")),"")</x:f>
      </x:c>
      <x:c r="BG75" s="73" t="str">
        <x:f>IF(C75="x",IF(COUNT(AD75)=0,"",IF(COUNT(AM75)=1,IFERROR(AM75/AD75,""),IF(COUNT(AH75,AI75,AK75,AL75)=0,"",IFERROR(SUM(AH75,AI75,AK75,AL75)/AD75,"")))),"")</x:f>
      </x:c>
      <x:c r="BH75" s="73" t="str">
        <x:f>IF(C75="x",IF(COUNT(AJ75,AD75)&lt;2,"",IFERROR(AJ75/AD75,"")),"")</x:f>
      </x:c>
      <x:c r="BI75" s="73" t="str">
        <x:f>IF(C75="x",IF(COUNT(AO75,AD75)&lt;2,"",IFERROR(AO75/AD75,"")),"")</x:f>
      </x:c>
      <x:c r="BJ75" s="73" t="str">
        <x:f>IF(C75="x",IF(COUNT(AP75,AD75)&lt;2,"",IFERROR(AP75/AD75,"")),"")</x:f>
      </x:c>
      <x:c r="BK75" s="73" t="str">
        <x:f>IF(C75="x",IF(COUNT(AL75,AD75)&lt;2,"",IFERROR(AL75/AD75,"")),"")</x:f>
      </x:c>
      <x:c r="BL75" s="73" t="str">
        <x:f>IF(C75="x",IF(OR(COUNT(AD75)=0,COUNT(AR75,AS75)=0),"",IFERROR((AR75+AS75)/AD75,"")),"")</x:f>
      </x:c>
      <x:c r="BM75" s="73" t="str">
        <x:f>IF(AB75="xhs_save_rate",BA75,IF(AB75="xhs_completion_rate",BB75,IF(AB75="xhs_profile_visit_rate",BC75,IF(AB75="xhs_dm_intent_rate",BD75,IF(AB75="xhs_discussion_rate",BE75,IF(AB75="xhs_product_relevance_rate",BF75,IF(AB75="x_first_screen_engaged_rate_proxy",BG75,IF(AB75="x_qualified_reply_rate",BH75,IF(AB75="x_profile_click_rate",BI75,IF(AB75="x_link_intent_rate",BJ75,IF(AB75="x_bookmark_rate",BK75,IF(AB75="x_product_relevance_rate",BL75,""))))))))))))</x:f>
      </x:c>
      <x:c r="BN75" s="73" t="str">
        <x:f>IFERROR(BM75/AT75-1,"")</x:f>
      </x:c>
      <x:c r="BO75" s="73" t="str">
        <x:f>IF(AC75="","",IF(AC75="xhs_save_rate",BA75,IF(AC75="xhs_completion_rate",BB75,IF(AC75="xhs_profile_visit_rate",BC75,IF(AC75="xhs_dm_intent_rate",BD75,IF(AC75="xhs_discussion_rate",BE75,IF(AC75="xhs_product_relevance_rate",BF75,IF(AC75="x_first_screen_engaged_rate_proxy",BG75,IF(AC75="x_qualified_reply_rate",BH75,IF(AC75="x_profile_click_rate",BI75,IF(AC75="x_link_intent_rate",BJ75,IF(AC75="x_bookmark_rate",BK75,IF(AC75="x_product_relevance_rate",BL75,"")))))))))))))</x:f>
      </x:c>
      <x:c r="BP75" s="73" t="str">
        <x:f>IFERROR(BO75/AU75-1,"")</x:f>
      </x:c>
      <x:c r="BQ75" s="74" t="str">
        <x:f>IF(COUNT(AD75)=0,"",AD75)</x:f>
      </x:c>
      <x:c r="BR75" s="73" t="str">
        <x:f>IF(C75="xiaohongshu",IF(COUNT(BA75,BB75)=2,AVERAGE(BA75,BB75),IF(COUNT(BA75)=1,BA75,BB75)),BK75)</x:f>
      </x:c>
      <x:c r="BS75" s="73" t="str">
        <x:f>IF(C75="xiaohongshu",BE75,BH75)</x:f>
      </x:c>
      <x:c r="BT75" s="73" t="str">
        <x:f>IF(C75="xiaohongshu",IF(I75="save",BA75,IF(I75="discussion",BE75,IF(I75="profile_visit",BC75,IF(I75="dm",BD75,IF(OR(I75="product_question",I75="trial_intent"),BF75,""))))),IF(I75="save",BK75,IF(I75="discussion",BH75,IF(OR(I75="profile_visit",I75="dm"),BI75,IF(I75="link_click",BJ75,IF(OR(I75="product_question",I75="trial_intent"),BL75,""))))))</x:f>
      </x:c>
      <x:c r="BU75" s="73" t="str">
        <x:f>IF(C75="xiaohongshu",BF75,BL75)</x:f>
      </x:c>
      <x:c r="BV75" s="65" t="str">
        <x:f>IF(COUNT(BQ75,AV75)&lt;2,"unknown",IF(BQ75/AV75-1&gt;=0.2,"high",IF(BQ75/AV75-1&lt;=-0.2,"low","normal")))</x:f>
        <x:v>unknown</x:v>
      </x:c>
      <x:c r="BW75" s="65" t="str">
        <x:f>IF(COUNT(BR75,AW75)&lt;2,"unknown",IF(BR75/AW75-1&gt;=0.2,"high",IF(BR75/AW75-1&lt;=-0.2,"low","normal")))</x:f>
        <x:v>unknown</x:v>
      </x:c>
      <x:c r="BX75" s="65" t="str">
        <x:f>IF(COUNT(BS75,AX75)&lt;2,"unknown",IF(BS75/AX75-1&gt;=0.2,"high",IF(BS75/AX75-1&lt;=-0.2,"low","normal")))</x:f>
        <x:v>unknown</x:v>
      </x:c>
      <x:c r="BY75" s="65" t="str">
        <x:f>IF(COUNT(BT75,AY75)&lt;2,"unknown",IF(BT75/AY75-1&gt;=0.2,"high",IF(BT75/AY75-1&lt;=-0.2,"low","normal")))</x:f>
        <x:v>unknown</x:v>
      </x:c>
      <x:c r="BZ75" s="65" t="str">
        <x:f>IF(COUNT(BU75,AZ75)&lt;2,"unknown",IF(BU75/AZ75-1&gt;=0.2,"high",IF(BU75/AZ75-1&lt;=-0.2,"low","normal")))</x:f>
        <x:v>unknown</x:v>
      </x:c>
      <x:c r="CA75" s="65" t="str">
        <x:f>IF(T75&lt;&gt;"complete","pending",IF(OR(L75&lt;&gt;"pure",U75="true",COUNT(BM75,AT75)&lt;2,AND(AC75&lt;&gt;"",COUNT(BO75,AU75)&lt;2)),"not_attributable","attributable"))</x:f>
        <x:v>pending</x:v>
      </x:c>
      <x:c r="CB75" s="65" t="str">
        <x:f>IF(T75&lt;&gt;"complete","not_evaluated",IF(COUNT(BM75,AT75)&lt;2,"insufficient_data",IF(AND(AC75&lt;&gt;"",COUNT(BP75)=1,BP75&lt;=-0.2),"guardrail_fail",IF(AND(CA75="not_attributable",OR(BV75="high",BN75&gt;=0.2)),"watchlist",IF(CA75&lt;&gt;"attributable","insufficient_data",IF(BN75&gt;=0.2,"win",IF(BN75&lt;=-0.2,"loss","inconclusive")))))))</x:f>
        <x:v>not_evaluated</x:v>
      </x:c>
      <x:c r="CC75" s="65" t="str">
        <x:f>IF(T75&lt;&gt;"complete","COLLECT_MORE_DATA",IF(COUNT(BM75,AT75)&lt;2,"FIX_TRACKING",IF(CB75="guardrail_fail","STOP_VARIANT_GUARDRAIL",IF(CB75="watchlist","WATCHLIST_ONLY",IF(AND(BV75="high",BY75="low"),"KEEP_HOOK_REWRITE_CTA",IF(AND(BW75="high",BX75="low"),"KEEP_STRUCTURE_CHANGE_DISCUSSION_ANGLE",IF(AND(BX75="high",BZ75="low"),"DOWNWEIGHT_TEMPLATE",IF(CB75="win","RETEST_WINNER",IF(CB75="loss","RETURN_TO_BASELINE","COLLECT_MORE_DATA")))))))))</x:f>
        <x:v>COLLECT_MORE_DATA</x:v>
      </x:c>
      <x:c r="CD75" s="75"/>
    </x:row>
    <x:row r="76">
      <x:c r="A76" s="68"/>
      <x:c r="B76" s="69"/>
      <x:c r="C76" s="68"/>
      <x:c r="D76" s="68"/>
      <x:c r="E76" s="68"/>
      <x:c r="F76" s="68"/>
      <x:c r="G76" s="68"/>
      <x:c r="H76" s="70"/>
      <x:c r="I76" s="68"/>
      <x:c r="J76" s="68"/>
      <x:c r="K76" s="68"/>
      <x:c r="L76" s="71" t="str">
        <x:f>IF(K76="","unknown",IF(K76=0,"baseline",IF(K76=1,"pure","mixed")))</x:f>
        <x:v>unknown</x:v>
      </x:c>
      <x:c r="M76" s="68"/>
      <x:c r="N76" s="68"/>
      <x:c r="O76" s="68"/>
      <x:c r="P76" s="68"/>
      <x:c r="Q76" s="68"/>
      <x:c r="R76" s="68"/>
      <x:c r="S76" s="68"/>
      <x:c r="T76" s="68"/>
      <x:c r="U76" s="68"/>
      <x:c r="V76" s="68"/>
      <x:c r="W76" s="68"/>
      <x:c r="X76" s="68"/>
      <x:c r="Y76" s="68"/>
      <x:c r="Z76" s="68"/>
      <x:c r="AA76" s="68"/>
      <x:c r="AB76" s="68"/>
      <x:c r="AC76" s="68"/>
      <x:c r="AD76" s="70"/>
      <x:c r="AE76" s="70"/>
      <x:c r="AF76" s="70"/>
      <x:c r="AG76" s="70"/>
      <x:c r="AH76" s="70"/>
      <x:c r="AI76" s="70"/>
      <x:c r="AJ76" s="70"/>
      <x:c r="AK76" s="70"/>
      <x:c r="AL76" s="70"/>
      <x:c r="AM76" s="70"/>
      <x:c r="AN76" s="70"/>
      <x:c r="AO76" s="70"/>
      <x:c r="AP76" s="70"/>
      <x:c r="AQ76" s="70"/>
      <x:c r="AR76" s="70"/>
      <x:c r="AS76" s="70"/>
      <x:c r="AT76" s="72"/>
      <x:c r="AU76" s="72"/>
      <x:c r="AV76" s="72"/>
      <x:c r="AW76" s="72"/>
      <x:c r="AX76" s="72"/>
      <x:c r="AY76" s="72"/>
      <x:c r="AZ76" s="72"/>
      <x:c r="BA76" s="73" t="str">
        <x:f>IF(C76="xiaohongshu",IF(COUNT(AF76,AE76)&lt;2,"",IFERROR(AF76/AE76,"")),"")</x:f>
      </x:c>
      <x:c r="BB76" s="73" t="str">
        <x:f>IF(C76="xiaohongshu",IF(COUNT(AG76,AE76)&lt;2,"",IFERROR(AG76/AE76,"")),"")</x:f>
      </x:c>
      <x:c r="BC76" s="73" t="str">
        <x:f>IF(C76="xiaohongshu",IF(COUNT(AN76,AE76)&lt;2,"",IFERROR(AN76/AE76,"")),"")</x:f>
      </x:c>
      <x:c r="BD76" s="73" t="str">
        <x:f>IF(C76="xiaohongshu",IF(COUNT(AQ76,AE76)&lt;2,"",IFERROR(AQ76/AE76,"")),"")</x:f>
      </x:c>
      <x:c r="BE76" s="73" t="str">
        <x:f>IF(C76="xiaohongshu",IF(COUNT(AI76,AE76)&lt;2,"",IFERROR(AI76/AE76,"")),"")</x:f>
      </x:c>
      <x:c r="BF76" s="73" t="str">
        <x:f>IF(C76="xiaohongshu",IF(OR(COUNT(AE76)=0,COUNT(AR76,AS76)=0),"",IFERROR((AR76+AS76)/AE76,"")),"")</x:f>
      </x:c>
      <x:c r="BG76" s="73" t="str">
        <x:f>IF(C76="x",IF(COUNT(AD76)=0,"",IF(COUNT(AM76)=1,IFERROR(AM76/AD76,""),IF(COUNT(AH76,AI76,AK76,AL76)=0,"",IFERROR(SUM(AH76,AI76,AK76,AL76)/AD76,"")))),"")</x:f>
      </x:c>
      <x:c r="BH76" s="73" t="str">
        <x:f>IF(C76="x",IF(COUNT(AJ76,AD76)&lt;2,"",IFERROR(AJ76/AD76,"")),"")</x:f>
      </x:c>
      <x:c r="BI76" s="73" t="str">
        <x:f>IF(C76="x",IF(COUNT(AO76,AD76)&lt;2,"",IFERROR(AO76/AD76,"")),"")</x:f>
      </x:c>
      <x:c r="BJ76" s="73" t="str">
        <x:f>IF(C76="x",IF(COUNT(AP76,AD76)&lt;2,"",IFERROR(AP76/AD76,"")),"")</x:f>
      </x:c>
      <x:c r="BK76" s="73" t="str">
        <x:f>IF(C76="x",IF(COUNT(AL76,AD76)&lt;2,"",IFERROR(AL76/AD76,"")),"")</x:f>
      </x:c>
      <x:c r="BL76" s="73" t="str">
        <x:f>IF(C76="x",IF(OR(COUNT(AD76)=0,COUNT(AR76,AS76)=0),"",IFERROR((AR76+AS76)/AD76,"")),"")</x:f>
      </x:c>
      <x:c r="BM76" s="73" t="str">
        <x:f>IF(AB76="xhs_save_rate",BA76,IF(AB76="xhs_completion_rate",BB76,IF(AB76="xhs_profile_visit_rate",BC76,IF(AB76="xhs_dm_intent_rate",BD76,IF(AB76="xhs_discussion_rate",BE76,IF(AB76="xhs_product_relevance_rate",BF76,IF(AB76="x_first_screen_engaged_rate_proxy",BG76,IF(AB76="x_qualified_reply_rate",BH76,IF(AB76="x_profile_click_rate",BI76,IF(AB76="x_link_intent_rate",BJ76,IF(AB76="x_bookmark_rate",BK76,IF(AB76="x_product_relevance_rate",BL76,""))))))))))))</x:f>
      </x:c>
      <x:c r="BN76" s="73" t="str">
        <x:f>IFERROR(BM76/AT76-1,"")</x:f>
      </x:c>
      <x:c r="BO76" s="73" t="str">
        <x:f>IF(AC76="","",IF(AC76="xhs_save_rate",BA76,IF(AC76="xhs_completion_rate",BB76,IF(AC76="xhs_profile_visit_rate",BC76,IF(AC76="xhs_dm_intent_rate",BD76,IF(AC76="xhs_discussion_rate",BE76,IF(AC76="xhs_product_relevance_rate",BF76,IF(AC76="x_first_screen_engaged_rate_proxy",BG76,IF(AC76="x_qualified_reply_rate",BH76,IF(AC76="x_profile_click_rate",BI76,IF(AC76="x_link_intent_rate",BJ76,IF(AC76="x_bookmark_rate",BK76,IF(AC76="x_product_relevance_rate",BL76,"")))))))))))))</x:f>
      </x:c>
      <x:c r="BP76" s="73" t="str">
        <x:f>IFERROR(BO76/AU76-1,"")</x:f>
      </x:c>
      <x:c r="BQ76" s="74" t="str">
        <x:f>IF(COUNT(AD76)=0,"",AD76)</x:f>
      </x:c>
      <x:c r="BR76" s="73" t="str">
        <x:f>IF(C76="xiaohongshu",IF(COUNT(BA76,BB76)=2,AVERAGE(BA76,BB76),IF(COUNT(BA76)=1,BA76,BB76)),BK76)</x:f>
      </x:c>
      <x:c r="BS76" s="73" t="str">
        <x:f>IF(C76="xiaohongshu",BE76,BH76)</x:f>
      </x:c>
      <x:c r="BT76" s="73" t="str">
        <x:f>IF(C76="xiaohongshu",IF(I76="save",BA76,IF(I76="discussion",BE76,IF(I76="profile_visit",BC76,IF(I76="dm",BD76,IF(OR(I76="product_question",I76="trial_intent"),BF76,""))))),IF(I76="save",BK76,IF(I76="discussion",BH76,IF(OR(I76="profile_visit",I76="dm"),BI76,IF(I76="link_click",BJ76,IF(OR(I76="product_question",I76="trial_intent"),BL76,""))))))</x:f>
      </x:c>
      <x:c r="BU76" s="73" t="str">
        <x:f>IF(C76="xiaohongshu",BF76,BL76)</x:f>
      </x:c>
      <x:c r="BV76" s="65" t="str">
        <x:f>IF(COUNT(BQ76,AV76)&lt;2,"unknown",IF(BQ76/AV76-1&gt;=0.2,"high",IF(BQ76/AV76-1&lt;=-0.2,"low","normal")))</x:f>
        <x:v>unknown</x:v>
      </x:c>
      <x:c r="BW76" s="65" t="str">
        <x:f>IF(COUNT(BR76,AW76)&lt;2,"unknown",IF(BR76/AW76-1&gt;=0.2,"high",IF(BR76/AW76-1&lt;=-0.2,"low","normal")))</x:f>
        <x:v>unknown</x:v>
      </x:c>
      <x:c r="BX76" s="65" t="str">
        <x:f>IF(COUNT(BS76,AX76)&lt;2,"unknown",IF(BS76/AX76-1&gt;=0.2,"high",IF(BS76/AX76-1&lt;=-0.2,"low","normal")))</x:f>
        <x:v>unknown</x:v>
      </x:c>
      <x:c r="BY76" s="65" t="str">
        <x:f>IF(COUNT(BT76,AY76)&lt;2,"unknown",IF(BT76/AY76-1&gt;=0.2,"high",IF(BT76/AY76-1&lt;=-0.2,"low","normal")))</x:f>
        <x:v>unknown</x:v>
      </x:c>
      <x:c r="BZ76" s="65" t="str">
        <x:f>IF(COUNT(BU76,AZ76)&lt;2,"unknown",IF(BU76/AZ76-1&gt;=0.2,"high",IF(BU76/AZ76-1&lt;=-0.2,"low","normal")))</x:f>
        <x:v>unknown</x:v>
      </x:c>
      <x:c r="CA76" s="65" t="str">
        <x:f>IF(T76&lt;&gt;"complete","pending",IF(OR(L76&lt;&gt;"pure",U76="true",COUNT(BM76,AT76)&lt;2,AND(AC76&lt;&gt;"",COUNT(BO76,AU76)&lt;2)),"not_attributable","attributable"))</x:f>
        <x:v>pending</x:v>
      </x:c>
      <x:c r="CB76" s="65" t="str">
        <x:f>IF(T76&lt;&gt;"complete","not_evaluated",IF(COUNT(BM76,AT76)&lt;2,"insufficient_data",IF(AND(AC76&lt;&gt;"",COUNT(BP76)=1,BP76&lt;=-0.2),"guardrail_fail",IF(AND(CA76="not_attributable",OR(BV76="high",BN76&gt;=0.2)),"watchlist",IF(CA76&lt;&gt;"attributable","insufficient_data",IF(BN76&gt;=0.2,"win",IF(BN76&lt;=-0.2,"loss","inconclusive")))))))</x:f>
        <x:v>not_evaluated</x:v>
      </x:c>
      <x:c r="CC76" s="65" t="str">
        <x:f>IF(T76&lt;&gt;"complete","COLLECT_MORE_DATA",IF(COUNT(BM76,AT76)&lt;2,"FIX_TRACKING",IF(CB76="guardrail_fail","STOP_VARIANT_GUARDRAIL",IF(CB76="watchlist","WATCHLIST_ONLY",IF(AND(BV76="high",BY76="low"),"KEEP_HOOK_REWRITE_CTA",IF(AND(BW76="high",BX76="low"),"KEEP_STRUCTURE_CHANGE_DISCUSSION_ANGLE",IF(AND(BX76="high",BZ76="low"),"DOWNWEIGHT_TEMPLATE",IF(CB76="win","RETEST_WINNER",IF(CB76="loss","RETURN_TO_BASELINE","COLLECT_MORE_DATA")))))))))</x:f>
        <x:v>COLLECT_MORE_DATA</x:v>
      </x:c>
      <x:c r="CD76" s="75"/>
    </x:row>
    <x:row r="77">
      <x:c r="A77" s="68"/>
      <x:c r="B77" s="69"/>
      <x:c r="C77" s="68"/>
      <x:c r="D77" s="68"/>
      <x:c r="E77" s="68"/>
      <x:c r="F77" s="68"/>
      <x:c r="G77" s="68"/>
      <x:c r="H77" s="70"/>
      <x:c r="I77" s="68"/>
      <x:c r="J77" s="68"/>
      <x:c r="K77" s="68"/>
      <x:c r="L77" s="71" t="str">
        <x:f>IF(K77="","unknown",IF(K77=0,"baseline",IF(K77=1,"pure","mixed")))</x:f>
        <x:v>unknown</x:v>
      </x:c>
      <x:c r="M77" s="68"/>
      <x:c r="N77" s="68"/>
      <x:c r="O77" s="68"/>
      <x:c r="P77" s="68"/>
      <x:c r="Q77" s="68"/>
      <x:c r="R77" s="68"/>
      <x:c r="S77" s="68"/>
      <x:c r="T77" s="68"/>
      <x:c r="U77" s="68"/>
      <x:c r="V77" s="68"/>
      <x:c r="W77" s="68"/>
      <x:c r="X77" s="68"/>
      <x:c r="Y77" s="68"/>
      <x:c r="Z77" s="68"/>
      <x:c r="AA77" s="68"/>
      <x:c r="AB77" s="68"/>
      <x:c r="AC77" s="68"/>
      <x:c r="AD77" s="70"/>
      <x:c r="AE77" s="70"/>
      <x:c r="AF77" s="70"/>
      <x:c r="AG77" s="70"/>
      <x:c r="AH77" s="70"/>
      <x:c r="AI77" s="70"/>
      <x:c r="AJ77" s="70"/>
      <x:c r="AK77" s="70"/>
      <x:c r="AL77" s="70"/>
      <x:c r="AM77" s="70"/>
      <x:c r="AN77" s="70"/>
      <x:c r="AO77" s="70"/>
      <x:c r="AP77" s="70"/>
      <x:c r="AQ77" s="70"/>
      <x:c r="AR77" s="70"/>
      <x:c r="AS77" s="70"/>
      <x:c r="AT77" s="72"/>
      <x:c r="AU77" s="72"/>
      <x:c r="AV77" s="72"/>
      <x:c r="AW77" s="72"/>
      <x:c r="AX77" s="72"/>
      <x:c r="AY77" s="72"/>
      <x:c r="AZ77" s="72"/>
      <x:c r="BA77" s="73" t="str">
        <x:f>IF(C77="xiaohongshu",IF(COUNT(AF77,AE77)&lt;2,"",IFERROR(AF77/AE77,"")),"")</x:f>
      </x:c>
      <x:c r="BB77" s="73" t="str">
        <x:f>IF(C77="xiaohongshu",IF(COUNT(AG77,AE77)&lt;2,"",IFERROR(AG77/AE77,"")),"")</x:f>
      </x:c>
      <x:c r="BC77" s="73" t="str">
        <x:f>IF(C77="xiaohongshu",IF(COUNT(AN77,AE77)&lt;2,"",IFERROR(AN77/AE77,"")),"")</x:f>
      </x:c>
      <x:c r="BD77" s="73" t="str">
        <x:f>IF(C77="xiaohongshu",IF(COUNT(AQ77,AE77)&lt;2,"",IFERROR(AQ77/AE77,"")),"")</x:f>
      </x:c>
      <x:c r="BE77" s="73" t="str">
        <x:f>IF(C77="xiaohongshu",IF(COUNT(AI77,AE77)&lt;2,"",IFERROR(AI77/AE77,"")),"")</x:f>
      </x:c>
      <x:c r="BF77" s="73" t="str">
        <x:f>IF(C77="xiaohongshu",IF(OR(COUNT(AE77)=0,COUNT(AR77,AS77)=0),"",IFERROR((AR77+AS77)/AE77,"")),"")</x:f>
      </x:c>
      <x:c r="BG77" s="73" t="str">
        <x:f>IF(C77="x",IF(COUNT(AD77)=0,"",IF(COUNT(AM77)=1,IFERROR(AM77/AD77,""),IF(COUNT(AH77,AI77,AK77,AL77)=0,"",IFERROR(SUM(AH77,AI77,AK77,AL77)/AD77,"")))),"")</x:f>
      </x:c>
      <x:c r="BH77" s="73" t="str">
        <x:f>IF(C77="x",IF(COUNT(AJ77,AD77)&lt;2,"",IFERROR(AJ77/AD77,"")),"")</x:f>
      </x:c>
      <x:c r="BI77" s="73" t="str">
        <x:f>IF(C77="x",IF(COUNT(AO77,AD77)&lt;2,"",IFERROR(AO77/AD77,"")),"")</x:f>
      </x:c>
      <x:c r="BJ77" s="73" t="str">
        <x:f>IF(C77="x",IF(COUNT(AP77,AD77)&lt;2,"",IFERROR(AP77/AD77,"")),"")</x:f>
      </x:c>
      <x:c r="BK77" s="73" t="str">
        <x:f>IF(C77="x",IF(COUNT(AL77,AD77)&lt;2,"",IFERROR(AL77/AD77,"")),"")</x:f>
      </x:c>
      <x:c r="BL77" s="73" t="str">
        <x:f>IF(C77="x",IF(OR(COUNT(AD77)=0,COUNT(AR77,AS77)=0),"",IFERROR((AR77+AS77)/AD77,"")),"")</x:f>
      </x:c>
      <x:c r="BM77" s="73" t="str">
        <x:f>IF(AB77="xhs_save_rate",BA77,IF(AB77="xhs_completion_rate",BB77,IF(AB77="xhs_profile_visit_rate",BC77,IF(AB77="xhs_dm_intent_rate",BD77,IF(AB77="xhs_discussion_rate",BE77,IF(AB77="xhs_product_relevance_rate",BF77,IF(AB77="x_first_screen_engaged_rate_proxy",BG77,IF(AB77="x_qualified_reply_rate",BH77,IF(AB77="x_profile_click_rate",BI77,IF(AB77="x_link_intent_rate",BJ77,IF(AB77="x_bookmark_rate",BK77,IF(AB77="x_product_relevance_rate",BL77,""))))))))))))</x:f>
      </x:c>
      <x:c r="BN77" s="73" t="str">
        <x:f>IFERROR(BM77/AT77-1,"")</x:f>
      </x:c>
      <x:c r="BO77" s="73" t="str">
        <x:f>IF(AC77="","",IF(AC77="xhs_save_rate",BA77,IF(AC77="xhs_completion_rate",BB77,IF(AC77="xhs_profile_visit_rate",BC77,IF(AC77="xhs_dm_intent_rate",BD77,IF(AC77="xhs_discussion_rate",BE77,IF(AC77="xhs_product_relevance_rate",BF77,IF(AC77="x_first_screen_engaged_rate_proxy",BG77,IF(AC77="x_qualified_reply_rate",BH77,IF(AC77="x_profile_click_rate",BI77,IF(AC77="x_link_intent_rate",BJ77,IF(AC77="x_bookmark_rate",BK77,IF(AC77="x_product_relevance_rate",BL77,"")))))))))))))</x:f>
      </x:c>
      <x:c r="BP77" s="73" t="str">
        <x:f>IFERROR(BO77/AU77-1,"")</x:f>
      </x:c>
      <x:c r="BQ77" s="74" t="str">
        <x:f>IF(COUNT(AD77)=0,"",AD77)</x:f>
      </x:c>
      <x:c r="BR77" s="73" t="str">
        <x:f>IF(C77="xiaohongshu",IF(COUNT(BA77,BB77)=2,AVERAGE(BA77,BB77),IF(COUNT(BA77)=1,BA77,BB77)),BK77)</x:f>
      </x:c>
      <x:c r="BS77" s="73" t="str">
        <x:f>IF(C77="xiaohongshu",BE77,BH77)</x:f>
      </x:c>
      <x:c r="BT77" s="73" t="str">
        <x:f>IF(C77="xiaohongshu",IF(I77="save",BA77,IF(I77="discussion",BE77,IF(I77="profile_visit",BC77,IF(I77="dm",BD77,IF(OR(I77="product_question",I77="trial_intent"),BF77,""))))),IF(I77="save",BK77,IF(I77="discussion",BH77,IF(OR(I77="profile_visit",I77="dm"),BI77,IF(I77="link_click",BJ77,IF(OR(I77="product_question",I77="trial_intent"),BL77,""))))))</x:f>
      </x:c>
      <x:c r="BU77" s="73" t="str">
        <x:f>IF(C77="xiaohongshu",BF77,BL77)</x:f>
      </x:c>
      <x:c r="BV77" s="65" t="str">
        <x:f>IF(COUNT(BQ77,AV77)&lt;2,"unknown",IF(BQ77/AV77-1&gt;=0.2,"high",IF(BQ77/AV77-1&lt;=-0.2,"low","normal")))</x:f>
        <x:v>unknown</x:v>
      </x:c>
      <x:c r="BW77" s="65" t="str">
        <x:f>IF(COUNT(BR77,AW77)&lt;2,"unknown",IF(BR77/AW77-1&gt;=0.2,"high",IF(BR77/AW77-1&lt;=-0.2,"low","normal")))</x:f>
        <x:v>unknown</x:v>
      </x:c>
      <x:c r="BX77" s="65" t="str">
        <x:f>IF(COUNT(BS77,AX77)&lt;2,"unknown",IF(BS77/AX77-1&gt;=0.2,"high",IF(BS77/AX77-1&lt;=-0.2,"low","normal")))</x:f>
        <x:v>unknown</x:v>
      </x:c>
      <x:c r="BY77" s="65" t="str">
        <x:f>IF(COUNT(BT77,AY77)&lt;2,"unknown",IF(BT77/AY77-1&gt;=0.2,"high",IF(BT77/AY77-1&lt;=-0.2,"low","normal")))</x:f>
        <x:v>unknown</x:v>
      </x:c>
      <x:c r="BZ77" s="65" t="str">
        <x:f>IF(COUNT(BU77,AZ77)&lt;2,"unknown",IF(BU77/AZ77-1&gt;=0.2,"high",IF(BU77/AZ77-1&lt;=-0.2,"low","normal")))</x:f>
        <x:v>unknown</x:v>
      </x:c>
      <x:c r="CA77" s="65" t="str">
        <x:f>IF(T77&lt;&gt;"complete","pending",IF(OR(L77&lt;&gt;"pure",U77="true",COUNT(BM77,AT77)&lt;2,AND(AC77&lt;&gt;"",COUNT(BO77,AU77)&lt;2)),"not_attributable","attributable"))</x:f>
        <x:v>pending</x:v>
      </x:c>
      <x:c r="CB77" s="65" t="str">
        <x:f>IF(T77&lt;&gt;"complete","not_evaluated",IF(COUNT(BM77,AT77)&lt;2,"insufficient_data",IF(AND(AC77&lt;&gt;"",COUNT(BP77)=1,BP77&lt;=-0.2),"guardrail_fail",IF(AND(CA77="not_attributable",OR(BV77="high",BN77&gt;=0.2)),"watchlist",IF(CA77&lt;&gt;"attributable","insufficient_data",IF(BN77&gt;=0.2,"win",IF(BN77&lt;=-0.2,"loss","inconclusive")))))))</x:f>
        <x:v>not_evaluated</x:v>
      </x:c>
      <x:c r="CC77" s="65" t="str">
        <x:f>IF(T77&lt;&gt;"complete","COLLECT_MORE_DATA",IF(COUNT(BM77,AT77)&lt;2,"FIX_TRACKING",IF(CB77="guardrail_fail","STOP_VARIANT_GUARDRAIL",IF(CB77="watchlist","WATCHLIST_ONLY",IF(AND(BV77="high",BY77="low"),"KEEP_HOOK_REWRITE_CTA",IF(AND(BW77="high",BX77="low"),"KEEP_STRUCTURE_CHANGE_DISCUSSION_ANGLE",IF(AND(BX77="high",BZ77="low"),"DOWNWEIGHT_TEMPLATE",IF(CB77="win","RETEST_WINNER",IF(CB77="loss","RETURN_TO_BASELINE","COLLECT_MORE_DATA")))))))))</x:f>
        <x:v>COLLECT_MORE_DATA</x:v>
      </x:c>
      <x:c r="CD77" s="75"/>
    </x:row>
    <x:row r="78">
      <x:c r="A78" s="68"/>
      <x:c r="B78" s="69"/>
      <x:c r="C78" s="68"/>
      <x:c r="D78" s="68"/>
      <x:c r="E78" s="68"/>
      <x:c r="F78" s="68"/>
      <x:c r="G78" s="68"/>
      <x:c r="H78" s="70"/>
      <x:c r="I78" s="68"/>
      <x:c r="J78" s="68"/>
      <x:c r="K78" s="68"/>
      <x:c r="L78" s="71" t="str">
        <x:f>IF(K78="","unknown",IF(K78=0,"baseline",IF(K78=1,"pure","mixed")))</x:f>
        <x:v>unknown</x:v>
      </x:c>
      <x:c r="M78" s="68"/>
      <x:c r="N78" s="68"/>
      <x:c r="O78" s="68"/>
      <x:c r="P78" s="68"/>
      <x:c r="Q78" s="68"/>
      <x:c r="R78" s="68"/>
      <x:c r="S78" s="68"/>
      <x:c r="T78" s="68"/>
      <x:c r="U78" s="68"/>
      <x:c r="V78" s="68"/>
      <x:c r="W78" s="68"/>
      <x:c r="X78" s="68"/>
      <x:c r="Y78" s="68"/>
      <x:c r="Z78" s="68"/>
      <x:c r="AA78" s="68"/>
      <x:c r="AB78" s="68"/>
      <x:c r="AC78" s="68"/>
      <x:c r="AD78" s="70"/>
      <x:c r="AE78" s="70"/>
      <x:c r="AF78" s="70"/>
      <x:c r="AG78" s="70"/>
      <x:c r="AH78" s="70"/>
      <x:c r="AI78" s="70"/>
      <x:c r="AJ78" s="70"/>
      <x:c r="AK78" s="70"/>
      <x:c r="AL78" s="70"/>
      <x:c r="AM78" s="70"/>
      <x:c r="AN78" s="70"/>
      <x:c r="AO78" s="70"/>
      <x:c r="AP78" s="70"/>
      <x:c r="AQ78" s="70"/>
      <x:c r="AR78" s="70"/>
      <x:c r="AS78" s="70"/>
      <x:c r="AT78" s="72"/>
      <x:c r="AU78" s="72"/>
      <x:c r="AV78" s="72"/>
      <x:c r="AW78" s="72"/>
      <x:c r="AX78" s="72"/>
      <x:c r="AY78" s="72"/>
      <x:c r="AZ78" s="72"/>
      <x:c r="BA78" s="73" t="str">
        <x:f>IF(C78="xiaohongshu",IF(COUNT(AF78,AE78)&lt;2,"",IFERROR(AF78/AE78,"")),"")</x:f>
      </x:c>
      <x:c r="BB78" s="73" t="str">
        <x:f>IF(C78="xiaohongshu",IF(COUNT(AG78,AE78)&lt;2,"",IFERROR(AG78/AE78,"")),"")</x:f>
      </x:c>
      <x:c r="BC78" s="73" t="str">
        <x:f>IF(C78="xiaohongshu",IF(COUNT(AN78,AE78)&lt;2,"",IFERROR(AN78/AE78,"")),"")</x:f>
      </x:c>
      <x:c r="BD78" s="73" t="str">
        <x:f>IF(C78="xiaohongshu",IF(COUNT(AQ78,AE78)&lt;2,"",IFERROR(AQ78/AE78,"")),"")</x:f>
      </x:c>
      <x:c r="BE78" s="73" t="str">
        <x:f>IF(C78="xiaohongshu",IF(COUNT(AI78,AE78)&lt;2,"",IFERROR(AI78/AE78,"")),"")</x:f>
      </x:c>
      <x:c r="BF78" s="73" t="str">
        <x:f>IF(C78="xiaohongshu",IF(OR(COUNT(AE78)=0,COUNT(AR78,AS78)=0),"",IFERROR((AR78+AS78)/AE78,"")),"")</x:f>
      </x:c>
      <x:c r="BG78" s="73" t="str">
        <x:f>IF(C78="x",IF(COUNT(AD78)=0,"",IF(COUNT(AM78)=1,IFERROR(AM78/AD78,""),IF(COUNT(AH78,AI78,AK78,AL78)=0,"",IFERROR(SUM(AH78,AI78,AK78,AL78)/AD78,"")))),"")</x:f>
      </x:c>
      <x:c r="BH78" s="73" t="str">
        <x:f>IF(C78="x",IF(COUNT(AJ78,AD78)&lt;2,"",IFERROR(AJ78/AD78,"")),"")</x:f>
      </x:c>
      <x:c r="BI78" s="73" t="str">
        <x:f>IF(C78="x",IF(COUNT(AO78,AD78)&lt;2,"",IFERROR(AO78/AD78,"")),"")</x:f>
      </x:c>
      <x:c r="BJ78" s="73" t="str">
        <x:f>IF(C78="x",IF(COUNT(AP78,AD78)&lt;2,"",IFERROR(AP78/AD78,"")),"")</x:f>
      </x:c>
      <x:c r="BK78" s="73" t="str">
        <x:f>IF(C78="x",IF(COUNT(AL78,AD78)&lt;2,"",IFERROR(AL78/AD78,"")),"")</x:f>
      </x:c>
      <x:c r="BL78" s="73" t="str">
        <x:f>IF(C78="x",IF(OR(COUNT(AD78)=0,COUNT(AR78,AS78)=0),"",IFERROR((AR78+AS78)/AD78,"")),"")</x:f>
      </x:c>
      <x:c r="BM78" s="73" t="str">
        <x:f>IF(AB78="xhs_save_rate",BA78,IF(AB78="xhs_completion_rate",BB78,IF(AB78="xhs_profile_visit_rate",BC78,IF(AB78="xhs_dm_intent_rate",BD78,IF(AB78="xhs_discussion_rate",BE78,IF(AB78="xhs_product_relevance_rate",BF78,IF(AB78="x_first_screen_engaged_rate_proxy",BG78,IF(AB78="x_qualified_reply_rate",BH78,IF(AB78="x_profile_click_rate",BI78,IF(AB78="x_link_intent_rate",BJ78,IF(AB78="x_bookmark_rate",BK78,IF(AB78="x_product_relevance_rate",BL78,""))))))))))))</x:f>
      </x:c>
      <x:c r="BN78" s="73" t="str">
        <x:f>IFERROR(BM78/AT78-1,"")</x:f>
      </x:c>
      <x:c r="BO78" s="73" t="str">
        <x:f>IF(AC78="","",IF(AC78="xhs_save_rate",BA78,IF(AC78="xhs_completion_rate",BB78,IF(AC78="xhs_profile_visit_rate",BC78,IF(AC78="xhs_dm_intent_rate",BD78,IF(AC78="xhs_discussion_rate",BE78,IF(AC78="xhs_product_relevance_rate",BF78,IF(AC78="x_first_screen_engaged_rate_proxy",BG78,IF(AC78="x_qualified_reply_rate",BH78,IF(AC78="x_profile_click_rate",BI78,IF(AC78="x_link_intent_rate",BJ78,IF(AC78="x_bookmark_rate",BK78,IF(AC78="x_product_relevance_rate",BL78,"")))))))))))))</x:f>
      </x:c>
      <x:c r="BP78" s="73" t="str">
        <x:f>IFERROR(BO78/AU78-1,"")</x:f>
      </x:c>
      <x:c r="BQ78" s="74" t="str">
        <x:f>IF(COUNT(AD78)=0,"",AD78)</x:f>
      </x:c>
      <x:c r="BR78" s="73" t="str">
        <x:f>IF(C78="xiaohongshu",IF(COUNT(BA78,BB78)=2,AVERAGE(BA78,BB78),IF(COUNT(BA78)=1,BA78,BB78)),BK78)</x:f>
      </x:c>
      <x:c r="BS78" s="73" t="str">
        <x:f>IF(C78="xiaohongshu",BE78,BH78)</x:f>
      </x:c>
      <x:c r="BT78" s="73" t="str">
        <x:f>IF(C78="xiaohongshu",IF(I78="save",BA78,IF(I78="discussion",BE78,IF(I78="profile_visit",BC78,IF(I78="dm",BD78,IF(OR(I78="product_question",I78="trial_intent"),BF78,""))))),IF(I78="save",BK78,IF(I78="discussion",BH78,IF(OR(I78="profile_visit",I78="dm"),BI78,IF(I78="link_click",BJ78,IF(OR(I78="product_question",I78="trial_intent"),BL78,""))))))</x:f>
      </x:c>
      <x:c r="BU78" s="73" t="str">
        <x:f>IF(C78="xiaohongshu",BF78,BL78)</x:f>
      </x:c>
      <x:c r="BV78" s="65" t="str">
        <x:f>IF(COUNT(BQ78,AV78)&lt;2,"unknown",IF(BQ78/AV78-1&gt;=0.2,"high",IF(BQ78/AV78-1&lt;=-0.2,"low","normal")))</x:f>
        <x:v>unknown</x:v>
      </x:c>
      <x:c r="BW78" s="65" t="str">
        <x:f>IF(COUNT(BR78,AW78)&lt;2,"unknown",IF(BR78/AW78-1&gt;=0.2,"high",IF(BR78/AW78-1&lt;=-0.2,"low","normal")))</x:f>
        <x:v>unknown</x:v>
      </x:c>
      <x:c r="BX78" s="65" t="str">
        <x:f>IF(COUNT(BS78,AX78)&lt;2,"unknown",IF(BS78/AX78-1&gt;=0.2,"high",IF(BS78/AX78-1&lt;=-0.2,"low","normal")))</x:f>
        <x:v>unknown</x:v>
      </x:c>
      <x:c r="BY78" s="65" t="str">
        <x:f>IF(COUNT(BT78,AY78)&lt;2,"unknown",IF(BT78/AY78-1&gt;=0.2,"high",IF(BT78/AY78-1&lt;=-0.2,"low","normal")))</x:f>
        <x:v>unknown</x:v>
      </x:c>
      <x:c r="BZ78" s="65" t="str">
        <x:f>IF(COUNT(BU78,AZ78)&lt;2,"unknown",IF(BU78/AZ78-1&gt;=0.2,"high",IF(BU78/AZ78-1&lt;=-0.2,"low","normal")))</x:f>
        <x:v>unknown</x:v>
      </x:c>
      <x:c r="CA78" s="65" t="str">
        <x:f>IF(T78&lt;&gt;"complete","pending",IF(OR(L78&lt;&gt;"pure",U78="true",COUNT(BM78,AT78)&lt;2,AND(AC78&lt;&gt;"",COUNT(BO78,AU78)&lt;2)),"not_attributable","attributable"))</x:f>
        <x:v>pending</x:v>
      </x:c>
      <x:c r="CB78" s="65" t="str">
        <x:f>IF(T78&lt;&gt;"complete","not_evaluated",IF(COUNT(BM78,AT78)&lt;2,"insufficient_data",IF(AND(AC78&lt;&gt;"",COUNT(BP78)=1,BP78&lt;=-0.2),"guardrail_fail",IF(AND(CA78="not_attributable",OR(BV78="high",BN78&gt;=0.2)),"watchlist",IF(CA78&lt;&gt;"attributable","insufficient_data",IF(BN78&gt;=0.2,"win",IF(BN78&lt;=-0.2,"loss","inconclusive")))))))</x:f>
        <x:v>not_evaluated</x:v>
      </x:c>
      <x:c r="CC78" s="65" t="str">
        <x:f>IF(T78&lt;&gt;"complete","COLLECT_MORE_DATA",IF(COUNT(BM78,AT78)&lt;2,"FIX_TRACKING",IF(CB78="guardrail_fail","STOP_VARIANT_GUARDRAIL",IF(CB78="watchlist","WATCHLIST_ONLY",IF(AND(BV78="high",BY78="low"),"KEEP_HOOK_REWRITE_CTA",IF(AND(BW78="high",BX78="low"),"KEEP_STRUCTURE_CHANGE_DISCUSSION_ANGLE",IF(AND(BX78="high",BZ78="low"),"DOWNWEIGHT_TEMPLATE",IF(CB78="win","RETEST_WINNER",IF(CB78="loss","RETURN_TO_BASELINE","COLLECT_MORE_DATA")))))))))</x:f>
        <x:v>COLLECT_MORE_DATA</x:v>
      </x:c>
      <x:c r="CD78" s="75"/>
    </x:row>
    <x:row r="79">
      <x:c r="A79" s="68"/>
      <x:c r="B79" s="69"/>
      <x:c r="C79" s="68"/>
      <x:c r="D79" s="68"/>
      <x:c r="E79" s="68"/>
      <x:c r="F79" s="68"/>
      <x:c r="G79" s="68"/>
      <x:c r="H79" s="70"/>
      <x:c r="I79" s="68"/>
      <x:c r="J79" s="68"/>
      <x:c r="K79" s="68"/>
      <x:c r="L79" s="71" t="str">
        <x:f>IF(K79="","unknown",IF(K79=0,"baseline",IF(K79=1,"pure","mixed")))</x:f>
        <x:v>unknown</x:v>
      </x:c>
      <x:c r="M79" s="68"/>
      <x:c r="N79" s="68"/>
      <x:c r="O79" s="68"/>
      <x:c r="P79" s="68"/>
      <x:c r="Q79" s="68"/>
      <x:c r="R79" s="68"/>
      <x:c r="S79" s="68"/>
      <x:c r="T79" s="68"/>
      <x:c r="U79" s="68"/>
      <x:c r="V79" s="68"/>
      <x:c r="W79" s="68"/>
      <x:c r="X79" s="68"/>
      <x:c r="Y79" s="68"/>
      <x:c r="Z79" s="68"/>
      <x:c r="AA79" s="68"/>
      <x:c r="AB79" s="68"/>
      <x:c r="AC79" s="68"/>
      <x:c r="AD79" s="70"/>
      <x:c r="AE79" s="70"/>
      <x:c r="AF79" s="70"/>
      <x:c r="AG79" s="70"/>
      <x:c r="AH79" s="70"/>
      <x:c r="AI79" s="70"/>
      <x:c r="AJ79" s="70"/>
      <x:c r="AK79" s="70"/>
      <x:c r="AL79" s="70"/>
      <x:c r="AM79" s="70"/>
      <x:c r="AN79" s="70"/>
      <x:c r="AO79" s="70"/>
      <x:c r="AP79" s="70"/>
      <x:c r="AQ79" s="70"/>
      <x:c r="AR79" s="70"/>
      <x:c r="AS79" s="70"/>
      <x:c r="AT79" s="72"/>
      <x:c r="AU79" s="72"/>
      <x:c r="AV79" s="72"/>
      <x:c r="AW79" s="72"/>
      <x:c r="AX79" s="72"/>
      <x:c r="AY79" s="72"/>
      <x:c r="AZ79" s="72"/>
      <x:c r="BA79" s="73" t="str">
        <x:f>IF(C79="xiaohongshu",IF(COUNT(AF79,AE79)&lt;2,"",IFERROR(AF79/AE79,"")),"")</x:f>
      </x:c>
      <x:c r="BB79" s="73" t="str">
        <x:f>IF(C79="xiaohongshu",IF(COUNT(AG79,AE79)&lt;2,"",IFERROR(AG79/AE79,"")),"")</x:f>
      </x:c>
      <x:c r="BC79" s="73" t="str">
        <x:f>IF(C79="xiaohongshu",IF(COUNT(AN79,AE79)&lt;2,"",IFERROR(AN79/AE79,"")),"")</x:f>
      </x:c>
      <x:c r="BD79" s="73" t="str">
        <x:f>IF(C79="xiaohongshu",IF(COUNT(AQ79,AE79)&lt;2,"",IFERROR(AQ79/AE79,"")),"")</x:f>
      </x:c>
      <x:c r="BE79" s="73" t="str">
        <x:f>IF(C79="xiaohongshu",IF(COUNT(AI79,AE79)&lt;2,"",IFERROR(AI79/AE79,"")),"")</x:f>
      </x:c>
      <x:c r="BF79" s="73" t="str">
        <x:f>IF(C79="xiaohongshu",IF(OR(COUNT(AE79)=0,COUNT(AR79,AS79)=0),"",IFERROR((AR79+AS79)/AE79,"")),"")</x:f>
      </x:c>
      <x:c r="BG79" s="73" t="str">
        <x:f>IF(C79="x",IF(COUNT(AD79)=0,"",IF(COUNT(AM79)=1,IFERROR(AM79/AD79,""),IF(COUNT(AH79,AI79,AK79,AL79)=0,"",IFERROR(SUM(AH79,AI79,AK79,AL79)/AD79,"")))),"")</x:f>
      </x:c>
      <x:c r="BH79" s="73" t="str">
        <x:f>IF(C79="x",IF(COUNT(AJ79,AD79)&lt;2,"",IFERROR(AJ79/AD79,"")),"")</x:f>
      </x:c>
      <x:c r="BI79" s="73" t="str">
        <x:f>IF(C79="x",IF(COUNT(AO79,AD79)&lt;2,"",IFERROR(AO79/AD79,"")),"")</x:f>
      </x:c>
      <x:c r="BJ79" s="73" t="str">
        <x:f>IF(C79="x",IF(COUNT(AP79,AD79)&lt;2,"",IFERROR(AP79/AD79,"")),"")</x:f>
      </x:c>
      <x:c r="BK79" s="73" t="str">
        <x:f>IF(C79="x",IF(COUNT(AL79,AD79)&lt;2,"",IFERROR(AL79/AD79,"")),"")</x:f>
      </x:c>
      <x:c r="BL79" s="73" t="str">
        <x:f>IF(C79="x",IF(OR(COUNT(AD79)=0,COUNT(AR79,AS79)=0),"",IFERROR((AR79+AS79)/AD79,"")),"")</x:f>
      </x:c>
      <x:c r="BM79" s="73" t="str">
        <x:f>IF(AB79="xhs_save_rate",BA79,IF(AB79="xhs_completion_rate",BB79,IF(AB79="xhs_profile_visit_rate",BC79,IF(AB79="xhs_dm_intent_rate",BD79,IF(AB79="xhs_discussion_rate",BE79,IF(AB79="xhs_product_relevance_rate",BF79,IF(AB79="x_first_screen_engaged_rate_proxy",BG79,IF(AB79="x_qualified_reply_rate",BH79,IF(AB79="x_profile_click_rate",BI79,IF(AB79="x_link_intent_rate",BJ79,IF(AB79="x_bookmark_rate",BK79,IF(AB79="x_product_relevance_rate",BL79,""))))))))))))</x:f>
      </x:c>
      <x:c r="BN79" s="73" t="str">
        <x:f>IFERROR(BM79/AT79-1,"")</x:f>
      </x:c>
      <x:c r="BO79" s="73" t="str">
        <x:f>IF(AC79="","",IF(AC79="xhs_save_rate",BA79,IF(AC79="xhs_completion_rate",BB79,IF(AC79="xhs_profile_visit_rate",BC79,IF(AC79="xhs_dm_intent_rate",BD79,IF(AC79="xhs_discussion_rate",BE79,IF(AC79="xhs_product_relevance_rate",BF79,IF(AC79="x_first_screen_engaged_rate_proxy",BG79,IF(AC79="x_qualified_reply_rate",BH79,IF(AC79="x_profile_click_rate",BI79,IF(AC79="x_link_intent_rate",BJ79,IF(AC79="x_bookmark_rate",BK79,IF(AC79="x_product_relevance_rate",BL79,"")))))))))))))</x:f>
      </x:c>
      <x:c r="BP79" s="73" t="str">
        <x:f>IFERROR(BO79/AU79-1,"")</x:f>
      </x:c>
      <x:c r="BQ79" s="74" t="str">
        <x:f>IF(COUNT(AD79)=0,"",AD79)</x:f>
      </x:c>
      <x:c r="BR79" s="73" t="str">
        <x:f>IF(C79="xiaohongshu",IF(COUNT(BA79,BB79)=2,AVERAGE(BA79,BB79),IF(COUNT(BA79)=1,BA79,BB79)),BK79)</x:f>
      </x:c>
      <x:c r="BS79" s="73" t="str">
        <x:f>IF(C79="xiaohongshu",BE79,BH79)</x:f>
      </x:c>
      <x:c r="BT79" s="73" t="str">
        <x:f>IF(C79="xiaohongshu",IF(I79="save",BA79,IF(I79="discussion",BE79,IF(I79="profile_visit",BC79,IF(I79="dm",BD79,IF(OR(I79="product_question",I79="trial_intent"),BF79,""))))),IF(I79="save",BK79,IF(I79="discussion",BH79,IF(OR(I79="profile_visit",I79="dm"),BI79,IF(I79="link_click",BJ79,IF(OR(I79="product_question",I79="trial_intent"),BL79,""))))))</x:f>
      </x:c>
      <x:c r="BU79" s="73" t="str">
        <x:f>IF(C79="xiaohongshu",BF79,BL79)</x:f>
      </x:c>
      <x:c r="BV79" s="65" t="str">
        <x:f>IF(COUNT(BQ79,AV79)&lt;2,"unknown",IF(BQ79/AV79-1&gt;=0.2,"high",IF(BQ79/AV79-1&lt;=-0.2,"low","normal")))</x:f>
        <x:v>unknown</x:v>
      </x:c>
      <x:c r="BW79" s="65" t="str">
        <x:f>IF(COUNT(BR79,AW79)&lt;2,"unknown",IF(BR79/AW79-1&gt;=0.2,"high",IF(BR79/AW79-1&lt;=-0.2,"low","normal")))</x:f>
        <x:v>unknown</x:v>
      </x:c>
      <x:c r="BX79" s="65" t="str">
        <x:f>IF(COUNT(BS79,AX79)&lt;2,"unknown",IF(BS79/AX79-1&gt;=0.2,"high",IF(BS79/AX79-1&lt;=-0.2,"low","normal")))</x:f>
        <x:v>unknown</x:v>
      </x:c>
      <x:c r="BY79" s="65" t="str">
        <x:f>IF(COUNT(BT79,AY79)&lt;2,"unknown",IF(BT79/AY79-1&gt;=0.2,"high",IF(BT79/AY79-1&lt;=-0.2,"low","normal")))</x:f>
        <x:v>unknown</x:v>
      </x:c>
      <x:c r="BZ79" s="65" t="str">
        <x:f>IF(COUNT(BU79,AZ79)&lt;2,"unknown",IF(BU79/AZ79-1&gt;=0.2,"high",IF(BU79/AZ79-1&lt;=-0.2,"low","normal")))</x:f>
        <x:v>unknown</x:v>
      </x:c>
      <x:c r="CA79" s="65" t="str">
        <x:f>IF(T79&lt;&gt;"complete","pending",IF(OR(L79&lt;&gt;"pure",U79="true",COUNT(BM79,AT79)&lt;2,AND(AC79&lt;&gt;"",COUNT(BO79,AU79)&lt;2)),"not_attributable","attributable"))</x:f>
        <x:v>pending</x:v>
      </x:c>
      <x:c r="CB79" s="65" t="str">
        <x:f>IF(T79&lt;&gt;"complete","not_evaluated",IF(COUNT(BM79,AT79)&lt;2,"insufficient_data",IF(AND(AC79&lt;&gt;"",COUNT(BP79)=1,BP79&lt;=-0.2),"guardrail_fail",IF(AND(CA79="not_attributable",OR(BV79="high",BN79&gt;=0.2)),"watchlist",IF(CA79&lt;&gt;"attributable","insufficient_data",IF(BN79&gt;=0.2,"win",IF(BN79&lt;=-0.2,"loss","inconclusive")))))))</x:f>
        <x:v>not_evaluated</x:v>
      </x:c>
      <x:c r="CC79" s="65" t="str">
        <x:f>IF(T79&lt;&gt;"complete","COLLECT_MORE_DATA",IF(COUNT(BM79,AT79)&lt;2,"FIX_TRACKING",IF(CB79="guardrail_fail","STOP_VARIANT_GUARDRAIL",IF(CB79="watchlist","WATCHLIST_ONLY",IF(AND(BV79="high",BY79="low"),"KEEP_HOOK_REWRITE_CTA",IF(AND(BW79="high",BX79="low"),"KEEP_STRUCTURE_CHANGE_DISCUSSION_ANGLE",IF(AND(BX79="high",BZ79="low"),"DOWNWEIGHT_TEMPLATE",IF(CB79="win","RETEST_WINNER",IF(CB79="loss","RETURN_TO_BASELINE","COLLECT_MORE_DATA")))))))))</x:f>
        <x:v>COLLECT_MORE_DATA</x:v>
      </x:c>
      <x:c r="CD79" s="75"/>
    </x:row>
    <x:row r="80">
      <x:c r="A80" s="68"/>
      <x:c r="B80" s="69"/>
      <x:c r="C80" s="68"/>
      <x:c r="D80" s="68"/>
      <x:c r="E80" s="68"/>
      <x:c r="F80" s="68"/>
      <x:c r="G80" s="68"/>
      <x:c r="H80" s="70"/>
      <x:c r="I80" s="68"/>
      <x:c r="J80" s="68"/>
      <x:c r="K80" s="68"/>
      <x:c r="L80" s="71" t="str">
        <x:f>IF(K80="","unknown",IF(K80=0,"baseline",IF(K80=1,"pure","mixed")))</x:f>
        <x:v>unknown</x:v>
      </x:c>
      <x:c r="M80" s="68"/>
      <x:c r="N80" s="68"/>
      <x:c r="O80" s="68"/>
      <x:c r="P80" s="68"/>
      <x:c r="Q80" s="68"/>
      <x:c r="R80" s="68"/>
      <x:c r="S80" s="68"/>
      <x:c r="T80" s="68"/>
      <x:c r="U80" s="68"/>
      <x:c r="V80" s="68"/>
      <x:c r="W80" s="68"/>
      <x:c r="X80" s="68"/>
      <x:c r="Y80" s="68"/>
      <x:c r="Z80" s="68"/>
      <x:c r="AA80" s="68"/>
      <x:c r="AB80" s="68"/>
      <x:c r="AC80" s="68"/>
      <x:c r="AD80" s="70"/>
      <x:c r="AE80" s="70"/>
      <x:c r="AF80" s="70"/>
      <x:c r="AG80" s="70"/>
      <x:c r="AH80" s="70"/>
      <x:c r="AI80" s="70"/>
      <x:c r="AJ80" s="70"/>
      <x:c r="AK80" s="70"/>
      <x:c r="AL80" s="70"/>
      <x:c r="AM80" s="70"/>
      <x:c r="AN80" s="70"/>
      <x:c r="AO80" s="70"/>
      <x:c r="AP80" s="70"/>
      <x:c r="AQ80" s="70"/>
      <x:c r="AR80" s="70"/>
      <x:c r="AS80" s="70"/>
      <x:c r="AT80" s="72"/>
      <x:c r="AU80" s="72"/>
      <x:c r="AV80" s="72"/>
      <x:c r="AW80" s="72"/>
      <x:c r="AX80" s="72"/>
      <x:c r="AY80" s="72"/>
      <x:c r="AZ80" s="72"/>
      <x:c r="BA80" s="73" t="str">
        <x:f>IF(C80="xiaohongshu",IF(COUNT(AF80,AE80)&lt;2,"",IFERROR(AF80/AE80,"")),"")</x:f>
      </x:c>
      <x:c r="BB80" s="73" t="str">
        <x:f>IF(C80="xiaohongshu",IF(COUNT(AG80,AE80)&lt;2,"",IFERROR(AG80/AE80,"")),"")</x:f>
      </x:c>
      <x:c r="BC80" s="73" t="str">
        <x:f>IF(C80="xiaohongshu",IF(COUNT(AN80,AE80)&lt;2,"",IFERROR(AN80/AE80,"")),"")</x:f>
      </x:c>
      <x:c r="BD80" s="73" t="str">
        <x:f>IF(C80="xiaohongshu",IF(COUNT(AQ80,AE80)&lt;2,"",IFERROR(AQ80/AE80,"")),"")</x:f>
      </x:c>
      <x:c r="BE80" s="73" t="str">
        <x:f>IF(C80="xiaohongshu",IF(COUNT(AI80,AE80)&lt;2,"",IFERROR(AI80/AE80,"")),"")</x:f>
      </x:c>
      <x:c r="BF80" s="73" t="str">
        <x:f>IF(C80="xiaohongshu",IF(OR(COUNT(AE80)=0,COUNT(AR80,AS80)=0),"",IFERROR((AR80+AS80)/AE80,"")),"")</x:f>
      </x:c>
      <x:c r="BG80" s="73" t="str">
        <x:f>IF(C80="x",IF(COUNT(AD80)=0,"",IF(COUNT(AM80)=1,IFERROR(AM80/AD80,""),IF(COUNT(AH80,AI80,AK80,AL80)=0,"",IFERROR(SUM(AH80,AI80,AK80,AL80)/AD80,"")))),"")</x:f>
      </x:c>
      <x:c r="BH80" s="73" t="str">
        <x:f>IF(C80="x",IF(COUNT(AJ80,AD80)&lt;2,"",IFERROR(AJ80/AD80,"")),"")</x:f>
      </x:c>
      <x:c r="BI80" s="73" t="str">
        <x:f>IF(C80="x",IF(COUNT(AO80,AD80)&lt;2,"",IFERROR(AO80/AD80,"")),"")</x:f>
      </x:c>
      <x:c r="BJ80" s="73" t="str">
        <x:f>IF(C80="x",IF(COUNT(AP80,AD80)&lt;2,"",IFERROR(AP80/AD80,"")),"")</x:f>
      </x:c>
      <x:c r="BK80" s="73" t="str">
        <x:f>IF(C80="x",IF(COUNT(AL80,AD80)&lt;2,"",IFERROR(AL80/AD80,"")),"")</x:f>
      </x:c>
      <x:c r="BL80" s="73" t="str">
        <x:f>IF(C80="x",IF(OR(COUNT(AD80)=0,COUNT(AR80,AS80)=0),"",IFERROR((AR80+AS80)/AD80,"")),"")</x:f>
      </x:c>
      <x:c r="BM80" s="73" t="str">
        <x:f>IF(AB80="xhs_save_rate",BA80,IF(AB80="xhs_completion_rate",BB80,IF(AB80="xhs_profile_visit_rate",BC80,IF(AB80="xhs_dm_intent_rate",BD80,IF(AB80="xhs_discussion_rate",BE80,IF(AB80="xhs_product_relevance_rate",BF80,IF(AB80="x_first_screen_engaged_rate_proxy",BG80,IF(AB80="x_qualified_reply_rate",BH80,IF(AB80="x_profile_click_rate",BI80,IF(AB80="x_link_intent_rate",BJ80,IF(AB80="x_bookmark_rate",BK80,IF(AB80="x_product_relevance_rate",BL80,""))))))))))))</x:f>
      </x:c>
      <x:c r="BN80" s="73" t="str">
        <x:f>IFERROR(BM80/AT80-1,"")</x:f>
      </x:c>
      <x:c r="BO80" s="73" t="str">
        <x:f>IF(AC80="","",IF(AC80="xhs_save_rate",BA80,IF(AC80="xhs_completion_rate",BB80,IF(AC80="xhs_profile_visit_rate",BC80,IF(AC80="xhs_dm_intent_rate",BD80,IF(AC80="xhs_discussion_rate",BE80,IF(AC80="xhs_product_relevance_rate",BF80,IF(AC80="x_first_screen_engaged_rate_proxy",BG80,IF(AC80="x_qualified_reply_rate",BH80,IF(AC80="x_profile_click_rate",BI80,IF(AC80="x_link_intent_rate",BJ80,IF(AC80="x_bookmark_rate",BK80,IF(AC80="x_product_relevance_rate",BL80,"")))))))))))))</x:f>
      </x:c>
      <x:c r="BP80" s="73" t="str">
        <x:f>IFERROR(BO80/AU80-1,"")</x:f>
      </x:c>
      <x:c r="BQ80" s="74" t="str">
        <x:f>IF(COUNT(AD80)=0,"",AD80)</x:f>
      </x:c>
      <x:c r="BR80" s="73" t="str">
        <x:f>IF(C80="xiaohongshu",IF(COUNT(BA80,BB80)=2,AVERAGE(BA80,BB80),IF(COUNT(BA80)=1,BA80,BB80)),BK80)</x:f>
      </x:c>
      <x:c r="BS80" s="73" t="str">
        <x:f>IF(C80="xiaohongshu",BE80,BH80)</x:f>
      </x:c>
      <x:c r="BT80" s="73" t="str">
        <x:f>IF(C80="xiaohongshu",IF(I80="save",BA80,IF(I80="discussion",BE80,IF(I80="profile_visit",BC80,IF(I80="dm",BD80,IF(OR(I80="product_question",I80="trial_intent"),BF80,""))))),IF(I80="save",BK80,IF(I80="discussion",BH80,IF(OR(I80="profile_visit",I80="dm"),BI80,IF(I80="link_click",BJ80,IF(OR(I80="product_question",I80="trial_intent"),BL80,""))))))</x:f>
      </x:c>
      <x:c r="BU80" s="73" t="str">
        <x:f>IF(C80="xiaohongshu",BF80,BL80)</x:f>
      </x:c>
      <x:c r="BV80" s="65" t="str">
        <x:f>IF(COUNT(BQ80,AV80)&lt;2,"unknown",IF(BQ80/AV80-1&gt;=0.2,"high",IF(BQ80/AV80-1&lt;=-0.2,"low","normal")))</x:f>
        <x:v>unknown</x:v>
      </x:c>
      <x:c r="BW80" s="65" t="str">
        <x:f>IF(COUNT(BR80,AW80)&lt;2,"unknown",IF(BR80/AW80-1&gt;=0.2,"high",IF(BR80/AW80-1&lt;=-0.2,"low","normal")))</x:f>
        <x:v>unknown</x:v>
      </x:c>
      <x:c r="BX80" s="65" t="str">
        <x:f>IF(COUNT(BS80,AX80)&lt;2,"unknown",IF(BS80/AX80-1&gt;=0.2,"high",IF(BS80/AX80-1&lt;=-0.2,"low","normal")))</x:f>
        <x:v>unknown</x:v>
      </x:c>
      <x:c r="BY80" s="65" t="str">
        <x:f>IF(COUNT(BT80,AY80)&lt;2,"unknown",IF(BT80/AY80-1&gt;=0.2,"high",IF(BT80/AY80-1&lt;=-0.2,"low","normal")))</x:f>
        <x:v>unknown</x:v>
      </x:c>
      <x:c r="BZ80" s="65" t="str">
        <x:f>IF(COUNT(BU80,AZ80)&lt;2,"unknown",IF(BU80/AZ80-1&gt;=0.2,"high",IF(BU80/AZ80-1&lt;=-0.2,"low","normal")))</x:f>
        <x:v>unknown</x:v>
      </x:c>
      <x:c r="CA80" s="65" t="str">
        <x:f>IF(T80&lt;&gt;"complete","pending",IF(OR(L80&lt;&gt;"pure",U80="true",COUNT(BM80,AT80)&lt;2,AND(AC80&lt;&gt;"",COUNT(BO80,AU80)&lt;2)),"not_attributable","attributable"))</x:f>
        <x:v>pending</x:v>
      </x:c>
      <x:c r="CB80" s="65" t="str">
        <x:f>IF(T80&lt;&gt;"complete","not_evaluated",IF(COUNT(BM80,AT80)&lt;2,"insufficient_data",IF(AND(AC80&lt;&gt;"",COUNT(BP80)=1,BP80&lt;=-0.2),"guardrail_fail",IF(AND(CA80="not_attributable",OR(BV80="high",BN80&gt;=0.2)),"watchlist",IF(CA80&lt;&gt;"attributable","insufficient_data",IF(BN80&gt;=0.2,"win",IF(BN80&lt;=-0.2,"loss","inconclusive")))))))</x:f>
        <x:v>not_evaluated</x:v>
      </x:c>
      <x:c r="CC80" s="65" t="str">
        <x:f>IF(T80&lt;&gt;"complete","COLLECT_MORE_DATA",IF(COUNT(BM80,AT80)&lt;2,"FIX_TRACKING",IF(CB80="guardrail_fail","STOP_VARIANT_GUARDRAIL",IF(CB80="watchlist","WATCHLIST_ONLY",IF(AND(BV80="high",BY80="low"),"KEEP_HOOK_REWRITE_CTA",IF(AND(BW80="high",BX80="low"),"KEEP_STRUCTURE_CHANGE_DISCUSSION_ANGLE",IF(AND(BX80="high",BZ80="low"),"DOWNWEIGHT_TEMPLATE",IF(CB80="win","RETEST_WINNER",IF(CB80="loss","RETURN_TO_BASELINE","COLLECT_MORE_DATA")))))))))</x:f>
        <x:v>COLLECT_MORE_DATA</x:v>
      </x:c>
      <x:c r="CD80" s="75"/>
    </x:row>
    <x:row r="81">
      <x:c r="A81" s="68"/>
      <x:c r="B81" s="69"/>
      <x:c r="C81" s="68"/>
      <x:c r="D81" s="68"/>
      <x:c r="E81" s="68"/>
      <x:c r="F81" s="68"/>
      <x:c r="G81" s="68"/>
      <x:c r="H81" s="70"/>
      <x:c r="I81" s="68"/>
      <x:c r="J81" s="68"/>
      <x:c r="K81" s="68"/>
      <x:c r="L81" s="71" t="str">
        <x:f>IF(K81="","unknown",IF(K81=0,"baseline",IF(K81=1,"pure","mixed")))</x:f>
        <x:v>unknown</x:v>
      </x:c>
      <x:c r="M81" s="68"/>
      <x:c r="N81" s="68"/>
      <x:c r="O81" s="68"/>
      <x:c r="P81" s="68"/>
      <x:c r="Q81" s="68"/>
      <x:c r="R81" s="68"/>
      <x:c r="S81" s="68"/>
      <x:c r="T81" s="68"/>
      <x:c r="U81" s="68"/>
      <x:c r="V81" s="68"/>
      <x:c r="W81" s="68"/>
      <x:c r="X81" s="68"/>
      <x:c r="Y81" s="68"/>
      <x:c r="Z81" s="68"/>
      <x:c r="AA81" s="68"/>
      <x:c r="AB81" s="68"/>
      <x:c r="AC81" s="68"/>
      <x:c r="AD81" s="70"/>
      <x:c r="AE81" s="70"/>
      <x:c r="AF81" s="70"/>
      <x:c r="AG81" s="70"/>
      <x:c r="AH81" s="70"/>
      <x:c r="AI81" s="70"/>
      <x:c r="AJ81" s="70"/>
      <x:c r="AK81" s="70"/>
      <x:c r="AL81" s="70"/>
      <x:c r="AM81" s="70"/>
      <x:c r="AN81" s="70"/>
      <x:c r="AO81" s="70"/>
      <x:c r="AP81" s="70"/>
      <x:c r="AQ81" s="70"/>
      <x:c r="AR81" s="70"/>
      <x:c r="AS81" s="70"/>
      <x:c r="AT81" s="72"/>
      <x:c r="AU81" s="72"/>
      <x:c r="AV81" s="72"/>
      <x:c r="AW81" s="72"/>
      <x:c r="AX81" s="72"/>
      <x:c r="AY81" s="72"/>
      <x:c r="AZ81" s="72"/>
      <x:c r="BA81" s="73" t="str">
        <x:f>IF(C81="xiaohongshu",IF(COUNT(AF81,AE81)&lt;2,"",IFERROR(AF81/AE81,"")),"")</x:f>
      </x:c>
      <x:c r="BB81" s="73" t="str">
        <x:f>IF(C81="xiaohongshu",IF(COUNT(AG81,AE81)&lt;2,"",IFERROR(AG81/AE81,"")),"")</x:f>
      </x:c>
      <x:c r="BC81" s="73" t="str">
        <x:f>IF(C81="xiaohongshu",IF(COUNT(AN81,AE81)&lt;2,"",IFERROR(AN81/AE81,"")),"")</x:f>
      </x:c>
      <x:c r="BD81" s="73" t="str">
        <x:f>IF(C81="xiaohongshu",IF(COUNT(AQ81,AE81)&lt;2,"",IFERROR(AQ81/AE81,"")),"")</x:f>
      </x:c>
      <x:c r="BE81" s="73" t="str">
        <x:f>IF(C81="xiaohongshu",IF(COUNT(AI81,AE81)&lt;2,"",IFERROR(AI81/AE81,"")),"")</x:f>
      </x:c>
      <x:c r="BF81" s="73" t="str">
        <x:f>IF(C81="xiaohongshu",IF(OR(COUNT(AE81)=0,COUNT(AR81,AS81)=0),"",IFERROR((AR81+AS81)/AE81,"")),"")</x:f>
      </x:c>
      <x:c r="BG81" s="73" t="str">
        <x:f>IF(C81="x",IF(COUNT(AD81)=0,"",IF(COUNT(AM81)=1,IFERROR(AM81/AD81,""),IF(COUNT(AH81,AI81,AK81,AL81)=0,"",IFERROR(SUM(AH81,AI81,AK81,AL81)/AD81,"")))),"")</x:f>
      </x:c>
      <x:c r="BH81" s="73" t="str">
        <x:f>IF(C81="x",IF(COUNT(AJ81,AD81)&lt;2,"",IFERROR(AJ81/AD81,"")),"")</x:f>
      </x:c>
      <x:c r="BI81" s="73" t="str">
        <x:f>IF(C81="x",IF(COUNT(AO81,AD81)&lt;2,"",IFERROR(AO81/AD81,"")),"")</x:f>
      </x:c>
      <x:c r="BJ81" s="73" t="str">
        <x:f>IF(C81="x",IF(COUNT(AP81,AD81)&lt;2,"",IFERROR(AP81/AD81,"")),"")</x:f>
      </x:c>
      <x:c r="BK81" s="73" t="str">
        <x:f>IF(C81="x",IF(COUNT(AL81,AD81)&lt;2,"",IFERROR(AL81/AD81,"")),"")</x:f>
      </x:c>
      <x:c r="BL81" s="73" t="str">
        <x:f>IF(C81="x",IF(OR(COUNT(AD81)=0,COUNT(AR81,AS81)=0),"",IFERROR((AR81+AS81)/AD81,"")),"")</x:f>
      </x:c>
      <x:c r="BM81" s="73" t="str">
        <x:f>IF(AB81="xhs_save_rate",BA81,IF(AB81="xhs_completion_rate",BB81,IF(AB81="xhs_profile_visit_rate",BC81,IF(AB81="xhs_dm_intent_rate",BD81,IF(AB81="xhs_discussion_rate",BE81,IF(AB81="xhs_product_relevance_rate",BF81,IF(AB81="x_first_screen_engaged_rate_proxy",BG81,IF(AB81="x_qualified_reply_rate",BH81,IF(AB81="x_profile_click_rate",BI81,IF(AB81="x_link_intent_rate",BJ81,IF(AB81="x_bookmark_rate",BK81,IF(AB81="x_product_relevance_rate",BL81,""))))))))))))</x:f>
      </x:c>
      <x:c r="BN81" s="73" t="str">
        <x:f>IFERROR(BM81/AT81-1,"")</x:f>
      </x:c>
      <x:c r="BO81" s="73" t="str">
        <x:f>IF(AC81="","",IF(AC81="xhs_save_rate",BA81,IF(AC81="xhs_completion_rate",BB81,IF(AC81="xhs_profile_visit_rate",BC81,IF(AC81="xhs_dm_intent_rate",BD81,IF(AC81="xhs_discussion_rate",BE81,IF(AC81="xhs_product_relevance_rate",BF81,IF(AC81="x_first_screen_engaged_rate_proxy",BG81,IF(AC81="x_qualified_reply_rate",BH81,IF(AC81="x_profile_click_rate",BI81,IF(AC81="x_link_intent_rate",BJ81,IF(AC81="x_bookmark_rate",BK81,IF(AC81="x_product_relevance_rate",BL81,"")))))))))))))</x:f>
      </x:c>
      <x:c r="BP81" s="73" t="str">
        <x:f>IFERROR(BO81/AU81-1,"")</x:f>
      </x:c>
      <x:c r="BQ81" s="74" t="str">
        <x:f>IF(COUNT(AD81)=0,"",AD81)</x:f>
      </x:c>
      <x:c r="BR81" s="73" t="str">
        <x:f>IF(C81="xiaohongshu",IF(COUNT(BA81,BB81)=2,AVERAGE(BA81,BB81),IF(COUNT(BA81)=1,BA81,BB81)),BK81)</x:f>
      </x:c>
      <x:c r="BS81" s="73" t="str">
        <x:f>IF(C81="xiaohongshu",BE81,BH81)</x:f>
      </x:c>
      <x:c r="BT81" s="73" t="str">
        <x:f>IF(C81="xiaohongshu",IF(I81="save",BA81,IF(I81="discussion",BE81,IF(I81="profile_visit",BC81,IF(I81="dm",BD81,IF(OR(I81="product_question",I81="trial_intent"),BF81,""))))),IF(I81="save",BK81,IF(I81="discussion",BH81,IF(OR(I81="profile_visit",I81="dm"),BI81,IF(I81="link_click",BJ81,IF(OR(I81="product_question",I81="trial_intent"),BL81,""))))))</x:f>
      </x:c>
      <x:c r="BU81" s="73" t="str">
        <x:f>IF(C81="xiaohongshu",BF81,BL81)</x:f>
      </x:c>
      <x:c r="BV81" s="65" t="str">
        <x:f>IF(COUNT(BQ81,AV81)&lt;2,"unknown",IF(BQ81/AV81-1&gt;=0.2,"high",IF(BQ81/AV81-1&lt;=-0.2,"low","normal")))</x:f>
        <x:v>unknown</x:v>
      </x:c>
      <x:c r="BW81" s="65" t="str">
        <x:f>IF(COUNT(BR81,AW81)&lt;2,"unknown",IF(BR81/AW81-1&gt;=0.2,"high",IF(BR81/AW81-1&lt;=-0.2,"low","normal")))</x:f>
        <x:v>unknown</x:v>
      </x:c>
      <x:c r="BX81" s="65" t="str">
        <x:f>IF(COUNT(BS81,AX81)&lt;2,"unknown",IF(BS81/AX81-1&gt;=0.2,"high",IF(BS81/AX81-1&lt;=-0.2,"low","normal")))</x:f>
        <x:v>unknown</x:v>
      </x:c>
      <x:c r="BY81" s="65" t="str">
        <x:f>IF(COUNT(BT81,AY81)&lt;2,"unknown",IF(BT81/AY81-1&gt;=0.2,"high",IF(BT81/AY81-1&lt;=-0.2,"low","normal")))</x:f>
        <x:v>unknown</x:v>
      </x:c>
      <x:c r="BZ81" s="65" t="str">
        <x:f>IF(COUNT(BU81,AZ81)&lt;2,"unknown",IF(BU81/AZ81-1&gt;=0.2,"high",IF(BU81/AZ81-1&lt;=-0.2,"low","normal")))</x:f>
        <x:v>unknown</x:v>
      </x:c>
      <x:c r="CA81" s="65" t="str">
        <x:f>IF(T81&lt;&gt;"complete","pending",IF(OR(L81&lt;&gt;"pure",U81="true",COUNT(BM81,AT81)&lt;2,AND(AC81&lt;&gt;"",COUNT(BO81,AU81)&lt;2)),"not_attributable","attributable"))</x:f>
        <x:v>pending</x:v>
      </x:c>
      <x:c r="CB81" s="65" t="str">
        <x:f>IF(T81&lt;&gt;"complete","not_evaluated",IF(COUNT(BM81,AT81)&lt;2,"insufficient_data",IF(AND(AC81&lt;&gt;"",COUNT(BP81)=1,BP81&lt;=-0.2),"guardrail_fail",IF(AND(CA81="not_attributable",OR(BV81="high",BN81&gt;=0.2)),"watchlist",IF(CA81&lt;&gt;"attributable","insufficient_data",IF(BN81&gt;=0.2,"win",IF(BN81&lt;=-0.2,"loss","inconclusive")))))))</x:f>
        <x:v>not_evaluated</x:v>
      </x:c>
      <x:c r="CC81" s="65" t="str">
        <x:f>IF(T81&lt;&gt;"complete","COLLECT_MORE_DATA",IF(COUNT(BM81,AT81)&lt;2,"FIX_TRACKING",IF(CB81="guardrail_fail","STOP_VARIANT_GUARDRAIL",IF(CB81="watchlist","WATCHLIST_ONLY",IF(AND(BV81="high",BY81="low"),"KEEP_HOOK_REWRITE_CTA",IF(AND(BW81="high",BX81="low"),"KEEP_STRUCTURE_CHANGE_DISCUSSION_ANGLE",IF(AND(BX81="high",BZ81="low"),"DOWNWEIGHT_TEMPLATE",IF(CB81="win","RETEST_WINNER",IF(CB81="loss","RETURN_TO_BASELINE","COLLECT_MORE_DATA")))))))))</x:f>
        <x:v>COLLECT_MORE_DATA</x:v>
      </x:c>
      <x:c r="CD81" s="75"/>
    </x:row>
    <x:row r="82">
      <x:c r="A82" s="68"/>
      <x:c r="B82" s="69"/>
      <x:c r="C82" s="68"/>
      <x:c r="D82" s="68"/>
      <x:c r="E82" s="68"/>
      <x:c r="F82" s="68"/>
      <x:c r="G82" s="68"/>
      <x:c r="H82" s="70"/>
      <x:c r="I82" s="68"/>
      <x:c r="J82" s="68"/>
      <x:c r="K82" s="68"/>
      <x:c r="L82" s="71" t="str">
        <x:f>IF(K82="","unknown",IF(K82=0,"baseline",IF(K82=1,"pure","mixed")))</x:f>
        <x:v>unknown</x:v>
      </x:c>
      <x:c r="M82" s="68"/>
      <x:c r="N82" s="68"/>
      <x:c r="O82" s="68"/>
      <x:c r="P82" s="68"/>
      <x:c r="Q82" s="68"/>
      <x:c r="R82" s="68"/>
      <x:c r="S82" s="68"/>
      <x:c r="T82" s="68"/>
      <x:c r="U82" s="68"/>
      <x:c r="V82" s="68"/>
      <x:c r="W82" s="68"/>
      <x:c r="X82" s="68"/>
      <x:c r="Y82" s="68"/>
      <x:c r="Z82" s="68"/>
      <x:c r="AA82" s="68"/>
      <x:c r="AB82" s="68"/>
      <x:c r="AC82" s="68"/>
      <x:c r="AD82" s="70"/>
      <x:c r="AE82" s="70"/>
      <x:c r="AF82" s="70"/>
      <x:c r="AG82" s="70"/>
      <x:c r="AH82" s="70"/>
      <x:c r="AI82" s="70"/>
      <x:c r="AJ82" s="70"/>
      <x:c r="AK82" s="70"/>
      <x:c r="AL82" s="70"/>
      <x:c r="AM82" s="70"/>
      <x:c r="AN82" s="70"/>
      <x:c r="AO82" s="70"/>
      <x:c r="AP82" s="70"/>
      <x:c r="AQ82" s="70"/>
      <x:c r="AR82" s="70"/>
      <x:c r="AS82" s="70"/>
      <x:c r="AT82" s="72"/>
      <x:c r="AU82" s="72"/>
      <x:c r="AV82" s="72"/>
      <x:c r="AW82" s="72"/>
      <x:c r="AX82" s="72"/>
      <x:c r="AY82" s="72"/>
      <x:c r="AZ82" s="72"/>
      <x:c r="BA82" s="73" t="str">
        <x:f>IF(C82="xiaohongshu",IF(COUNT(AF82,AE82)&lt;2,"",IFERROR(AF82/AE82,"")),"")</x:f>
      </x:c>
      <x:c r="BB82" s="73" t="str">
        <x:f>IF(C82="xiaohongshu",IF(COUNT(AG82,AE82)&lt;2,"",IFERROR(AG82/AE82,"")),"")</x:f>
      </x:c>
      <x:c r="BC82" s="73" t="str">
        <x:f>IF(C82="xiaohongshu",IF(COUNT(AN82,AE82)&lt;2,"",IFERROR(AN82/AE82,"")),"")</x:f>
      </x:c>
      <x:c r="BD82" s="73" t="str">
        <x:f>IF(C82="xiaohongshu",IF(COUNT(AQ82,AE82)&lt;2,"",IFERROR(AQ82/AE82,"")),"")</x:f>
      </x:c>
      <x:c r="BE82" s="73" t="str">
        <x:f>IF(C82="xiaohongshu",IF(COUNT(AI82,AE82)&lt;2,"",IFERROR(AI82/AE82,"")),"")</x:f>
      </x:c>
      <x:c r="BF82" s="73" t="str">
        <x:f>IF(C82="xiaohongshu",IF(OR(COUNT(AE82)=0,COUNT(AR82,AS82)=0),"",IFERROR((AR82+AS82)/AE82,"")),"")</x:f>
      </x:c>
      <x:c r="BG82" s="73" t="str">
        <x:f>IF(C82="x",IF(COUNT(AD82)=0,"",IF(COUNT(AM82)=1,IFERROR(AM82/AD82,""),IF(COUNT(AH82,AI82,AK82,AL82)=0,"",IFERROR(SUM(AH82,AI82,AK82,AL82)/AD82,"")))),"")</x:f>
      </x:c>
      <x:c r="BH82" s="73" t="str">
        <x:f>IF(C82="x",IF(COUNT(AJ82,AD82)&lt;2,"",IFERROR(AJ82/AD82,"")),"")</x:f>
      </x:c>
      <x:c r="BI82" s="73" t="str">
        <x:f>IF(C82="x",IF(COUNT(AO82,AD82)&lt;2,"",IFERROR(AO82/AD82,"")),"")</x:f>
      </x:c>
      <x:c r="BJ82" s="73" t="str">
        <x:f>IF(C82="x",IF(COUNT(AP82,AD82)&lt;2,"",IFERROR(AP82/AD82,"")),"")</x:f>
      </x:c>
      <x:c r="BK82" s="73" t="str">
        <x:f>IF(C82="x",IF(COUNT(AL82,AD82)&lt;2,"",IFERROR(AL82/AD82,"")),"")</x:f>
      </x:c>
      <x:c r="BL82" s="73" t="str">
        <x:f>IF(C82="x",IF(OR(COUNT(AD82)=0,COUNT(AR82,AS82)=0),"",IFERROR((AR82+AS82)/AD82,"")),"")</x:f>
      </x:c>
      <x:c r="BM82" s="73" t="str">
        <x:f>IF(AB82="xhs_save_rate",BA82,IF(AB82="xhs_completion_rate",BB82,IF(AB82="xhs_profile_visit_rate",BC82,IF(AB82="xhs_dm_intent_rate",BD82,IF(AB82="xhs_discussion_rate",BE82,IF(AB82="xhs_product_relevance_rate",BF82,IF(AB82="x_first_screen_engaged_rate_proxy",BG82,IF(AB82="x_qualified_reply_rate",BH82,IF(AB82="x_profile_click_rate",BI82,IF(AB82="x_link_intent_rate",BJ82,IF(AB82="x_bookmark_rate",BK82,IF(AB82="x_product_relevance_rate",BL82,""))))))))))))</x:f>
      </x:c>
      <x:c r="BN82" s="73" t="str">
        <x:f>IFERROR(BM82/AT82-1,"")</x:f>
      </x:c>
      <x:c r="BO82" s="73" t="str">
        <x:f>IF(AC82="","",IF(AC82="xhs_save_rate",BA82,IF(AC82="xhs_completion_rate",BB82,IF(AC82="xhs_profile_visit_rate",BC82,IF(AC82="xhs_dm_intent_rate",BD82,IF(AC82="xhs_discussion_rate",BE82,IF(AC82="xhs_product_relevance_rate",BF82,IF(AC82="x_first_screen_engaged_rate_proxy",BG82,IF(AC82="x_qualified_reply_rate",BH82,IF(AC82="x_profile_click_rate",BI82,IF(AC82="x_link_intent_rate",BJ82,IF(AC82="x_bookmark_rate",BK82,IF(AC82="x_product_relevance_rate",BL82,"")))))))))))))</x:f>
      </x:c>
      <x:c r="BP82" s="73" t="str">
        <x:f>IFERROR(BO82/AU82-1,"")</x:f>
      </x:c>
      <x:c r="BQ82" s="74" t="str">
        <x:f>IF(COUNT(AD82)=0,"",AD82)</x:f>
      </x:c>
      <x:c r="BR82" s="73" t="str">
        <x:f>IF(C82="xiaohongshu",IF(COUNT(BA82,BB82)=2,AVERAGE(BA82,BB82),IF(COUNT(BA82)=1,BA82,BB82)),BK82)</x:f>
      </x:c>
      <x:c r="BS82" s="73" t="str">
        <x:f>IF(C82="xiaohongshu",BE82,BH82)</x:f>
      </x:c>
      <x:c r="BT82" s="73" t="str">
        <x:f>IF(C82="xiaohongshu",IF(I82="save",BA82,IF(I82="discussion",BE82,IF(I82="profile_visit",BC82,IF(I82="dm",BD82,IF(OR(I82="product_question",I82="trial_intent"),BF82,""))))),IF(I82="save",BK82,IF(I82="discussion",BH82,IF(OR(I82="profile_visit",I82="dm"),BI82,IF(I82="link_click",BJ82,IF(OR(I82="product_question",I82="trial_intent"),BL82,""))))))</x:f>
      </x:c>
      <x:c r="BU82" s="73" t="str">
        <x:f>IF(C82="xiaohongshu",BF82,BL82)</x:f>
      </x:c>
      <x:c r="BV82" s="65" t="str">
        <x:f>IF(COUNT(BQ82,AV82)&lt;2,"unknown",IF(BQ82/AV82-1&gt;=0.2,"high",IF(BQ82/AV82-1&lt;=-0.2,"low","normal")))</x:f>
        <x:v>unknown</x:v>
      </x:c>
      <x:c r="BW82" s="65" t="str">
        <x:f>IF(COUNT(BR82,AW82)&lt;2,"unknown",IF(BR82/AW82-1&gt;=0.2,"high",IF(BR82/AW82-1&lt;=-0.2,"low","normal")))</x:f>
        <x:v>unknown</x:v>
      </x:c>
      <x:c r="BX82" s="65" t="str">
        <x:f>IF(COUNT(BS82,AX82)&lt;2,"unknown",IF(BS82/AX82-1&gt;=0.2,"high",IF(BS82/AX82-1&lt;=-0.2,"low","normal")))</x:f>
        <x:v>unknown</x:v>
      </x:c>
      <x:c r="BY82" s="65" t="str">
        <x:f>IF(COUNT(BT82,AY82)&lt;2,"unknown",IF(BT82/AY82-1&gt;=0.2,"high",IF(BT82/AY82-1&lt;=-0.2,"low","normal")))</x:f>
        <x:v>unknown</x:v>
      </x:c>
      <x:c r="BZ82" s="65" t="str">
        <x:f>IF(COUNT(BU82,AZ82)&lt;2,"unknown",IF(BU82/AZ82-1&gt;=0.2,"high",IF(BU82/AZ82-1&lt;=-0.2,"low","normal")))</x:f>
        <x:v>unknown</x:v>
      </x:c>
      <x:c r="CA82" s="65" t="str">
        <x:f>IF(T82&lt;&gt;"complete","pending",IF(OR(L82&lt;&gt;"pure",U82="true",COUNT(BM82,AT82)&lt;2,AND(AC82&lt;&gt;"",COUNT(BO82,AU82)&lt;2)),"not_attributable","attributable"))</x:f>
        <x:v>pending</x:v>
      </x:c>
      <x:c r="CB82" s="65" t="str">
        <x:f>IF(T82&lt;&gt;"complete","not_evaluated",IF(COUNT(BM82,AT82)&lt;2,"insufficient_data",IF(AND(AC82&lt;&gt;"",COUNT(BP82)=1,BP82&lt;=-0.2),"guardrail_fail",IF(AND(CA82="not_attributable",OR(BV82="high",BN82&gt;=0.2)),"watchlist",IF(CA82&lt;&gt;"attributable","insufficient_data",IF(BN82&gt;=0.2,"win",IF(BN82&lt;=-0.2,"loss","inconclusive")))))))</x:f>
        <x:v>not_evaluated</x:v>
      </x:c>
      <x:c r="CC82" s="65" t="str">
        <x:f>IF(T82&lt;&gt;"complete","COLLECT_MORE_DATA",IF(COUNT(BM82,AT82)&lt;2,"FIX_TRACKING",IF(CB82="guardrail_fail","STOP_VARIANT_GUARDRAIL",IF(CB82="watchlist","WATCHLIST_ONLY",IF(AND(BV82="high",BY82="low"),"KEEP_HOOK_REWRITE_CTA",IF(AND(BW82="high",BX82="low"),"KEEP_STRUCTURE_CHANGE_DISCUSSION_ANGLE",IF(AND(BX82="high",BZ82="low"),"DOWNWEIGHT_TEMPLATE",IF(CB82="win","RETEST_WINNER",IF(CB82="loss","RETURN_TO_BASELINE","COLLECT_MORE_DATA")))))))))</x:f>
        <x:v>COLLECT_MORE_DATA</x:v>
      </x:c>
      <x:c r="CD82" s="75"/>
    </x:row>
    <x:row r="83">
      <x:c r="A83" s="68"/>
      <x:c r="B83" s="69"/>
      <x:c r="C83" s="68"/>
      <x:c r="D83" s="68"/>
      <x:c r="E83" s="68"/>
      <x:c r="F83" s="68"/>
      <x:c r="G83" s="68"/>
      <x:c r="H83" s="70"/>
      <x:c r="I83" s="68"/>
      <x:c r="J83" s="68"/>
      <x:c r="K83" s="68"/>
      <x:c r="L83" s="71" t="str">
        <x:f>IF(K83="","unknown",IF(K83=0,"baseline",IF(K83=1,"pure","mixed")))</x:f>
        <x:v>unknown</x:v>
      </x:c>
      <x:c r="M83" s="68"/>
      <x:c r="N83" s="68"/>
      <x:c r="O83" s="68"/>
      <x:c r="P83" s="68"/>
      <x:c r="Q83" s="68"/>
      <x:c r="R83" s="68"/>
      <x:c r="S83" s="68"/>
      <x:c r="T83" s="68"/>
      <x:c r="U83" s="68"/>
      <x:c r="V83" s="68"/>
      <x:c r="W83" s="68"/>
      <x:c r="X83" s="68"/>
      <x:c r="Y83" s="68"/>
      <x:c r="Z83" s="68"/>
      <x:c r="AA83" s="68"/>
      <x:c r="AB83" s="68"/>
      <x:c r="AC83" s="68"/>
      <x:c r="AD83" s="70"/>
      <x:c r="AE83" s="70"/>
      <x:c r="AF83" s="70"/>
      <x:c r="AG83" s="70"/>
      <x:c r="AH83" s="70"/>
      <x:c r="AI83" s="70"/>
      <x:c r="AJ83" s="70"/>
      <x:c r="AK83" s="70"/>
      <x:c r="AL83" s="70"/>
      <x:c r="AM83" s="70"/>
      <x:c r="AN83" s="70"/>
      <x:c r="AO83" s="70"/>
      <x:c r="AP83" s="70"/>
      <x:c r="AQ83" s="70"/>
      <x:c r="AR83" s="70"/>
      <x:c r="AS83" s="70"/>
      <x:c r="AT83" s="72"/>
      <x:c r="AU83" s="72"/>
      <x:c r="AV83" s="72"/>
      <x:c r="AW83" s="72"/>
      <x:c r="AX83" s="72"/>
      <x:c r="AY83" s="72"/>
      <x:c r="AZ83" s="72"/>
      <x:c r="BA83" s="73" t="str">
        <x:f>IF(C83="xiaohongshu",IF(COUNT(AF83,AE83)&lt;2,"",IFERROR(AF83/AE83,"")),"")</x:f>
      </x:c>
      <x:c r="BB83" s="73" t="str">
        <x:f>IF(C83="xiaohongshu",IF(COUNT(AG83,AE83)&lt;2,"",IFERROR(AG83/AE83,"")),"")</x:f>
      </x:c>
      <x:c r="BC83" s="73" t="str">
        <x:f>IF(C83="xiaohongshu",IF(COUNT(AN83,AE83)&lt;2,"",IFERROR(AN83/AE83,"")),"")</x:f>
      </x:c>
      <x:c r="BD83" s="73" t="str">
        <x:f>IF(C83="xiaohongshu",IF(COUNT(AQ83,AE83)&lt;2,"",IFERROR(AQ83/AE83,"")),"")</x:f>
      </x:c>
      <x:c r="BE83" s="73" t="str">
        <x:f>IF(C83="xiaohongshu",IF(COUNT(AI83,AE83)&lt;2,"",IFERROR(AI83/AE83,"")),"")</x:f>
      </x:c>
      <x:c r="BF83" s="73" t="str">
        <x:f>IF(C83="xiaohongshu",IF(OR(COUNT(AE83)=0,COUNT(AR83,AS83)=0),"",IFERROR((AR83+AS83)/AE83,"")),"")</x:f>
      </x:c>
      <x:c r="BG83" s="73" t="str">
        <x:f>IF(C83="x",IF(COUNT(AD83)=0,"",IF(COUNT(AM83)=1,IFERROR(AM83/AD83,""),IF(COUNT(AH83,AI83,AK83,AL83)=0,"",IFERROR(SUM(AH83,AI83,AK83,AL83)/AD83,"")))),"")</x:f>
      </x:c>
      <x:c r="BH83" s="73" t="str">
        <x:f>IF(C83="x",IF(COUNT(AJ83,AD83)&lt;2,"",IFERROR(AJ83/AD83,"")),"")</x:f>
      </x:c>
      <x:c r="BI83" s="73" t="str">
        <x:f>IF(C83="x",IF(COUNT(AO83,AD83)&lt;2,"",IFERROR(AO83/AD83,"")),"")</x:f>
      </x:c>
      <x:c r="BJ83" s="73" t="str">
        <x:f>IF(C83="x",IF(COUNT(AP83,AD83)&lt;2,"",IFERROR(AP83/AD83,"")),"")</x:f>
      </x:c>
      <x:c r="BK83" s="73" t="str">
        <x:f>IF(C83="x",IF(COUNT(AL83,AD83)&lt;2,"",IFERROR(AL83/AD83,"")),"")</x:f>
      </x:c>
      <x:c r="BL83" s="73" t="str">
        <x:f>IF(C83="x",IF(OR(COUNT(AD83)=0,COUNT(AR83,AS83)=0),"",IFERROR((AR83+AS83)/AD83,"")),"")</x:f>
      </x:c>
      <x:c r="BM83" s="73" t="str">
        <x:f>IF(AB83="xhs_save_rate",BA83,IF(AB83="xhs_completion_rate",BB83,IF(AB83="xhs_profile_visit_rate",BC83,IF(AB83="xhs_dm_intent_rate",BD83,IF(AB83="xhs_discussion_rate",BE83,IF(AB83="xhs_product_relevance_rate",BF83,IF(AB83="x_first_screen_engaged_rate_proxy",BG83,IF(AB83="x_qualified_reply_rate",BH83,IF(AB83="x_profile_click_rate",BI83,IF(AB83="x_link_intent_rate",BJ83,IF(AB83="x_bookmark_rate",BK83,IF(AB83="x_product_relevance_rate",BL83,""))))))))))))</x:f>
      </x:c>
      <x:c r="BN83" s="73" t="str">
        <x:f>IFERROR(BM83/AT83-1,"")</x:f>
      </x:c>
      <x:c r="BO83" s="73" t="str">
        <x:f>IF(AC83="","",IF(AC83="xhs_save_rate",BA83,IF(AC83="xhs_completion_rate",BB83,IF(AC83="xhs_profile_visit_rate",BC83,IF(AC83="xhs_dm_intent_rate",BD83,IF(AC83="xhs_discussion_rate",BE83,IF(AC83="xhs_product_relevance_rate",BF83,IF(AC83="x_first_screen_engaged_rate_proxy",BG83,IF(AC83="x_qualified_reply_rate",BH83,IF(AC83="x_profile_click_rate",BI83,IF(AC83="x_link_intent_rate",BJ83,IF(AC83="x_bookmark_rate",BK83,IF(AC83="x_product_relevance_rate",BL83,"")))))))))))))</x:f>
      </x:c>
      <x:c r="BP83" s="73" t="str">
        <x:f>IFERROR(BO83/AU83-1,"")</x:f>
      </x:c>
      <x:c r="BQ83" s="74" t="str">
        <x:f>IF(COUNT(AD83)=0,"",AD83)</x:f>
      </x:c>
      <x:c r="BR83" s="73" t="str">
        <x:f>IF(C83="xiaohongshu",IF(COUNT(BA83,BB83)=2,AVERAGE(BA83,BB83),IF(COUNT(BA83)=1,BA83,BB83)),BK83)</x:f>
      </x:c>
      <x:c r="BS83" s="73" t="str">
        <x:f>IF(C83="xiaohongshu",BE83,BH83)</x:f>
      </x:c>
      <x:c r="BT83" s="73" t="str">
        <x:f>IF(C83="xiaohongshu",IF(I83="save",BA83,IF(I83="discussion",BE83,IF(I83="profile_visit",BC83,IF(I83="dm",BD83,IF(OR(I83="product_question",I83="trial_intent"),BF83,""))))),IF(I83="save",BK83,IF(I83="discussion",BH83,IF(OR(I83="profile_visit",I83="dm"),BI83,IF(I83="link_click",BJ83,IF(OR(I83="product_question",I83="trial_intent"),BL83,""))))))</x:f>
      </x:c>
      <x:c r="BU83" s="73" t="str">
        <x:f>IF(C83="xiaohongshu",BF83,BL83)</x:f>
      </x:c>
      <x:c r="BV83" s="65" t="str">
        <x:f>IF(COUNT(BQ83,AV83)&lt;2,"unknown",IF(BQ83/AV83-1&gt;=0.2,"high",IF(BQ83/AV83-1&lt;=-0.2,"low","normal")))</x:f>
        <x:v>unknown</x:v>
      </x:c>
      <x:c r="BW83" s="65" t="str">
        <x:f>IF(COUNT(BR83,AW83)&lt;2,"unknown",IF(BR83/AW83-1&gt;=0.2,"high",IF(BR83/AW83-1&lt;=-0.2,"low","normal")))</x:f>
        <x:v>unknown</x:v>
      </x:c>
      <x:c r="BX83" s="65" t="str">
        <x:f>IF(COUNT(BS83,AX83)&lt;2,"unknown",IF(BS83/AX83-1&gt;=0.2,"high",IF(BS83/AX83-1&lt;=-0.2,"low","normal")))</x:f>
        <x:v>unknown</x:v>
      </x:c>
      <x:c r="BY83" s="65" t="str">
        <x:f>IF(COUNT(BT83,AY83)&lt;2,"unknown",IF(BT83/AY83-1&gt;=0.2,"high",IF(BT83/AY83-1&lt;=-0.2,"low","normal")))</x:f>
        <x:v>unknown</x:v>
      </x:c>
      <x:c r="BZ83" s="65" t="str">
        <x:f>IF(COUNT(BU83,AZ83)&lt;2,"unknown",IF(BU83/AZ83-1&gt;=0.2,"high",IF(BU83/AZ83-1&lt;=-0.2,"low","normal")))</x:f>
        <x:v>unknown</x:v>
      </x:c>
      <x:c r="CA83" s="65" t="str">
        <x:f>IF(T83&lt;&gt;"complete","pending",IF(OR(L83&lt;&gt;"pure",U83="true",COUNT(BM83,AT83)&lt;2,AND(AC83&lt;&gt;"",COUNT(BO83,AU83)&lt;2)),"not_attributable","attributable"))</x:f>
        <x:v>pending</x:v>
      </x:c>
      <x:c r="CB83" s="65" t="str">
        <x:f>IF(T83&lt;&gt;"complete","not_evaluated",IF(COUNT(BM83,AT83)&lt;2,"insufficient_data",IF(AND(AC83&lt;&gt;"",COUNT(BP83)=1,BP83&lt;=-0.2),"guardrail_fail",IF(AND(CA83="not_attributable",OR(BV83="high",BN83&gt;=0.2)),"watchlist",IF(CA83&lt;&gt;"attributable","insufficient_data",IF(BN83&gt;=0.2,"win",IF(BN83&lt;=-0.2,"loss","inconclusive")))))))</x:f>
        <x:v>not_evaluated</x:v>
      </x:c>
      <x:c r="CC83" s="65" t="str">
        <x:f>IF(T83&lt;&gt;"complete","COLLECT_MORE_DATA",IF(COUNT(BM83,AT83)&lt;2,"FIX_TRACKING",IF(CB83="guardrail_fail","STOP_VARIANT_GUARDRAIL",IF(CB83="watchlist","WATCHLIST_ONLY",IF(AND(BV83="high",BY83="low"),"KEEP_HOOK_REWRITE_CTA",IF(AND(BW83="high",BX83="low"),"KEEP_STRUCTURE_CHANGE_DISCUSSION_ANGLE",IF(AND(BX83="high",BZ83="low"),"DOWNWEIGHT_TEMPLATE",IF(CB83="win","RETEST_WINNER",IF(CB83="loss","RETURN_TO_BASELINE","COLLECT_MORE_DATA")))))))))</x:f>
        <x:v>COLLECT_MORE_DATA</x:v>
      </x:c>
      <x:c r="CD83" s="75"/>
    </x:row>
    <x:row r="84">
      <x:c r="A84" s="68"/>
      <x:c r="B84" s="69"/>
      <x:c r="C84" s="68"/>
      <x:c r="D84" s="68"/>
      <x:c r="E84" s="68"/>
      <x:c r="F84" s="68"/>
      <x:c r="G84" s="68"/>
      <x:c r="H84" s="70"/>
      <x:c r="I84" s="68"/>
      <x:c r="J84" s="68"/>
      <x:c r="K84" s="68"/>
      <x:c r="L84" s="71" t="str">
        <x:f>IF(K84="","unknown",IF(K84=0,"baseline",IF(K84=1,"pure","mixed")))</x:f>
        <x:v>unknown</x:v>
      </x:c>
      <x:c r="M84" s="68"/>
      <x:c r="N84" s="68"/>
      <x:c r="O84" s="68"/>
      <x:c r="P84" s="68"/>
      <x:c r="Q84" s="68"/>
      <x:c r="R84" s="68"/>
      <x:c r="S84" s="68"/>
      <x:c r="T84" s="68"/>
      <x:c r="U84" s="68"/>
      <x:c r="V84" s="68"/>
      <x:c r="W84" s="68"/>
      <x:c r="X84" s="68"/>
      <x:c r="Y84" s="68"/>
      <x:c r="Z84" s="68"/>
      <x:c r="AA84" s="68"/>
      <x:c r="AB84" s="68"/>
      <x:c r="AC84" s="68"/>
      <x:c r="AD84" s="70"/>
      <x:c r="AE84" s="70"/>
      <x:c r="AF84" s="70"/>
      <x:c r="AG84" s="70"/>
      <x:c r="AH84" s="70"/>
      <x:c r="AI84" s="70"/>
      <x:c r="AJ84" s="70"/>
      <x:c r="AK84" s="70"/>
      <x:c r="AL84" s="70"/>
      <x:c r="AM84" s="70"/>
      <x:c r="AN84" s="70"/>
      <x:c r="AO84" s="70"/>
      <x:c r="AP84" s="70"/>
      <x:c r="AQ84" s="70"/>
      <x:c r="AR84" s="70"/>
      <x:c r="AS84" s="70"/>
      <x:c r="AT84" s="72"/>
      <x:c r="AU84" s="72"/>
      <x:c r="AV84" s="72"/>
      <x:c r="AW84" s="72"/>
      <x:c r="AX84" s="72"/>
      <x:c r="AY84" s="72"/>
      <x:c r="AZ84" s="72"/>
      <x:c r="BA84" s="73" t="str">
        <x:f>IF(C84="xiaohongshu",IF(COUNT(AF84,AE84)&lt;2,"",IFERROR(AF84/AE84,"")),"")</x:f>
      </x:c>
      <x:c r="BB84" s="73" t="str">
        <x:f>IF(C84="xiaohongshu",IF(COUNT(AG84,AE84)&lt;2,"",IFERROR(AG84/AE84,"")),"")</x:f>
      </x:c>
      <x:c r="BC84" s="73" t="str">
        <x:f>IF(C84="xiaohongshu",IF(COUNT(AN84,AE84)&lt;2,"",IFERROR(AN84/AE84,"")),"")</x:f>
      </x:c>
      <x:c r="BD84" s="73" t="str">
        <x:f>IF(C84="xiaohongshu",IF(COUNT(AQ84,AE84)&lt;2,"",IFERROR(AQ84/AE84,"")),"")</x:f>
      </x:c>
      <x:c r="BE84" s="73" t="str">
        <x:f>IF(C84="xiaohongshu",IF(COUNT(AI84,AE84)&lt;2,"",IFERROR(AI84/AE84,"")),"")</x:f>
      </x:c>
      <x:c r="BF84" s="73" t="str">
        <x:f>IF(C84="xiaohongshu",IF(OR(COUNT(AE84)=0,COUNT(AR84,AS84)=0),"",IFERROR((AR84+AS84)/AE84,"")),"")</x:f>
      </x:c>
      <x:c r="BG84" s="73" t="str">
        <x:f>IF(C84="x",IF(COUNT(AD84)=0,"",IF(COUNT(AM84)=1,IFERROR(AM84/AD84,""),IF(COUNT(AH84,AI84,AK84,AL84)=0,"",IFERROR(SUM(AH84,AI84,AK84,AL84)/AD84,"")))),"")</x:f>
      </x:c>
      <x:c r="BH84" s="73" t="str">
        <x:f>IF(C84="x",IF(COUNT(AJ84,AD84)&lt;2,"",IFERROR(AJ84/AD84,"")),"")</x:f>
      </x:c>
      <x:c r="BI84" s="73" t="str">
        <x:f>IF(C84="x",IF(COUNT(AO84,AD84)&lt;2,"",IFERROR(AO84/AD84,"")),"")</x:f>
      </x:c>
      <x:c r="BJ84" s="73" t="str">
        <x:f>IF(C84="x",IF(COUNT(AP84,AD84)&lt;2,"",IFERROR(AP84/AD84,"")),"")</x:f>
      </x:c>
      <x:c r="BK84" s="73" t="str">
        <x:f>IF(C84="x",IF(COUNT(AL84,AD84)&lt;2,"",IFERROR(AL84/AD84,"")),"")</x:f>
      </x:c>
      <x:c r="BL84" s="73" t="str">
        <x:f>IF(C84="x",IF(OR(COUNT(AD84)=0,COUNT(AR84,AS84)=0),"",IFERROR((AR84+AS84)/AD84,"")),"")</x:f>
      </x:c>
      <x:c r="BM84" s="73" t="str">
        <x:f>IF(AB84="xhs_save_rate",BA84,IF(AB84="xhs_completion_rate",BB84,IF(AB84="xhs_profile_visit_rate",BC84,IF(AB84="xhs_dm_intent_rate",BD84,IF(AB84="xhs_discussion_rate",BE84,IF(AB84="xhs_product_relevance_rate",BF84,IF(AB84="x_first_screen_engaged_rate_proxy",BG84,IF(AB84="x_qualified_reply_rate",BH84,IF(AB84="x_profile_click_rate",BI84,IF(AB84="x_link_intent_rate",BJ84,IF(AB84="x_bookmark_rate",BK84,IF(AB84="x_product_relevance_rate",BL84,""))))))))))))</x:f>
      </x:c>
      <x:c r="BN84" s="73" t="str">
        <x:f>IFERROR(BM84/AT84-1,"")</x:f>
      </x:c>
      <x:c r="BO84" s="73" t="str">
        <x:f>IF(AC84="","",IF(AC84="xhs_save_rate",BA84,IF(AC84="xhs_completion_rate",BB84,IF(AC84="xhs_profile_visit_rate",BC84,IF(AC84="xhs_dm_intent_rate",BD84,IF(AC84="xhs_discussion_rate",BE84,IF(AC84="xhs_product_relevance_rate",BF84,IF(AC84="x_first_screen_engaged_rate_proxy",BG84,IF(AC84="x_qualified_reply_rate",BH84,IF(AC84="x_profile_click_rate",BI84,IF(AC84="x_link_intent_rate",BJ84,IF(AC84="x_bookmark_rate",BK84,IF(AC84="x_product_relevance_rate",BL84,"")))))))))))))</x:f>
      </x:c>
      <x:c r="BP84" s="73" t="str">
        <x:f>IFERROR(BO84/AU84-1,"")</x:f>
      </x:c>
      <x:c r="BQ84" s="74" t="str">
        <x:f>IF(COUNT(AD84)=0,"",AD84)</x:f>
      </x:c>
      <x:c r="BR84" s="73" t="str">
        <x:f>IF(C84="xiaohongshu",IF(COUNT(BA84,BB84)=2,AVERAGE(BA84,BB84),IF(COUNT(BA84)=1,BA84,BB84)),BK84)</x:f>
      </x:c>
      <x:c r="BS84" s="73" t="str">
        <x:f>IF(C84="xiaohongshu",BE84,BH84)</x:f>
      </x:c>
      <x:c r="BT84" s="73" t="str">
        <x:f>IF(C84="xiaohongshu",IF(I84="save",BA84,IF(I84="discussion",BE84,IF(I84="profile_visit",BC84,IF(I84="dm",BD84,IF(OR(I84="product_question",I84="trial_intent"),BF84,""))))),IF(I84="save",BK84,IF(I84="discussion",BH84,IF(OR(I84="profile_visit",I84="dm"),BI84,IF(I84="link_click",BJ84,IF(OR(I84="product_question",I84="trial_intent"),BL84,""))))))</x:f>
      </x:c>
      <x:c r="BU84" s="73" t="str">
        <x:f>IF(C84="xiaohongshu",BF84,BL84)</x:f>
      </x:c>
      <x:c r="BV84" s="65" t="str">
        <x:f>IF(COUNT(BQ84,AV84)&lt;2,"unknown",IF(BQ84/AV84-1&gt;=0.2,"high",IF(BQ84/AV84-1&lt;=-0.2,"low","normal")))</x:f>
        <x:v>unknown</x:v>
      </x:c>
      <x:c r="BW84" s="65" t="str">
        <x:f>IF(COUNT(BR84,AW84)&lt;2,"unknown",IF(BR84/AW84-1&gt;=0.2,"high",IF(BR84/AW84-1&lt;=-0.2,"low","normal")))</x:f>
        <x:v>unknown</x:v>
      </x:c>
      <x:c r="BX84" s="65" t="str">
        <x:f>IF(COUNT(BS84,AX84)&lt;2,"unknown",IF(BS84/AX84-1&gt;=0.2,"high",IF(BS84/AX84-1&lt;=-0.2,"low","normal")))</x:f>
        <x:v>unknown</x:v>
      </x:c>
      <x:c r="BY84" s="65" t="str">
        <x:f>IF(COUNT(BT84,AY84)&lt;2,"unknown",IF(BT84/AY84-1&gt;=0.2,"high",IF(BT84/AY84-1&lt;=-0.2,"low","normal")))</x:f>
        <x:v>unknown</x:v>
      </x:c>
      <x:c r="BZ84" s="65" t="str">
        <x:f>IF(COUNT(BU84,AZ84)&lt;2,"unknown",IF(BU84/AZ84-1&gt;=0.2,"high",IF(BU84/AZ84-1&lt;=-0.2,"low","normal")))</x:f>
        <x:v>unknown</x:v>
      </x:c>
      <x:c r="CA84" s="65" t="str">
        <x:f>IF(T84&lt;&gt;"complete","pending",IF(OR(L84&lt;&gt;"pure",U84="true",COUNT(BM84,AT84)&lt;2,AND(AC84&lt;&gt;"",COUNT(BO84,AU84)&lt;2)),"not_attributable","attributable"))</x:f>
        <x:v>pending</x:v>
      </x:c>
      <x:c r="CB84" s="65" t="str">
        <x:f>IF(T84&lt;&gt;"complete","not_evaluated",IF(COUNT(BM84,AT84)&lt;2,"insufficient_data",IF(AND(AC84&lt;&gt;"",COUNT(BP84)=1,BP84&lt;=-0.2),"guardrail_fail",IF(AND(CA84="not_attributable",OR(BV84="high",BN84&gt;=0.2)),"watchlist",IF(CA84&lt;&gt;"attributable","insufficient_data",IF(BN84&gt;=0.2,"win",IF(BN84&lt;=-0.2,"loss","inconclusive")))))))</x:f>
        <x:v>not_evaluated</x:v>
      </x:c>
      <x:c r="CC84" s="65" t="str">
        <x:f>IF(T84&lt;&gt;"complete","COLLECT_MORE_DATA",IF(COUNT(BM84,AT84)&lt;2,"FIX_TRACKING",IF(CB84="guardrail_fail","STOP_VARIANT_GUARDRAIL",IF(CB84="watchlist","WATCHLIST_ONLY",IF(AND(BV84="high",BY84="low"),"KEEP_HOOK_REWRITE_CTA",IF(AND(BW84="high",BX84="low"),"KEEP_STRUCTURE_CHANGE_DISCUSSION_ANGLE",IF(AND(BX84="high",BZ84="low"),"DOWNWEIGHT_TEMPLATE",IF(CB84="win","RETEST_WINNER",IF(CB84="loss","RETURN_TO_BASELINE","COLLECT_MORE_DATA")))))))))</x:f>
        <x:v>COLLECT_MORE_DATA</x:v>
      </x:c>
      <x:c r="CD84" s="75"/>
    </x:row>
    <x:row r="85">
      <x:c r="A85" s="68"/>
      <x:c r="B85" s="69"/>
      <x:c r="C85" s="68"/>
      <x:c r="D85" s="68"/>
      <x:c r="E85" s="68"/>
      <x:c r="F85" s="68"/>
      <x:c r="G85" s="68"/>
      <x:c r="H85" s="70"/>
      <x:c r="I85" s="68"/>
      <x:c r="J85" s="68"/>
      <x:c r="K85" s="68"/>
      <x:c r="L85" s="71" t="str">
        <x:f>IF(K85="","unknown",IF(K85=0,"baseline",IF(K85=1,"pure","mixed")))</x:f>
        <x:v>unknown</x:v>
      </x:c>
      <x:c r="M85" s="68"/>
      <x:c r="N85" s="68"/>
      <x:c r="O85" s="68"/>
      <x:c r="P85" s="68"/>
      <x:c r="Q85" s="68"/>
      <x:c r="R85" s="68"/>
      <x:c r="S85" s="68"/>
      <x:c r="T85" s="68"/>
      <x:c r="U85" s="68"/>
      <x:c r="V85" s="68"/>
      <x:c r="W85" s="68"/>
      <x:c r="X85" s="68"/>
      <x:c r="Y85" s="68"/>
      <x:c r="Z85" s="68"/>
      <x:c r="AA85" s="68"/>
      <x:c r="AB85" s="68"/>
      <x:c r="AC85" s="68"/>
      <x:c r="AD85" s="70"/>
      <x:c r="AE85" s="70"/>
      <x:c r="AF85" s="70"/>
      <x:c r="AG85" s="70"/>
      <x:c r="AH85" s="70"/>
      <x:c r="AI85" s="70"/>
      <x:c r="AJ85" s="70"/>
      <x:c r="AK85" s="70"/>
      <x:c r="AL85" s="70"/>
      <x:c r="AM85" s="70"/>
      <x:c r="AN85" s="70"/>
      <x:c r="AO85" s="70"/>
      <x:c r="AP85" s="70"/>
      <x:c r="AQ85" s="70"/>
      <x:c r="AR85" s="70"/>
      <x:c r="AS85" s="70"/>
      <x:c r="AT85" s="72"/>
      <x:c r="AU85" s="72"/>
      <x:c r="AV85" s="72"/>
      <x:c r="AW85" s="72"/>
      <x:c r="AX85" s="72"/>
      <x:c r="AY85" s="72"/>
      <x:c r="AZ85" s="72"/>
      <x:c r="BA85" s="73" t="str">
        <x:f>IF(C85="xiaohongshu",IF(COUNT(AF85,AE85)&lt;2,"",IFERROR(AF85/AE85,"")),"")</x:f>
      </x:c>
      <x:c r="BB85" s="73" t="str">
        <x:f>IF(C85="xiaohongshu",IF(COUNT(AG85,AE85)&lt;2,"",IFERROR(AG85/AE85,"")),"")</x:f>
      </x:c>
      <x:c r="BC85" s="73" t="str">
        <x:f>IF(C85="xiaohongshu",IF(COUNT(AN85,AE85)&lt;2,"",IFERROR(AN85/AE85,"")),"")</x:f>
      </x:c>
      <x:c r="BD85" s="73" t="str">
        <x:f>IF(C85="xiaohongshu",IF(COUNT(AQ85,AE85)&lt;2,"",IFERROR(AQ85/AE85,"")),"")</x:f>
      </x:c>
      <x:c r="BE85" s="73" t="str">
        <x:f>IF(C85="xiaohongshu",IF(COUNT(AI85,AE85)&lt;2,"",IFERROR(AI85/AE85,"")),"")</x:f>
      </x:c>
      <x:c r="BF85" s="73" t="str">
        <x:f>IF(C85="xiaohongshu",IF(OR(COUNT(AE85)=0,COUNT(AR85,AS85)=0),"",IFERROR((AR85+AS85)/AE85,"")),"")</x:f>
      </x:c>
      <x:c r="BG85" s="73" t="str">
        <x:f>IF(C85="x",IF(COUNT(AD85)=0,"",IF(COUNT(AM85)=1,IFERROR(AM85/AD85,""),IF(COUNT(AH85,AI85,AK85,AL85)=0,"",IFERROR(SUM(AH85,AI85,AK85,AL85)/AD85,"")))),"")</x:f>
      </x:c>
      <x:c r="BH85" s="73" t="str">
        <x:f>IF(C85="x",IF(COUNT(AJ85,AD85)&lt;2,"",IFERROR(AJ85/AD85,"")),"")</x:f>
      </x:c>
      <x:c r="BI85" s="73" t="str">
        <x:f>IF(C85="x",IF(COUNT(AO85,AD85)&lt;2,"",IFERROR(AO85/AD85,"")),"")</x:f>
      </x:c>
      <x:c r="BJ85" s="73" t="str">
        <x:f>IF(C85="x",IF(COUNT(AP85,AD85)&lt;2,"",IFERROR(AP85/AD85,"")),"")</x:f>
      </x:c>
      <x:c r="BK85" s="73" t="str">
        <x:f>IF(C85="x",IF(COUNT(AL85,AD85)&lt;2,"",IFERROR(AL85/AD85,"")),"")</x:f>
      </x:c>
      <x:c r="BL85" s="73" t="str">
        <x:f>IF(C85="x",IF(OR(COUNT(AD85)=0,COUNT(AR85,AS85)=0),"",IFERROR((AR85+AS85)/AD85,"")),"")</x:f>
      </x:c>
      <x:c r="BM85" s="73" t="str">
        <x:f>IF(AB85="xhs_save_rate",BA85,IF(AB85="xhs_completion_rate",BB85,IF(AB85="xhs_profile_visit_rate",BC85,IF(AB85="xhs_dm_intent_rate",BD85,IF(AB85="xhs_discussion_rate",BE85,IF(AB85="xhs_product_relevance_rate",BF85,IF(AB85="x_first_screen_engaged_rate_proxy",BG85,IF(AB85="x_qualified_reply_rate",BH85,IF(AB85="x_profile_click_rate",BI85,IF(AB85="x_link_intent_rate",BJ85,IF(AB85="x_bookmark_rate",BK85,IF(AB85="x_product_relevance_rate",BL85,""))))))))))))</x:f>
      </x:c>
      <x:c r="BN85" s="73" t="str">
        <x:f>IFERROR(BM85/AT85-1,"")</x:f>
      </x:c>
      <x:c r="BO85" s="73" t="str">
        <x:f>IF(AC85="","",IF(AC85="xhs_save_rate",BA85,IF(AC85="xhs_completion_rate",BB85,IF(AC85="xhs_profile_visit_rate",BC85,IF(AC85="xhs_dm_intent_rate",BD85,IF(AC85="xhs_discussion_rate",BE85,IF(AC85="xhs_product_relevance_rate",BF85,IF(AC85="x_first_screen_engaged_rate_proxy",BG85,IF(AC85="x_qualified_reply_rate",BH85,IF(AC85="x_profile_click_rate",BI85,IF(AC85="x_link_intent_rate",BJ85,IF(AC85="x_bookmark_rate",BK85,IF(AC85="x_product_relevance_rate",BL85,"")))))))))))))</x:f>
      </x:c>
      <x:c r="BP85" s="73" t="str">
        <x:f>IFERROR(BO85/AU85-1,"")</x:f>
      </x:c>
      <x:c r="BQ85" s="74" t="str">
        <x:f>IF(COUNT(AD85)=0,"",AD85)</x:f>
      </x:c>
      <x:c r="BR85" s="73" t="str">
        <x:f>IF(C85="xiaohongshu",IF(COUNT(BA85,BB85)=2,AVERAGE(BA85,BB85),IF(COUNT(BA85)=1,BA85,BB85)),BK85)</x:f>
      </x:c>
      <x:c r="BS85" s="73" t="str">
        <x:f>IF(C85="xiaohongshu",BE85,BH85)</x:f>
      </x:c>
      <x:c r="BT85" s="73" t="str">
        <x:f>IF(C85="xiaohongshu",IF(I85="save",BA85,IF(I85="discussion",BE85,IF(I85="profile_visit",BC85,IF(I85="dm",BD85,IF(OR(I85="product_question",I85="trial_intent"),BF85,""))))),IF(I85="save",BK85,IF(I85="discussion",BH85,IF(OR(I85="profile_visit",I85="dm"),BI85,IF(I85="link_click",BJ85,IF(OR(I85="product_question",I85="trial_intent"),BL85,""))))))</x:f>
      </x:c>
      <x:c r="BU85" s="73" t="str">
        <x:f>IF(C85="xiaohongshu",BF85,BL85)</x:f>
      </x:c>
      <x:c r="BV85" s="65" t="str">
        <x:f>IF(COUNT(BQ85,AV85)&lt;2,"unknown",IF(BQ85/AV85-1&gt;=0.2,"high",IF(BQ85/AV85-1&lt;=-0.2,"low","normal")))</x:f>
        <x:v>unknown</x:v>
      </x:c>
      <x:c r="BW85" s="65" t="str">
        <x:f>IF(COUNT(BR85,AW85)&lt;2,"unknown",IF(BR85/AW85-1&gt;=0.2,"high",IF(BR85/AW85-1&lt;=-0.2,"low","normal")))</x:f>
        <x:v>unknown</x:v>
      </x:c>
      <x:c r="BX85" s="65" t="str">
        <x:f>IF(COUNT(BS85,AX85)&lt;2,"unknown",IF(BS85/AX85-1&gt;=0.2,"high",IF(BS85/AX85-1&lt;=-0.2,"low","normal")))</x:f>
        <x:v>unknown</x:v>
      </x:c>
      <x:c r="BY85" s="65" t="str">
        <x:f>IF(COUNT(BT85,AY85)&lt;2,"unknown",IF(BT85/AY85-1&gt;=0.2,"high",IF(BT85/AY85-1&lt;=-0.2,"low","normal")))</x:f>
        <x:v>unknown</x:v>
      </x:c>
      <x:c r="BZ85" s="65" t="str">
        <x:f>IF(COUNT(BU85,AZ85)&lt;2,"unknown",IF(BU85/AZ85-1&gt;=0.2,"high",IF(BU85/AZ85-1&lt;=-0.2,"low","normal")))</x:f>
        <x:v>unknown</x:v>
      </x:c>
      <x:c r="CA85" s="65" t="str">
        <x:f>IF(T85&lt;&gt;"complete","pending",IF(OR(L85&lt;&gt;"pure",U85="true",COUNT(BM85,AT85)&lt;2,AND(AC85&lt;&gt;"",COUNT(BO85,AU85)&lt;2)),"not_attributable","attributable"))</x:f>
        <x:v>pending</x:v>
      </x:c>
      <x:c r="CB85" s="65" t="str">
        <x:f>IF(T85&lt;&gt;"complete","not_evaluated",IF(COUNT(BM85,AT85)&lt;2,"insufficient_data",IF(AND(AC85&lt;&gt;"",COUNT(BP85)=1,BP85&lt;=-0.2),"guardrail_fail",IF(AND(CA85="not_attributable",OR(BV85="high",BN85&gt;=0.2)),"watchlist",IF(CA85&lt;&gt;"attributable","insufficient_data",IF(BN85&gt;=0.2,"win",IF(BN85&lt;=-0.2,"loss","inconclusive")))))))</x:f>
        <x:v>not_evaluated</x:v>
      </x:c>
      <x:c r="CC85" s="65" t="str">
        <x:f>IF(T85&lt;&gt;"complete","COLLECT_MORE_DATA",IF(COUNT(BM85,AT85)&lt;2,"FIX_TRACKING",IF(CB85="guardrail_fail","STOP_VARIANT_GUARDRAIL",IF(CB85="watchlist","WATCHLIST_ONLY",IF(AND(BV85="high",BY85="low"),"KEEP_HOOK_REWRITE_CTA",IF(AND(BW85="high",BX85="low"),"KEEP_STRUCTURE_CHANGE_DISCUSSION_ANGLE",IF(AND(BX85="high",BZ85="low"),"DOWNWEIGHT_TEMPLATE",IF(CB85="win","RETEST_WINNER",IF(CB85="loss","RETURN_TO_BASELINE","COLLECT_MORE_DATA")))))))))</x:f>
        <x:v>COLLECT_MORE_DATA</x:v>
      </x:c>
      <x:c r="CD85" s="75"/>
    </x:row>
    <x:row r="86">
      <x:c r="A86" s="68"/>
      <x:c r="B86" s="69"/>
      <x:c r="C86" s="68"/>
      <x:c r="D86" s="68"/>
      <x:c r="E86" s="68"/>
      <x:c r="F86" s="68"/>
      <x:c r="G86" s="68"/>
      <x:c r="H86" s="70"/>
      <x:c r="I86" s="68"/>
      <x:c r="J86" s="68"/>
      <x:c r="K86" s="68"/>
      <x:c r="L86" s="71" t="str">
        <x:f>IF(K86="","unknown",IF(K86=0,"baseline",IF(K86=1,"pure","mixed")))</x:f>
        <x:v>unknown</x:v>
      </x:c>
      <x:c r="M86" s="68"/>
      <x:c r="N86" s="68"/>
      <x:c r="O86" s="68"/>
      <x:c r="P86" s="68"/>
      <x:c r="Q86" s="68"/>
      <x:c r="R86" s="68"/>
      <x:c r="S86" s="68"/>
      <x:c r="T86" s="68"/>
      <x:c r="U86" s="68"/>
      <x:c r="V86" s="68"/>
      <x:c r="W86" s="68"/>
      <x:c r="X86" s="68"/>
      <x:c r="Y86" s="68"/>
      <x:c r="Z86" s="68"/>
      <x:c r="AA86" s="68"/>
      <x:c r="AB86" s="68"/>
      <x:c r="AC86" s="68"/>
      <x:c r="AD86" s="70"/>
      <x:c r="AE86" s="70"/>
      <x:c r="AF86" s="70"/>
      <x:c r="AG86" s="70"/>
      <x:c r="AH86" s="70"/>
      <x:c r="AI86" s="70"/>
      <x:c r="AJ86" s="70"/>
      <x:c r="AK86" s="70"/>
      <x:c r="AL86" s="70"/>
      <x:c r="AM86" s="70"/>
      <x:c r="AN86" s="70"/>
      <x:c r="AO86" s="70"/>
      <x:c r="AP86" s="70"/>
      <x:c r="AQ86" s="70"/>
      <x:c r="AR86" s="70"/>
      <x:c r="AS86" s="70"/>
      <x:c r="AT86" s="72"/>
      <x:c r="AU86" s="72"/>
      <x:c r="AV86" s="72"/>
      <x:c r="AW86" s="72"/>
      <x:c r="AX86" s="72"/>
      <x:c r="AY86" s="72"/>
      <x:c r="AZ86" s="72"/>
      <x:c r="BA86" s="73" t="str">
        <x:f>IF(C86="xiaohongshu",IF(COUNT(AF86,AE86)&lt;2,"",IFERROR(AF86/AE86,"")),"")</x:f>
      </x:c>
      <x:c r="BB86" s="73" t="str">
        <x:f>IF(C86="xiaohongshu",IF(COUNT(AG86,AE86)&lt;2,"",IFERROR(AG86/AE86,"")),"")</x:f>
      </x:c>
      <x:c r="BC86" s="73" t="str">
        <x:f>IF(C86="xiaohongshu",IF(COUNT(AN86,AE86)&lt;2,"",IFERROR(AN86/AE86,"")),"")</x:f>
      </x:c>
      <x:c r="BD86" s="73" t="str">
        <x:f>IF(C86="xiaohongshu",IF(COUNT(AQ86,AE86)&lt;2,"",IFERROR(AQ86/AE86,"")),"")</x:f>
      </x:c>
      <x:c r="BE86" s="73" t="str">
        <x:f>IF(C86="xiaohongshu",IF(COUNT(AI86,AE86)&lt;2,"",IFERROR(AI86/AE86,"")),"")</x:f>
      </x:c>
      <x:c r="BF86" s="73" t="str">
        <x:f>IF(C86="xiaohongshu",IF(OR(COUNT(AE86)=0,COUNT(AR86,AS86)=0),"",IFERROR((AR86+AS86)/AE86,"")),"")</x:f>
      </x:c>
      <x:c r="BG86" s="73" t="str">
        <x:f>IF(C86="x",IF(COUNT(AD86)=0,"",IF(COUNT(AM86)=1,IFERROR(AM86/AD86,""),IF(COUNT(AH86,AI86,AK86,AL86)=0,"",IFERROR(SUM(AH86,AI86,AK86,AL86)/AD86,"")))),"")</x:f>
      </x:c>
      <x:c r="BH86" s="73" t="str">
        <x:f>IF(C86="x",IF(COUNT(AJ86,AD86)&lt;2,"",IFERROR(AJ86/AD86,"")),"")</x:f>
      </x:c>
      <x:c r="BI86" s="73" t="str">
        <x:f>IF(C86="x",IF(COUNT(AO86,AD86)&lt;2,"",IFERROR(AO86/AD86,"")),"")</x:f>
      </x:c>
      <x:c r="BJ86" s="73" t="str">
        <x:f>IF(C86="x",IF(COUNT(AP86,AD86)&lt;2,"",IFERROR(AP86/AD86,"")),"")</x:f>
      </x:c>
      <x:c r="BK86" s="73" t="str">
        <x:f>IF(C86="x",IF(COUNT(AL86,AD86)&lt;2,"",IFERROR(AL86/AD86,"")),"")</x:f>
      </x:c>
      <x:c r="BL86" s="73" t="str">
        <x:f>IF(C86="x",IF(OR(COUNT(AD86)=0,COUNT(AR86,AS86)=0),"",IFERROR((AR86+AS86)/AD86,"")),"")</x:f>
      </x:c>
      <x:c r="BM86" s="73" t="str">
        <x:f>IF(AB86="xhs_save_rate",BA86,IF(AB86="xhs_completion_rate",BB86,IF(AB86="xhs_profile_visit_rate",BC86,IF(AB86="xhs_dm_intent_rate",BD86,IF(AB86="xhs_discussion_rate",BE86,IF(AB86="xhs_product_relevance_rate",BF86,IF(AB86="x_first_screen_engaged_rate_proxy",BG86,IF(AB86="x_qualified_reply_rate",BH86,IF(AB86="x_profile_click_rate",BI86,IF(AB86="x_link_intent_rate",BJ86,IF(AB86="x_bookmark_rate",BK86,IF(AB86="x_product_relevance_rate",BL86,""))))))))))))</x:f>
      </x:c>
      <x:c r="BN86" s="73" t="str">
        <x:f>IFERROR(BM86/AT86-1,"")</x:f>
      </x:c>
      <x:c r="BO86" s="73" t="str">
        <x:f>IF(AC86="","",IF(AC86="xhs_save_rate",BA86,IF(AC86="xhs_completion_rate",BB86,IF(AC86="xhs_profile_visit_rate",BC86,IF(AC86="xhs_dm_intent_rate",BD86,IF(AC86="xhs_discussion_rate",BE86,IF(AC86="xhs_product_relevance_rate",BF86,IF(AC86="x_first_screen_engaged_rate_proxy",BG86,IF(AC86="x_qualified_reply_rate",BH86,IF(AC86="x_profile_click_rate",BI86,IF(AC86="x_link_intent_rate",BJ86,IF(AC86="x_bookmark_rate",BK86,IF(AC86="x_product_relevance_rate",BL86,"")))))))))))))</x:f>
      </x:c>
      <x:c r="BP86" s="73" t="str">
        <x:f>IFERROR(BO86/AU86-1,"")</x:f>
      </x:c>
      <x:c r="BQ86" s="74" t="str">
        <x:f>IF(COUNT(AD86)=0,"",AD86)</x:f>
      </x:c>
      <x:c r="BR86" s="73" t="str">
        <x:f>IF(C86="xiaohongshu",IF(COUNT(BA86,BB86)=2,AVERAGE(BA86,BB86),IF(COUNT(BA86)=1,BA86,BB86)),BK86)</x:f>
      </x:c>
      <x:c r="BS86" s="73" t="str">
        <x:f>IF(C86="xiaohongshu",BE86,BH86)</x:f>
      </x:c>
      <x:c r="BT86" s="73" t="str">
        <x:f>IF(C86="xiaohongshu",IF(I86="save",BA86,IF(I86="discussion",BE86,IF(I86="profile_visit",BC86,IF(I86="dm",BD86,IF(OR(I86="product_question",I86="trial_intent"),BF86,""))))),IF(I86="save",BK86,IF(I86="discussion",BH86,IF(OR(I86="profile_visit",I86="dm"),BI86,IF(I86="link_click",BJ86,IF(OR(I86="product_question",I86="trial_intent"),BL86,""))))))</x:f>
      </x:c>
      <x:c r="BU86" s="73" t="str">
        <x:f>IF(C86="xiaohongshu",BF86,BL86)</x:f>
      </x:c>
      <x:c r="BV86" s="65" t="str">
        <x:f>IF(COUNT(BQ86,AV86)&lt;2,"unknown",IF(BQ86/AV86-1&gt;=0.2,"high",IF(BQ86/AV86-1&lt;=-0.2,"low","normal")))</x:f>
        <x:v>unknown</x:v>
      </x:c>
      <x:c r="BW86" s="65" t="str">
        <x:f>IF(COUNT(BR86,AW86)&lt;2,"unknown",IF(BR86/AW86-1&gt;=0.2,"high",IF(BR86/AW86-1&lt;=-0.2,"low","normal")))</x:f>
        <x:v>unknown</x:v>
      </x:c>
      <x:c r="BX86" s="65" t="str">
        <x:f>IF(COUNT(BS86,AX86)&lt;2,"unknown",IF(BS86/AX86-1&gt;=0.2,"high",IF(BS86/AX86-1&lt;=-0.2,"low","normal")))</x:f>
        <x:v>unknown</x:v>
      </x:c>
      <x:c r="BY86" s="65" t="str">
        <x:f>IF(COUNT(BT86,AY86)&lt;2,"unknown",IF(BT86/AY86-1&gt;=0.2,"high",IF(BT86/AY86-1&lt;=-0.2,"low","normal")))</x:f>
        <x:v>unknown</x:v>
      </x:c>
      <x:c r="BZ86" s="65" t="str">
        <x:f>IF(COUNT(BU86,AZ86)&lt;2,"unknown",IF(BU86/AZ86-1&gt;=0.2,"high",IF(BU86/AZ86-1&lt;=-0.2,"low","normal")))</x:f>
        <x:v>unknown</x:v>
      </x:c>
      <x:c r="CA86" s="65" t="str">
        <x:f>IF(T86&lt;&gt;"complete","pending",IF(OR(L86&lt;&gt;"pure",U86="true",COUNT(BM86,AT86)&lt;2,AND(AC86&lt;&gt;"",COUNT(BO86,AU86)&lt;2)),"not_attributable","attributable"))</x:f>
        <x:v>pending</x:v>
      </x:c>
      <x:c r="CB86" s="65" t="str">
        <x:f>IF(T86&lt;&gt;"complete","not_evaluated",IF(COUNT(BM86,AT86)&lt;2,"insufficient_data",IF(AND(AC86&lt;&gt;"",COUNT(BP86)=1,BP86&lt;=-0.2),"guardrail_fail",IF(AND(CA86="not_attributable",OR(BV86="high",BN86&gt;=0.2)),"watchlist",IF(CA86&lt;&gt;"attributable","insufficient_data",IF(BN86&gt;=0.2,"win",IF(BN86&lt;=-0.2,"loss","inconclusive")))))))</x:f>
        <x:v>not_evaluated</x:v>
      </x:c>
      <x:c r="CC86" s="65" t="str">
        <x:f>IF(T86&lt;&gt;"complete","COLLECT_MORE_DATA",IF(COUNT(BM86,AT86)&lt;2,"FIX_TRACKING",IF(CB86="guardrail_fail","STOP_VARIANT_GUARDRAIL",IF(CB86="watchlist","WATCHLIST_ONLY",IF(AND(BV86="high",BY86="low"),"KEEP_HOOK_REWRITE_CTA",IF(AND(BW86="high",BX86="low"),"KEEP_STRUCTURE_CHANGE_DISCUSSION_ANGLE",IF(AND(BX86="high",BZ86="low"),"DOWNWEIGHT_TEMPLATE",IF(CB86="win","RETEST_WINNER",IF(CB86="loss","RETURN_TO_BASELINE","COLLECT_MORE_DATA")))))))))</x:f>
        <x:v>COLLECT_MORE_DATA</x:v>
      </x:c>
      <x:c r="CD86" s="75"/>
    </x:row>
    <x:row r="87">
      <x:c r="A87" s="68"/>
      <x:c r="B87" s="69"/>
      <x:c r="C87" s="68"/>
      <x:c r="D87" s="68"/>
      <x:c r="E87" s="68"/>
      <x:c r="F87" s="68"/>
      <x:c r="G87" s="68"/>
      <x:c r="H87" s="70"/>
      <x:c r="I87" s="68"/>
      <x:c r="J87" s="68"/>
      <x:c r="K87" s="68"/>
      <x:c r="L87" s="71" t="str">
        <x:f>IF(K87="","unknown",IF(K87=0,"baseline",IF(K87=1,"pure","mixed")))</x:f>
        <x:v>unknown</x:v>
      </x:c>
      <x:c r="M87" s="68"/>
      <x:c r="N87" s="68"/>
      <x:c r="O87" s="68"/>
      <x:c r="P87" s="68"/>
      <x:c r="Q87" s="68"/>
      <x:c r="R87" s="68"/>
      <x:c r="S87" s="68"/>
      <x:c r="T87" s="68"/>
      <x:c r="U87" s="68"/>
      <x:c r="V87" s="68"/>
      <x:c r="W87" s="68"/>
      <x:c r="X87" s="68"/>
      <x:c r="Y87" s="68"/>
      <x:c r="Z87" s="68"/>
      <x:c r="AA87" s="68"/>
      <x:c r="AB87" s="68"/>
      <x:c r="AC87" s="68"/>
      <x:c r="AD87" s="70"/>
      <x:c r="AE87" s="70"/>
      <x:c r="AF87" s="70"/>
      <x:c r="AG87" s="70"/>
      <x:c r="AH87" s="70"/>
      <x:c r="AI87" s="70"/>
      <x:c r="AJ87" s="70"/>
      <x:c r="AK87" s="70"/>
      <x:c r="AL87" s="70"/>
      <x:c r="AM87" s="70"/>
      <x:c r="AN87" s="70"/>
      <x:c r="AO87" s="70"/>
      <x:c r="AP87" s="70"/>
      <x:c r="AQ87" s="70"/>
      <x:c r="AR87" s="70"/>
      <x:c r="AS87" s="70"/>
      <x:c r="AT87" s="72"/>
      <x:c r="AU87" s="72"/>
      <x:c r="AV87" s="72"/>
      <x:c r="AW87" s="72"/>
      <x:c r="AX87" s="72"/>
      <x:c r="AY87" s="72"/>
      <x:c r="AZ87" s="72"/>
      <x:c r="BA87" s="73" t="str">
        <x:f>IF(C87="xiaohongshu",IF(COUNT(AF87,AE87)&lt;2,"",IFERROR(AF87/AE87,"")),"")</x:f>
      </x:c>
      <x:c r="BB87" s="73" t="str">
        <x:f>IF(C87="xiaohongshu",IF(COUNT(AG87,AE87)&lt;2,"",IFERROR(AG87/AE87,"")),"")</x:f>
      </x:c>
      <x:c r="BC87" s="73" t="str">
        <x:f>IF(C87="xiaohongshu",IF(COUNT(AN87,AE87)&lt;2,"",IFERROR(AN87/AE87,"")),"")</x:f>
      </x:c>
      <x:c r="BD87" s="73" t="str">
        <x:f>IF(C87="xiaohongshu",IF(COUNT(AQ87,AE87)&lt;2,"",IFERROR(AQ87/AE87,"")),"")</x:f>
      </x:c>
      <x:c r="BE87" s="73" t="str">
        <x:f>IF(C87="xiaohongshu",IF(COUNT(AI87,AE87)&lt;2,"",IFERROR(AI87/AE87,"")),"")</x:f>
      </x:c>
      <x:c r="BF87" s="73" t="str">
        <x:f>IF(C87="xiaohongshu",IF(OR(COUNT(AE87)=0,COUNT(AR87,AS87)=0),"",IFERROR((AR87+AS87)/AE87,"")),"")</x:f>
      </x:c>
      <x:c r="BG87" s="73" t="str">
        <x:f>IF(C87="x",IF(COUNT(AD87)=0,"",IF(COUNT(AM87)=1,IFERROR(AM87/AD87,""),IF(COUNT(AH87,AI87,AK87,AL87)=0,"",IFERROR(SUM(AH87,AI87,AK87,AL87)/AD87,"")))),"")</x:f>
      </x:c>
      <x:c r="BH87" s="73" t="str">
        <x:f>IF(C87="x",IF(COUNT(AJ87,AD87)&lt;2,"",IFERROR(AJ87/AD87,"")),"")</x:f>
      </x:c>
      <x:c r="BI87" s="73" t="str">
        <x:f>IF(C87="x",IF(COUNT(AO87,AD87)&lt;2,"",IFERROR(AO87/AD87,"")),"")</x:f>
      </x:c>
      <x:c r="BJ87" s="73" t="str">
        <x:f>IF(C87="x",IF(COUNT(AP87,AD87)&lt;2,"",IFERROR(AP87/AD87,"")),"")</x:f>
      </x:c>
      <x:c r="BK87" s="73" t="str">
        <x:f>IF(C87="x",IF(COUNT(AL87,AD87)&lt;2,"",IFERROR(AL87/AD87,"")),"")</x:f>
      </x:c>
      <x:c r="BL87" s="73" t="str">
        <x:f>IF(C87="x",IF(OR(COUNT(AD87)=0,COUNT(AR87,AS87)=0),"",IFERROR((AR87+AS87)/AD87,"")),"")</x:f>
      </x:c>
      <x:c r="BM87" s="73" t="str">
        <x:f>IF(AB87="xhs_save_rate",BA87,IF(AB87="xhs_completion_rate",BB87,IF(AB87="xhs_profile_visit_rate",BC87,IF(AB87="xhs_dm_intent_rate",BD87,IF(AB87="xhs_discussion_rate",BE87,IF(AB87="xhs_product_relevance_rate",BF87,IF(AB87="x_first_screen_engaged_rate_proxy",BG87,IF(AB87="x_qualified_reply_rate",BH87,IF(AB87="x_profile_click_rate",BI87,IF(AB87="x_link_intent_rate",BJ87,IF(AB87="x_bookmark_rate",BK87,IF(AB87="x_product_relevance_rate",BL87,""))))))))))))</x:f>
      </x:c>
      <x:c r="BN87" s="73" t="str">
        <x:f>IFERROR(BM87/AT87-1,"")</x:f>
      </x:c>
      <x:c r="BO87" s="73" t="str">
        <x:f>IF(AC87="","",IF(AC87="xhs_save_rate",BA87,IF(AC87="xhs_completion_rate",BB87,IF(AC87="xhs_profile_visit_rate",BC87,IF(AC87="xhs_dm_intent_rate",BD87,IF(AC87="xhs_discussion_rate",BE87,IF(AC87="xhs_product_relevance_rate",BF87,IF(AC87="x_first_screen_engaged_rate_proxy",BG87,IF(AC87="x_qualified_reply_rate",BH87,IF(AC87="x_profile_click_rate",BI87,IF(AC87="x_link_intent_rate",BJ87,IF(AC87="x_bookmark_rate",BK87,IF(AC87="x_product_relevance_rate",BL87,"")))))))))))))</x:f>
      </x:c>
      <x:c r="BP87" s="73" t="str">
        <x:f>IFERROR(BO87/AU87-1,"")</x:f>
      </x:c>
      <x:c r="BQ87" s="74" t="str">
        <x:f>IF(COUNT(AD87)=0,"",AD87)</x:f>
      </x:c>
      <x:c r="BR87" s="73" t="str">
        <x:f>IF(C87="xiaohongshu",IF(COUNT(BA87,BB87)=2,AVERAGE(BA87,BB87),IF(COUNT(BA87)=1,BA87,BB87)),BK87)</x:f>
      </x:c>
      <x:c r="BS87" s="73" t="str">
        <x:f>IF(C87="xiaohongshu",BE87,BH87)</x:f>
      </x:c>
      <x:c r="BT87" s="73" t="str">
        <x:f>IF(C87="xiaohongshu",IF(I87="save",BA87,IF(I87="discussion",BE87,IF(I87="profile_visit",BC87,IF(I87="dm",BD87,IF(OR(I87="product_question",I87="trial_intent"),BF87,""))))),IF(I87="save",BK87,IF(I87="discussion",BH87,IF(OR(I87="profile_visit",I87="dm"),BI87,IF(I87="link_click",BJ87,IF(OR(I87="product_question",I87="trial_intent"),BL87,""))))))</x:f>
      </x:c>
      <x:c r="BU87" s="73" t="str">
        <x:f>IF(C87="xiaohongshu",BF87,BL87)</x:f>
      </x:c>
      <x:c r="BV87" s="65" t="str">
        <x:f>IF(COUNT(BQ87,AV87)&lt;2,"unknown",IF(BQ87/AV87-1&gt;=0.2,"high",IF(BQ87/AV87-1&lt;=-0.2,"low","normal")))</x:f>
        <x:v>unknown</x:v>
      </x:c>
      <x:c r="BW87" s="65" t="str">
        <x:f>IF(COUNT(BR87,AW87)&lt;2,"unknown",IF(BR87/AW87-1&gt;=0.2,"high",IF(BR87/AW87-1&lt;=-0.2,"low","normal")))</x:f>
        <x:v>unknown</x:v>
      </x:c>
      <x:c r="BX87" s="65" t="str">
        <x:f>IF(COUNT(BS87,AX87)&lt;2,"unknown",IF(BS87/AX87-1&gt;=0.2,"high",IF(BS87/AX87-1&lt;=-0.2,"low","normal")))</x:f>
        <x:v>unknown</x:v>
      </x:c>
      <x:c r="BY87" s="65" t="str">
        <x:f>IF(COUNT(BT87,AY87)&lt;2,"unknown",IF(BT87/AY87-1&gt;=0.2,"high",IF(BT87/AY87-1&lt;=-0.2,"low","normal")))</x:f>
        <x:v>unknown</x:v>
      </x:c>
      <x:c r="BZ87" s="65" t="str">
        <x:f>IF(COUNT(BU87,AZ87)&lt;2,"unknown",IF(BU87/AZ87-1&gt;=0.2,"high",IF(BU87/AZ87-1&lt;=-0.2,"low","normal")))</x:f>
        <x:v>unknown</x:v>
      </x:c>
      <x:c r="CA87" s="65" t="str">
        <x:f>IF(T87&lt;&gt;"complete","pending",IF(OR(L87&lt;&gt;"pure",U87="true",COUNT(BM87,AT87)&lt;2,AND(AC87&lt;&gt;"",COUNT(BO87,AU87)&lt;2)),"not_attributable","attributable"))</x:f>
        <x:v>pending</x:v>
      </x:c>
      <x:c r="CB87" s="65" t="str">
        <x:f>IF(T87&lt;&gt;"complete","not_evaluated",IF(COUNT(BM87,AT87)&lt;2,"insufficient_data",IF(AND(AC87&lt;&gt;"",COUNT(BP87)=1,BP87&lt;=-0.2),"guardrail_fail",IF(AND(CA87="not_attributable",OR(BV87="high",BN87&gt;=0.2)),"watchlist",IF(CA87&lt;&gt;"attributable","insufficient_data",IF(BN87&gt;=0.2,"win",IF(BN87&lt;=-0.2,"loss","inconclusive")))))))</x:f>
        <x:v>not_evaluated</x:v>
      </x:c>
      <x:c r="CC87" s="65" t="str">
        <x:f>IF(T87&lt;&gt;"complete","COLLECT_MORE_DATA",IF(COUNT(BM87,AT87)&lt;2,"FIX_TRACKING",IF(CB87="guardrail_fail","STOP_VARIANT_GUARDRAIL",IF(CB87="watchlist","WATCHLIST_ONLY",IF(AND(BV87="high",BY87="low"),"KEEP_HOOK_REWRITE_CTA",IF(AND(BW87="high",BX87="low"),"KEEP_STRUCTURE_CHANGE_DISCUSSION_ANGLE",IF(AND(BX87="high",BZ87="low"),"DOWNWEIGHT_TEMPLATE",IF(CB87="win","RETEST_WINNER",IF(CB87="loss","RETURN_TO_BASELINE","COLLECT_MORE_DATA")))))))))</x:f>
        <x:v>COLLECT_MORE_DATA</x:v>
      </x:c>
      <x:c r="CD87" s="75"/>
    </x:row>
    <x:row r="88">
      <x:c r="A88" s="68"/>
      <x:c r="B88" s="69"/>
      <x:c r="C88" s="68"/>
      <x:c r="D88" s="68"/>
      <x:c r="E88" s="68"/>
      <x:c r="F88" s="68"/>
      <x:c r="G88" s="68"/>
      <x:c r="H88" s="70"/>
      <x:c r="I88" s="68"/>
      <x:c r="J88" s="68"/>
      <x:c r="K88" s="68"/>
      <x:c r="L88" s="71" t="str">
        <x:f>IF(K88="","unknown",IF(K88=0,"baseline",IF(K88=1,"pure","mixed")))</x:f>
        <x:v>unknown</x:v>
      </x:c>
      <x:c r="M88" s="68"/>
      <x:c r="N88" s="68"/>
      <x:c r="O88" s="68"/>
      <x:c r="P88" s="68"/>
      <x:c r="Q88" s="68"/>
      <x:c r="R88" s="68"/>
      <x:c r="S88" s="68"/>
      <x:c r="T88" s="68"/>
      <x:c r="U88" s="68"/>
      <x:c r="V88" s="68"/>
      <x:c r="W88" s="68"/>
      <x:c r="X88" s="68"/>
      <x:c r="Y88" s="68"/>
      <x:c r="Z88" s="68"/>
      <x:c r="AA88" s="68"/>
      <x:c r="AB88" s="68"/>
      <x:c r="AC88" s="68"/>
      <x:c r="AD88" s="70"/>
      <x:c r="AE88" s="70"/>
      <x:c r="AF88" s="70"/>
      <x:c r="AG88" s="70"/>
      <x:c r="AH88" s="70"/>
      <x:c r="AI88" s="70"/>
      <x:c r="AJ88" s="70"/>
      <x:c r="AK88" s="70"/>
      <x:c r="AL88" s="70"/>
      <x:c r="AM88" s="70"/>
      <x:c r="AN88" s="70"/>
      <x:c r="AO88" s="70"/>
      <x:c r="AP88" s="70"/>
      <x:c r="AQ88" s="70"/>
      <x:c r="AR88" s="70"/>
      <x:c r="AS88" s="70"/>
      <x:c r="AT88" s="72"/>
      <x:c r="AU88" s="72"/>
      <x:c r="AV88" s="72"/>
      <x:c r="AW88" s="72"/>
      <x:c r="AX88" s="72"/>
      <x:c r="AY88" s="72"/>
      <x:c r="AZ88" s="72"/>
      <x:c r="BA88" s="73" t="str">
        <x:f>IF(C88="xiaohongshu",IF(COUNT(AF88,AE88)&lt;2,"",IFERROR(AF88/AE88,"")),"")</x:f>
      </x:c>
      <x:c r="BB88" s="73" t="str">
        <x:f>IF(C88="xiaohongshu",IF(COUNT(AG88,AE88)&lt;2,"",IFERROR(AG88/AE88,"")),"")</x:f>
      </x:c>
      <x:c r="BC88" s="73" t="str">
        <x:f>IF(C88="xiaohongshu",IF(COUNT(AN88,AE88)&lt;2,"",IFERROR(AN88/AE88,"")),"")</x:f>
      </x:c>
      <x:c r="BD88" s="73" t="str">
        <x:f>IF(C88="xiaohongshu",IF(COUNT(AQ88,AE88)&lt;2,"",IFERROR(AQ88/AE88,"")),"")</x:f>
      </x:c>
      <x:c r="BE88" s="73" t="str">
        <x:f>IF(C88="xiaohongshu",IF(COUNT(AI88,AE88)&lt;2,"",IFERROR(AI88/AE88,"")),"")</x:f>
      </x:c>
      <x:c r="BF88" s="73" t="str">
        <x:f>IF(C88="xiaohongshu",IF(OR(COUNT(AE88)=0,COUNT(AR88,AS88)=0),"",IFERROR((AR88+AS88)/AE88,"")),"")</x:f>
      </x:c>
      <x:c r="BG88" s="73" t="str">
        <x:f>IF(C88="x",IF(COUNT(AD88)=0,"",IF(COUNT(AM88)=1,IFERROR(AM88/AD88,""),IF(COUNT(AH88,AI88,AK88,AL88)=0,"",IFERROR(SUM(AH88,AI88,AK88,AL88)/AD88,"")))),"")</x:f>
      </x:c>
      <x:c r="BH88" s="73" t="str">
        <x:f>IF(C88="x",IF(COUNT(AJ88,AD88)&lt;2,"",IFERROR(AJ88/AD88,"")),"")</x:f>
      </x:c>
      <x:c r="BI88" s="73" t="str">
        <x:f>IF(C88="x",IF(COUNT(AO88,AD88)&lt;2,"",IFERROR(AO88/AD88,"")),"")</x:f>
      </x:c>
      <x:c r="BJ88" s="73" t="str">
        <x:f>IF(C88="x",IF(COUNT(AP88,AD88)&lt;2,"",IFERROR(AP88/AD88,"")),"")</x:f>
      </x:c>
      <x:c r="BK88" s="73" t="str">
        <x:f>IF(C88="x",IF(COUNT(AL88,AD88)&lt;2,"",IFERROR(AL88/AD88,"")),"")</x:f>
      </x:c>
      <x:c r="BL88" s="73" t="str">
        <x:f>IF(C88="x",IF(OR(COUNT(AD88)=0,COUNT(AR88,AS88)=0),"",IFERROR((AR88+AS88)/AD88,"")),"")</x:f>
      </x:c>
      <x:c r="BM88" s="73" t="str">
        <x:f>IF(AB88="xhs_save_rate",BA88,IF(AB88="xhs_completion_rate",BB88,IF(AB88="xhs_profile_visit_rate",BC88,IF(AB88="xhs_dm_intent_rate",BD88,IF(AB88="xhs_discussion_rate",BE88,IF(AB88="xhs_product_relevance_rate",BF88,IF(AB88="x_first_screen_engaged_rate_proxy",BG88,IF(AB88="x_qualified_reply_rate",BH88,IF(AB88="x_profile_click_rate",BI88,IF(AB88="x_link_intent_rate",BJ88,IF(AB88="x_bookmark_rate",BK88,IF(AB88="x_product_relevance_rate",BL88,""))))))))))))</x:f>
      </x:c>
      <x:c r="BN88" s="73" t="str">
        <x:f>IFERROR(BM88/AT88-1,"")</x:f>
      </x:c>
      <x:c r="BO88" s="73" t="str">
        <x:f>IF(AC88="","",IF(AC88="xhs_save_rate",BA88,IF(AC88="xhs_completion_rate",BB88,IF(AC88="xhs_profile_visit_rate",BC88,IF(AC88="xhs_dm_intent_rate",BD88,IF(AC88="xhs_discussion_rate",BE88,IF(AC88="xhs_product_relevance_rate",BF88,IF(AC88="x_first_screen_engaged_rate_proxy",BG88,IF(AC88="x_qualified_reply_rate",BH88,IF(AC88="x_profile_click_rate",BI88,IF(AC88="x_link_intent_rate",BJ88,IF(AC88="x_bookmark_rate",BK88,IF(AC88="x_product_relevance_rate",BL88,"")))))))))))))</x:f>
      </x:c>
      <x:c r="BP88" s="73" t="str">
        <x:f>IFERROR(BO88/AU88-1,"")</x:f>
      </x:c>
      <x:c r="BQ88" s="74" t="str">
        <x:f>IF(COUNT(AD88)=0,"",AD88)</x:f>
      </x:c>
      <x:c r="BR88" s="73" t="str">
        <x:f>IF(C88="xiaohongshu",IF(COUNT(BA88,BB88)=2,AVERAGE(BA88,BB88),IF(COUNT(BA88)=1,BA88,BB88)),BK88)</x:f>
      </x:c>
      <x:c r="BS88" s="73" t="str">
        <x:f>IF(C88="xiaohongshu",BE88,BH88)</x:f>
      </x:c>
      <x:c r="BT88" s="73" t="str">
        <x:f>IF(C88="xiaohongshu",IF(I88="save",BA88,IF(I88="discussion",BE88,IF(I88="profile_visit",BC88,IF(I88="dm",BD88,IF(OR(I88="product_question",I88="trial_intent"),BF88,""))))),IF(I88="save",BK88,IF(I88="discussion",BH88,IF(OR(I88="profile_visit",I88="dm"),BI88,IF(I88="link_click",BJ88,IF(OR(I88="product_question",I88="trial_intent"),BL88,""))))))</x:f>
      </x:c>
      <x:c r="BU88" s="73" t="str">
        <x:f>IF(C88="xiaohongshu",BF88,BL88)</x:f>
      </x:c>
      <x:c r="BV88" s="65" t="str">
        <x:f>IF(COUNT(BQ88,AV88)&lt;2,"unknown",IF(BQ88/AV88-1&gt;=0.2,"high",IF(BQ88/AV88-1&lt;=-0.2,"low","normal")))</x:f>
        <x:v>unknown</x:v>
      </x:c>
      <x:c r="BW88" s="65" t="str">
        <x:f>IF(COUNT(BR88,AW88)&lt;2,"unknown",IF(BR88/AW88-1&gt;=0.2,"high",IF(BR88/AW88-1&lt;=-0.2,"low","normal")))</x:f>
        <x:v>unknown</x:v>
      </x:c>
      <x:c r="BX88" s="65" t="str">
        <x:f>IF(COUNT(BS88,AX88)&lt;2,"unknown",IF(BS88/AX88-1&gt;=0.2,"high",IF(BS88/AX88-1&lt;=-0.2,"low","normal")))</x:f>
        <x:v>unknown</x:v>
      </x:c>
      <x:c r="BY88" s="65" t="str">
        <x:f>IF(COUNT(BT88,AY88)&lt;2,"unknown",IF(BT88/AY88-1&gt;=0.2,"high",IF(BT88/AY88-1&lt;=-0.2,"low","normal")))</x:f>
        <x:v>unknown</x:v>
      </x:c>
      <x:c r="BZ88" s="65" t="str">
        <x:f>IF(COUNT(BU88,AZ88)&lt;2,"unknown",IF(BU88/AZ88-1&gt;=0.2,"high",IF(BU88/AZ88-1&lt;=-0.2,"low","normal")))</x:f>
        <x:v>unknown</x:v>
      </x:c>
      <x:c r="CA88" s="65" t="str">
        <x:f>IF(T88&lt;&gt;"complete","pending",IF(OR(L88&lt;&gt;"pure",U88="true",COUNT(BM88,AT88)&lt;2,AND(AC88&lt;&gt;"",COUNT(BO88,AU88)&lt;2)),"not_attributable","attributable"))</x:f>
        <x:v>pending</x:v>
      </x:c>
      <x:c r="CB88" s="65" t="str">
        <x:f>IF(T88&lt;&gt;"complete","not_evaluated",IF(COUNT(BM88,AT88)&lt;2,"insufficient_data",IF(AND(AC88&lt;&gt;"",COUNT(BP88)=1,BP88&lt;=-0.2),"guardrail_fail",IF(AND(CA88="not_attributable",OR(BV88="high",BN88&gt;=0.2)),"watchlist",IF(CA88&lt;&gt;"attributable","insufficient_data",IF(BN88&gt;=0.2,"win",IF(BN88&lt;=-0.2,"loss","inconclusive")))))))</x:f>
        <x:v>not_evaluated</x:v>
      </x:c>
      <x:c r="CC88" s="65" t="str">
        <x:f>IF(T88&lt;&gt;"complete","COLLECT_MORE_DATA",IF(COUNT(BM88,AT88)&lt;2,"FIX_TRACKING",IF(CB88="guardrail_fail","STOP_VARIANT_GUARDRAIL",IF(CB88="watchlist","WATCHLIST_ONLY",IF(AND(BV88="high",BY88="low"),"KEEP_HOOK_REWRITE_CTA",IF(AND(BW88="high",BX88="low"),"KEEP_STRUCTURE_CHANGE_DISCUSSION_ANGLE",IF(AND(BX88="high",BZ88="low"),"DOWNWEIGHT_TEMPLATE",IF(CB88="win","RETEST_WINNER",IF(CB88="loss","RETURN_TO_BASELINE","COLLECT_MORE_DATA")))))))))</x:f>
        <x:v>COLLECT_MORE_DATA</x:v>
      </x:c>
      <x:c r="CD88" s="75"/>
    </x:row>
    <x:row r="89">
      <x:c r="A89" s="68"/>
      <x:c r="B89" s="69"/>
      <x:c r="C89" s="68"/>
      <x:c r="D89" s="68"/>
      <x:c r="E89" s="68"/>
      <x:c r="F89" s="68"/>
      <x:c r="G89" s="68"/>
      <x:c r="H89" s="70"/>
      <x:c r="I89" s="68"/>
      <x:c r="J89" s="68"/>
      <x:c r="K89" s="68"/>
      <x:c r="L89" s="71" t="str">
        <x:f>IF(K89="","unknown",IF(K89=0,"baseline",IF(K89=1,"pure","mixed")))</x:f>
        <x:v>unknown</x:v>
      </x:c>
      <x:c r="M89" s="68"/>
      <x:c r="N89" s="68"/>
      <x:c r="O89" s="68"/>
      <x:c r="P89" s="68"/>
      <x:c r="Q89" s="68"/>
      <x:c r="R89" s="68"/>
      <x:c r="S89" s="68"/>
      <x:c r="T89" s="68"/>
      <x:c r="U89" s="68"/>
      <x:c r="V89" s="68"/>
      <x:c r="W89" s="68"/>
      <x:c r="X89" s="68"/>
      <x:c r="Y89" s="68"/>
      <x:c r="Z89" s="68"/>
      <x:c r="AA89" s="68"/>
      <x:c r="AB89" s="68"/>
      <x:c r="AC89" s="68"/>
      <x:c r="AD89" s="70"/>
      <x:c r="AE89" s="70"/>
      <x:c r="AF89" s="70"/>
      <x:c r="AG89" s="70"/>
      <x:c r="AH89" s="70"/>
      <x:c r="AI89" s="70"/>
      <x:c r="AJ89" s="70"/>
      <x:c r="AK89" s="70"/>
      <x:c r="AL89" s="70"/>
      <x:c r="AM89" s="70"/>
      <x:c r="AN89" s="70"/>
      <x:c r="AO89" s="70"/>
      <x:c r="AP89" s="70"/>
      <x:c r="AQ89" s="70"/>
      <x:c r="AR89" s="70"/>
      <x:c r="AS89" s="70"/>
      <x:c r="AT89" s="72"/>
      <x:c r="AU89" s="72"/>
      <x:c r="AV89" s="72"/>
      <x:c r="AW89" s="72"/>
      <x:c r="AX89" s="72"/>
      <x:c r="AY89" s="72"/>
      <x:c r="AZ89" s="72"/>
      <x:c r="BA89" s="73" t="str">
        <x:f>IF(C89="xiaohongshu",IF(COUNT(AF89,AE89)&lt;2,"",IFERROR(AF89/AE89,"")),"")</x:f>
      </x:c>
      <x:c r="BB89" s="73" t="str">
        <x:f>IF(C89="xiaohongshu",IF(COUNT(AG89,AE89)&lt;2,"",IFERROR(AG89/AE89,"")),"")</x:f>
      </x:c>
      <x:c r="BC89" s="73" t="str">
        <x:f>IF(C89="xiaohongshu",IF(COUNT(AN89,AE89)&lt;2,"",IFERROR(AN89/AE89,"")),"")</x:f>
      </x:c>
      <x:c r="BD89" s="73" t="str">
        <x:f>IF(C89="xiaohongshu",IF(COUNT(AQ89,AE89)&lt;2,"",IFERROR(AQ89/AE89,"")),"")</x:f>
      </x:c>
      <x:c r="BE89" s="73" t="str">
        <x:f>IF(C89="xiaohongshu",IF(COUNT(AI89,AE89)&lt;2,"",IFERROR(AI89/AE89,"")),"")</x:f>
      </x:c>
      <x:c r="BF89" s="73" t="str">
        <x:f>IF(C89="xiaohongshu",IF(OR(COUNT(AE89)=0,COUNT(AR89,AS89)=0),"",IFERROR((AR89+AS89)/AE89,"")),"")</x:f>
      </x:c>
      <x:c r="BG89" s="73" t="str">
        <x:f>IF(C89="x",IF(COUNT(AD89)=0,"",IF(COUNT(AM89)=1,IFERROR(AM89/AD89,""),IF(COUNT(AH89,AI89,AK89,AL89)=0,"",IFERROR(SUM(AH89,AI89,AK89,AL89)/AD89,"")))),"")</x:f>
      </x:c>
      <x:c r="BH89" s="73" t="str">
        <x:f>IF(C89="x",IF(COUNT(AJ89,AD89)&lt;2,"",IFERROR(AJ89/AD89,"")),"")</x:f>
      </x:c>
      <x:c r="BI89" s="73" t="str">
        <x:f>IF(C89="x",IF(COUNT(AO89,AD89)&lt;2,"",IFERROR(AO89/AD89,"")),"")</x:f>
      </x:c>
      <x:c r="BJ89" s="73" t="str">
        <x:f>IF(C89="x",IF(COUNT(AP89,AD89)&lt;2,"",IFERROR(AP89/AD89,"")),"")</x:f>
      </x:c>
      <x:c r="BK89" s="73" t="str">
        <x:f>IF(C89="x",IF(COUNT(AL89,AD89)&lt;2,"",IFERROR(AL89/AD89,"")),"")</x:f>
      </x:c>
      <x:c r="BL89" s="73" t="str">
        <x:f>IF(C89="x",IF(OR(COUNT(AD89)=0,COUNT(AR89,AS89)=0),"",IFERROR((AR89+AS89)/AD89,"")),"")</x:f>
      </x:c>
      <x:c r="BM89" s="73" t="str">
        <x:f>IF(AB89="xhs_save_rate",BA89,IF(AB89="xhs_completion_rate",BB89,IF(AB89="xhs_profile_visit_rate",BC89,IF(AB89="xhs_dm_intent_rate",BD89,IF(AB89="xhs_discussion_rate",BE89,IF(AB89="xhs_product_relevance_rate",BF89,IF(AB89="x_first_screen_engaged_rate_proxy",BG89,IF(AB89="x_qualified_reply_rate",BH89,IF(AB89="x_profile_click_rate",BI89,IF(AB89="x_link_intent_rate",BJ89,IF(AB89="x_bookmark_rate",BK89,IF(AB89="x_product_relevance_rate",BL89,""))))))))))))</x:f>
      </x:c>
      <x:c r="BN89" s="73" t="str">
        <x:f>IFERROR(BM89/AT89-1,"")</x:f>
      </x:c>
      <x:c r="BO89" s="73" t="str">
        <x:f>IF(AC89="","",IF(AC89="xhs_save_rate",BA89,IF(AC89="xhs_completion_rate",BB89,IF(AC89="xhs_profile_visit_rate",BC89,IF(AC89="xhs_dm_intent_rate",BD89,IF(AC89="xhs_discussion_rate",BE89,IF(AC89="xhs_product_relevance_rate",BF89,IF(AC89="x_first_screen_engaged_rate_proxy",BG89,IF(AC89="x_qualified_reply_rate",BH89,IF(AC89="x_profile_click_rate",BI89,IF(AC89="x_link_intent_rate",BJ89,IF(AC89="x_bookmark_rate",BK89,IF(AC89="x_product_relevance_rate",BL89,"")))))))))))))</x:f>
      </x:c>
      <x:c r="BP89" s="73" t="str">
        <x:f>IFERROR(BO89/AU89-1,"")</x:f>
      </x:c>
      <x:c r="BQ89" s="74" t="str">
        <x:f>IF(COUNT(AD89)=0,"",AD89)</x:f>
      </x:c>
      <x:c r="BR89" s="73" t="str">
        <x:f>IF(C89="xiaohongshu",IF(COUNT(BA89,BB89)=2,AVERAGE(BA89,BB89),IF(COUNT(BA89)=1,BA89,BB89)),BK89)</x:f>
      </x:c>
      <x:c r="BS89" s="73" t="str">
        <x:f>IF(C89="xiaohongshu",BE89,BH89)</x:f>
      </x:c>
      <x:c r="BT89" s="73" t="str">
        <x:f>IF(C89="xiaohongshu",IF(I89="save",BA89,IF(I89="discussion",BE89,IF(I89="profile_visit",BC89,IF(I89="dm",BD89,IF(OR(I89="product_question",I89="trial_intent"),BF89,""))))),IF(I89="save",BK89,IF(I89="discussion",BH89,IF(OR(I89="profile_visit",I89="dm"),BI89,IF(I89="link_click",BJ89,IF(OR(I89="product_question",I89="trial_intent"),BL89,""))))))</x:f>
      </x:c>
      <x:c r="BU89" s="73" t="str">
        <x:f>IF(C89="xiaohongshu",BF89,BL89)</x:f>
      </x:c>
      <x:c r="BV89" s="65" t="str">
        <x:f>IF(COUNT(BQ89,AV89)&lt;2,"unknown",IF(BQ89/AV89-1&gt;=0.2,"high",IF(BQ89/AV89-1&lt;=-0.2,"low","normal")))</x:f>
        <x:v>unknown</x:v>
      </x:c>
      <x:c r="BW89" s="65" t="str">
        <x:f>IF(COUNT(BR89,AW89)&lt;2,"unknown",IF(BR89/AW89-1&gt;=0.2,"high",IF(BR89/AW89-1&lt;=-0.2,"low","normal")))</x:f>
        <x:v>unknown</x:v>
      </x:c>
      <x:c r="BX89" s="65" t="str">
        <x:f>IF(COUNT(BS89,AX89)&lt;2,"unknown",IF(BS89/AX89-1&gt;=0.2,"high",IF(BS89/AX89-1&lt;=-0.2,"low","normal")))</x:f>
        <x:v>unknown</x:v>
      </x:c>
      <x:c r="BY89" s="65" t="str">
        <x:f>IF(COUNT(BT89,AY89)&lt;2,"unknown",IF(BT89/AY89-1&gt;=0.2,"high",IF(BT89/AY89-1&lt;=-0.2,"low","normal")))</x:f>
        <x:v>unknown</x:v>
      </x:c>
      <x:c r="BZ89" s="65" t="str">
        <x:f>IF(COUNT(BU89,AZ89)&lt;2,"unknown",IF(BU89/AZ89-1&gt;=0.2,"high",IF(BU89/AZ89-1&lt;=-0.2,"low","normal")))</x:f>
        <x:v>unknown</x:v>
      </x:c>
      <x:c r="CA89" s="65" t="str">
        <x:f>IF(T89&lt;&gt;"complete","pending",IF(OR(L89&lt;&gt;"pure",U89="true",COUNT(BM89,AT89)&lt;2,AND(AC89&lt;&gt;"",COUNT(BO89,AU89)&lt;2)),"not_attributable","attributable"))</x:f>
        <x:v>pending</x:v>
      </x:c>
      <x:c r="CB89" s="65" t="str">
        <x:f>IF(T89&lt;&gt;"complete","not_evaluated",IF(COUNT(BM89,AT89)&lt;2,"insufficient_data",IF(AND(AC89&lt;&gt;"",COUNT(BP89)=1,BP89&lt;=-0.2),"guardrail_fail",IF(AND(CA89="not_attributable",OR(BV89="high",BN89&gt;=0.2)),"watchlist",IF(CA89&lt;&gt;"attributable","insufficient_data",IF(BN89&gt;=0.2,"win",IF(BN89&lt;=-0.2,"loss","inconclusive")))))))</x:f>
        <x:v>not_evaluated</x:v>
      </x:c>
      <x:c r="CC89" s="65" t="str">
        <x:f>IF(T89&lt;&gt;"complete","COLLECT_MORE_DATA",IF(COUNT(BM89,AT89)&lt;2,"FIX_TRACKING",IF(CB89="guardrail_fail","STOP_VARIANT_GUARDRAIL",IF(CB89="watchlist","WATCHLIST_ONLY",IF(AND(BV89="high",BY89="low"),"KEEP_HOOK_REWRITE_CTA",IF(AND(BW89="high",BX89="low"),"KEEP_STRUCTURE_CHANGE_DISCUSSION_ANGLE",IF(AND(BX89="high",BZ89="low"),"DOWNWEIGHT_TEMPLATE",IF(CB89="win","RETEST_WINNER",IF(CB89="loss","RETURN_TO_BASELINE","COLLECT_MORE_DATA")))))))))</x:f>
        <x:v>COLLECT_MORE_DATA</x:v>
      </x:c>
      <x:c r="CD89" s="75"/>
    </x:row>
    <x:row r="90">
      <x:c r="A90" s="68"/>
      <x:c r="B90" s="69"/>
      <x:c r="C90" s="68"/>
      <x:c r="D90" s="68"/>
      <x:c r="E90" s="68"/>
      <x:c r="F90" s="68"/>
      <x:c r="G90" s="68"/>
      <x:c r="H90" s="70"/>
      <x:c r="I90" s="68"/>
      <x:c r="J90" s="68"/>
      <x:c r="K90" s="68"/>
      <x:c r="L90" s="71" t="str">
        <x:f>IF(K90="","unknown",IF(K90=0,"baseline",IF(K90=1,"pure","mixed")))</x:f>
        <x:v>unknown</x:v>
      </x:c>
      <x:c r="M90" s="68"/>
      <x:c r="N90" s="68"/>
      <x:c r="O90" s="68"/>
      <x:c r="P90" s="68"/>
      <x:c r="Q90" s="68"/>
      <x:c r="R90" s="68"/>
      <x:c r="S90" s="68"/>
      <x:c r="T90" s="68"/>
      <x:c r="U90" s="68"/>
      <x:c r="V90" s="68"/>
      <x:c r="W90" s="68"/>
      <x:c r="X90" s="68"/>
      <x:c r="Y90" s="68"/>
      <x:c r="Z90" s="68"/>
      <x:c r="AA90" s="68"/>
      <x:c r="AB90" s="68"/>
      <x:c r="AC90" s="68"/>
      <x:c r="AD90" s="70"/>
      <x:c r="AE90" s="70"/>
      <x:c r="AF90" s="70"/>
      <x:c r="AG90" s="70"/>
      <x:c r="AH90" s="70"/>
      <x:c r="AI90" s="70"/>
      <x:c r="AJ90" s="70"/>
      <x:c r="AK90" s="70"/>
      <x:c r="AL90" s="70"/>
      <x:c r="AM90" s="70"/>
      <x:c r="AN90" s="70"/>
      <x:c r="AO90" s="70"/>
      <x:c r="AP90" s="70"/>
      <x:c r="AQ90" s="70"/>
      <x:c r="AR90" s="70"/>
      <x:c r="AS90" s="70"/>
      <x:c r="AT90" s="72"/>
      <x:c r="AU90" s="72"/>
      <x:c r="AV90" s="72"/>
      <x:c r="AW90" s="72"/>
      <x:c r="AX90" s="72"/>
      <x:c r="AY90" s="72"/>
      <x:c r="AZ90" s="72"/>
      <x:c r="BA90" s="73" t="str">
        <x:f>IF(C90="xiaohongshu",IF(COUNT(AF90,AE90)&lt;2,"",IFERROR(AF90/AE90,"")),"")</x:f>
      </x:c>
      <x:c r="BB90" s="73" t="str">
        <x:f>IF(C90="xiaohongshu",IF(COUNT(AG90,AE90)&lt;2,"",IFERROR(AG90/AE90,"")),"")</x:f>
      </x:c>
      <x:c r="BC90" s="73" t="str">
        <x:f>IF(C90="xiaohongshu",IF(COUNT(AN90,AE90)&lt;2,"",IFERROR(AN90/AE90,"")),"")</x:f>
      </x:c>
      <x:c r="BD90" s="73" t="str">
        <x:f>IF(C90="xiaohongshu",IF(COUNT(AQ90,AE90)&lt;2,"",IFERROR(AQ90/AE90,"")),"")</x:f>
      </x:c>
      <x:c r="BE90" s="73" t="str">
        <x:f>IF(C90="xiaohongshu",IF(COUNT(AI90,AE90)&lt;2,"",IFERROR(AI90/AE90,"")),"")</x:f>
      </x:c>
      <x:c r="BF90" s="73" t="str">
        <x:f>IF(C90="xiaohongshu",IF(OR(COUNT(AE90)=0,COUNT(AR90,AS90)=0),"",IFERROR((AR90+AS90)/AE90,"")),"")</x:f>
      </x:c>
      <x:c r="BG90" s="73" t="str">
        <x:f>IF(C90="x",IF(COUNT(AD90)=0,"",IF(COUNT(AM90)=1,IFERROR(AM90/AD90,""),IF(COUNT(AH90,AI90,AK90,AL90)=0,"",IFERROR(SUM(AH90,AI90,AK90,AL90)/AD90,"")))),"")</x:f>
      </x:c>
      <x:c r="BH90" s="73" t="str">
        <x:f>IF(C90="x",IF(COUNT(AJ90,AD90)&lt;2,"",IFERROR(AJ90/AD90,"")),"")</x:f>
      </x:c>
      <x:c r="BI90" s="73" t="str">
        <x:f>IF(C90="x",IF(COUNT(AO90,AD90)&lt;2,"",IFERROR(AO90/AD90,"")),"")</x:f>
      </x:c>
      <x:c r="BJ90" s="73" t="str">
        <x:f>IF(C90="x",IF(COUNT(AP90,AD90)&lt;2,"",IFERROR(AP90/AD90,"")),"")</x:f>
      </x:c>
      <x:c r="BK90" s="73" t="str">
        <x:f>IF(C90="x",IF(COUNT(AL90,AD90)&lt;2,"",IFERROR(AL90/AD90,"")),"")</x:f>
      </x:c>
      <x:c r="BL90" s="73" t="str">
        <x:f>IF(C90="x",IF(OR(COUNT(AD90)=0,COUNT(AR90,AS90)=0),"",IFERROR((AR90+AS90)/AD90,"")),"")</x:f>
      </x:c>
      <x:c r="BM90" s="73" t="str">
        <x:f>IF(AB90="xhs_save_rate",BA90,IF(AB90="xhs_completion_rate",BB90,IF(AB90="xhs_profile_visit_rate",BC90,IF(AB90="xhs_dm_intent_rate",BD90,IF(AB90="xhs_discussion_rate",BE90,IF(AB90="xhs_product_relevance_rate",BF90,IF(AB90="x_first_screen_engaged_rate_proxy",BG90,IF(AB90="x_qualified_reply_rate",BH90,IF(AB90="x_profile_click_rate",BI90,IF(AB90="x_link_intent_rate",BJ90,IF(AB90="x_bookmark_rate",BK90,IF(AB90="x_product_relevance_rate",BL90,""))))))))))))</x:f>
      </x:c>
      <x:c r="BN90" s="73" t="str">
        <x:f>IFERROR(BM90/AT90-1,"")</x:f>
      </x:c>
      <x:c r="BO90" s="73" t="str">
        <x:f>IF(AC90="","",IF(AC90="xhs_save_rate",BA90,IF(AC90="xhs_completion_rate",BB90,IF(AC90="xhs_profile_visit_rate",BC90,IF(AC90="xhs_dm_intent_rate",BD90,IF(AC90="xhs_discussion_rate",BE90,IF(AC90="xhs_product_relevance_rate",BF90,IF(AC90="x_first_screen_engaged_rate_proxy",BG90,IF(AC90="x_qualified_reply_rate",BH90,IF(AC90="x_profile_click_rate",BI90,IF(AC90="x_link_intent_rate",BJ90,IF(AC90="x_bookmark_rate",BK90,IF(AC90="x_product_relevance_rate",BL90,"")))))))))))))</x:f>
      </x:c>
      <x:c r="BP90" s="73" t="str">
        <x:f>IFERROR(BO90/AU90-1,"")</x:f>
      </x:c>
      <x:c r="BQ90" s="74" t="str">
        <x:f>IF(COUNT(AD90)=0,"",AD90)</x:f>
      </x:c>
      <x:c r="BR90" s="73" t="str">
        <x:f>IF(C90="xiaohongshu",IF(COUNT(BA90,BB90)=2,AVERAGE(BA90,BB90),IF(COUNT(BA90)=1,BA90,BB90)),BK90)</x:f>
      </x:c>
      <x:c r="BS90" s="73" t="str">
        <x:f>IF(C90="xiaohongshu",BE90,BH90)</x:f>
      </x:c>
      <x:c r="BT90" s="73" t="str">
        <x:f>IF(C90="xiaohongshu",IF(I90="save",BA90,IF(I90="discussion",BE90,IF(I90="profile_visit",BC90,IF(I90="dm",BD90,IF(OR(I90="product_question",I90="trial_intent"),BF90,""))))),IF(I90="save",BK90,IF(I90="discussion",BH90,IF(OR(I90="profile_visit",I90="dm"),BI90,IF(I90="link_click",BJ90,IF(OR(I90="product_question",I90="trial_intent"),BL90,""))))))</x:f>
      </x:c>
      <x:c r="BU90" s="73" t="str">
        <x:f>IF(C90="xiaohongshu",BF90,BL90)</x:f>
      </x:c>
      <x:c r="BV90" s="65" t="str">
        <x:f>IF(COUNT(BQ90,AV90)&lt;2,"unknown",IF(BQ90/AV90-1&gt;=0.2,"high",IF(BQ90/AV90-1&lt;=-0.2,"low","normal")))</x:f>
        <x:v>unknown</x:v>
      </x:c>
      <x:c r="BW90" s="65" t="str">
        <x:f>IF(COUNT(BR90,AW90)&lt;2,"unknown",IF(BR90/AW90-1&gt;=0.2,"high",IF(BR90/AW90-1&lt;=-0.2,"low","normal")))</x:f>
        <x:v>unknown</x:v>
      </x:c>
      <x:c r="BX90" s="65" t="str">
        <x:f>IF(COUNT(BS90,AX90)&lt;2,"unknown",IF(BS90/AX90-1&gt;=0.2,"high",IF(BS90/AX90-1&lt;=-0.2,"low","normal")))</x:f>
        <x:v>unknown</x:v>
      </x:c>
      <x:c r="BY90" s="65" t="str">
        <x:f>IF(COUNT(BT90,AY90)&lt;2,"unknown",IF(BT90/AY90-1&gt;=0.2,"high",IF(BT90/AY90-1&lt;=-0.2,"low","normal")))</x:f>
        <x:v>unknown</x:v>
      </x:c>
      <x:c r="BZ90" s="65" t="str">
        <x:f>IF(COUNT(BU90,AZ90)&lt;2,"unknown",IF(BU90/AZ90-1&gt;=0.2,"high",IF(BU90/AZ90-1&lt;=-0.2,"low","normal")))</x:f>
        <x:v>unknown</x:v>
      </x:c>
      <x:c r="CA90" s="65" t="str">
        <x:f>IF(T90&lt;&gt;"complete","pending",IF(OR(L90&lt;&gt;"pure",U90="true",COUNT(BM90,AT90)&lt;2,AND(AC90&lt;&gt;"",COUNT(BO90,AU90)&lt;2)),"not_attributable","attributable"))</x:f>
        <x:v>pending</x:v>
      </x:c>
      <x:c r="CB90" s="65" t="str">
        <x:f>IF(T90&lt;&gt;"complete","not_evaluated",IF(COUNT(BM90,AT90)&lt;2,"insufficient_data",IF(AND(AC90&lt;&gt;"",COUNT(BP90)=1,BP90&lt;=-0.2),"guardrail_fail",IF(AND(CA90="not_attributable",OR(BV90="high",BN90&gt;=0.2)),"watchlist",IF(CA90&lt;&gt;"attributable","insufficient_data",IF(BN90&gt;=0.2,"win",IF(BN90&lt;=-0.2,"loss","inconclusive")))))))</x:f>
        <x:v>not_evaluated</x:v>
      </x:c>
      <x:c r="CC90" s="65" t="str">
        <x:f>IF(T90&lt;&gt;"complete","COLLECT_MORE_DATA",IF(COUNT(BM90,AT90)&lt;2,"FIX_TRACKING",IF(CB90="guardrail_fail","STOP_VARIANT_GUARDRAIL",IF(CB90="watchlist","WATCHLIST_ONLY",IF(AND(BV90="high",BY90="low"),"KEEP_HOOK_REWRITE_CTA",IF(AND(BW90="high",BX90="low"),"KEEP_STRUCTURE_CHANGE_DISCUSSION_ANGLE",IF(AND(BX90="high",BZ90="low"),"DOWNWEIGHT_TEMPLATE",IF(CB90="win","RETEST_WINNER",IF(CB90="loss","RETURN_TO_BASELINE","COLLECT_MORE_DATA")))))))))</x:f>
        <x:v>COLLECT_MORE_DATA</x:v>
      </x:c>
      <x:c r="CD90" s="75"/>
    </x:row>
    <x:row r="91">
      <x:c r="A91" s="68"/>
      <x:c r="B91" s="69"/>
      <x:c r="C91" s="68"/>
      <x:c r="D91" s="68"/>
      <x:c r="E91" s="68"/>
      <x:c r="F91" s="68"/>
      <x:c r="G91" s="68"/>
      <x:c r="H91" s="70"/>
      <x:c r="I91" s="68"/>
      <x:c r="J91" s="68"/>
      <x:c r="K91" s="68"/>
      <x:c r="L91" s="71" t="str">
        <x:f>IF(K91="","unknown",IF(K91=0,"baseline",IF(K91=1,"pure","mixed")))</x:f>
        <x:v>unknown</x:v>
      </x:c>
      <x:c r="M91" s="68"/>
      <x:c r="N91" s="68"/>
      <x:c r="O91" s="68"/>
      <x:c r="P91" s="68"/>
      <x:c r="Q91" s="68"/>
      <x:c r="R91" s="68"/>
      <x:c r="S91" s="68"/>
      <x:c r="T91" s="68"/>
      <x:c r="U91" s="68"/>
      <x:c r="V91" s="68"/>
      <x:c r="W91" s="68"/>
      <x:c r="X91" s="68"/>
      <x:c r="Y91" s="68"/>
      <x:c r="Z91" s="68"/>
      <x:c r="AA91" s="68"/>
      <x:c r="AB91" s="68"/>
      <x:c r="AC91" s="68"/>
      <x:c r="AD91" s="70"/>
      <x:c r="AE91" s="70"/>
      <x:c r="AF91" s="70"/>
      <x:c r="AG91" s="70"/>
      <x:c r="AH91" s="70"/>
      <x:c r="AI91" s="70"/>
      <x:c r="AJ91" s="70"/>
      <x:c r="AK91" s="70"/>
      <x:c r="AL91" s="70"/>
      <x:c r="AM91" s="70"/>
      <x:c r="AN91" s="70"/>
      <x:c r="AO91" s="70"/>
      <x:c r="AP91" s="70"/>
      <x:c r="AQ91" s="70"/>
      <x:c r="AR91" s="70"/>
      <x:c r="AS91" s="70"/>
      <x:c r="AT91" s="72"/>
      <x:c r="AU91" s="72"/>
      <x:c r="AV91" s="72"/>
      <x:c r="AW91" s="72"/>
      <x:c r="AX91" s="72"/>
      <x:c r="AY91" s="72"/>
      <x:c r="AZ91" s="72"/>
      <x:c r="BA91" s="73" t="str">
        <x:f>IF(C91="xiaohongshu",IF(COUNT(AF91,AE91)&lt;2,"",IFERROR(AF91/AE91,"")),"")</x:f>
      </x:c>
      <x:c r="BB91" s="73" t="str">
        <x:f>IF(C91="xiaohongshu",IF(COUNT(AG91,AE91)&lt;2,"",IFERROR(AG91/AE91,"")),"")</x:f>
      </x:c>
      <x:c r="BC91" s="73" t="str">
        <x:f>IF(C91="xiaohongshu",IF(COUNT(AN91,AE91)&lt;2,"",IFERROR(AN91/AE91,"")),"")</x:f>
      </x:c>
      <x:c r="BD91" s="73" t="str">
        <x:f>IF(C91="xiaohongshu",IF(COUNT(AQ91,AE91)&lt;2,"",IFERROR(AQ91/AE91,"")),"")</x:f>
      </x:c>
      <x:c r="BE91" s="73" t="str">
        <x:f>IF(C91="xiaohongshu",IF(COUNT(AI91,AE91)&lt;2,"",IFERROR(AI91/AE91,"")),"")</x:f>
      </x:c>
      <x:c r="BF91" s="73" t="str">
        <x:f>IF(C91="xiaohongshu",IF(OR(COUNT(AE91)=0,COUNT(AR91,AS91)=0),"",IFERROR((AR91+AS91)/AE91,"")),"")</x:f>
      </x:c>
      <x:c r="BG91" s="73" t="str">
        <x:f>IF(C91="x",IF(COUNT(AD91)=0,"",IF(COUNT(AM91)=1,IFERROR(AM91/AD91,""),IF(COUNT(AH91,AI91,AK91,AL91)=0,"",IFERROR(SUM(AH91,AI91,AK91,AL91)/AD91,"")))),"")</x:f>
      </x:c>
      <x:c r="BH91" s="73" t="str">
        <x:f>IF(C91="x",IF(COUNT(AJ91,AD91)&lt;2,"",IFERROR(AJ91/AD91,"")),"")</x:f>
      </x:c>
      <x:c r="BI91" s="73" t="str">
        <x:f>IF(C91="x",IF(COUNT(AO91,AD91)&lt;2,"",IFERROR(AO91/AD91,"")),"")</x:f>
      </x:c>
      <x:c r="BJ91" s="73" t="str">
        <x:f>IF(C91="x",IF(COUNT(AP91,AD91)&lt;2,"",IFERROR(AP91/AD91,"")),"")</x:f>
      </x:c>
      <x:c r="BK91" s="73" t="str">
        <x:f>IF(C91="x",IF(COUNT(AL91,AD91)&lt;2,"",IFERROR(AL91/AD91,"")),"")</x:f>
      </x:c>
      <x:c r="BL91" s="73" t="str">
        <x:f>IF(C91="x",IF(OR(COUNT(AD91)=0,COUNT(AR91,AS91)=0),"",IFERROR((AR91+AS91)/AD91,"")),"")</x:f>
      </x:c>
      <x:c r="BM91" s="73" t="str">
        <x:f>IF(AB91="xhs_save_rate",BA91,IF(AB91="xhs_completion_rate",BB91,IF(AB91="xhs_profile_visit_rate",BC91,IF(AB91="xhs_dm_intent_rate",BD91,IF(AB91="xhs_discussion_rate",BE91,IF(AB91="xhs_product_relevance_rate",BF91,IF(AB91="x_first_screen_engaged_rate_proxy",BG91,IF(AB91="x_qualified_reply_rate",BH91,IF(AB91="x_profile_click_rate",BI91,IF(AB91="x_link_intent_rate",BJ91,IF(AB91="x_bookmark_rate",BK91,IF(AB91="x_product_relevance_rate",BL91,""))))))))))))</x:f>
      </x:c>
      <x:c r="BN91" s="73" t="str">
        <x:f>IFERROR(BM91/AT91-1,"")</x:f>
      </x:c>
      <x:c r="BO91" s="73" t="str">
        <x:f>IF(AC91="","",IF(AC91="xhs_save_rate",BA91,IF(AC91="xhs_completion_rate",BB91,IF(AC91="xhs_profile_visit_rate",BC91,IF(AC91="xhs_dm_intent_rate",BD91,IF(AC91="xhs_discussion_rate",BE91,IF(AC91="xhs_product_relevance_rate",BF91,IF(AC91="x_first_screen_engaged_rate_proxy",BG91,IF(AC91="x_qualified_reply_rate",BH91,IF(AC91="x_profile_click_rate",BI91,IF(AC91="x_link_intent_rate",BJ91,IF(AC91="x_bookmark_rate",BK91,IF(AC91="x_product_relevance_rate",BL91,"")))))))))))))</x:f>
      </x:c>
      <x:c r="BP91" s="73" t="str">
        <x:f>IFERROR(BO91/AU91-1,"")</x:f>
      </x:c>
      <x:c r="BQ91" s="74" t="str">
        <x:f>IF(COUNT(AD91)=0,"",AD91)</x:f>
      </x:c>
      <x:c r="BR91" s="73" t="str">
        <x:f>IF(C91="xiaohongshu",IF(COUNT(BA91,BB91)=2,AVERAGE(BA91,BB91),IF(COUNT(BA91)=1,BA91,BB91)),BK91)</x:f>
      </x:c>
      <x:c r="BS91" s="73" t="str">
        <x:f>IF(C91="xiaohongshu",BE91,BH91)</x:f>
      </x:c>
      <x:c r="BT91" s="73" t="str">
        <x:f>IF(C91="xiaohongshu",IF(I91="save",BA91,IF(I91="discussion",BE91,IF(I91="profile_visit",BC91,IF(I91="dm",BD91,IF(OR(I91="product_question",I91="trial_intent"),BF91,""))))),IF(I91="save",BK91,IF(I91="discussion",BH91,IF(OR(I91="profile_visit",I91="dm"),BI91,IF(I91="link_click",BJ91,IF(OR(I91="product_question",I91="trial_intent"),BL91,""))))))</x:f>
      </x:c>
      <x:c r="BU91" s="73" t="str">
        <x:f>IF(C91="xiaohongshu",BF91,BL91)</x:f>
      </x:c>
      <x:c r="BV91" s="65" t="str">
        <x:f>IF(COUNT(BQ91,AV91)&lt;2,"unknown",IF(BQ91/AV91-1&gt;=0.2,"high",IF(BQ91/AV91-1&lt;=-0.2,"low","normal")))</x:f>
        <x:v>unknown</x:v>
      </x:c>
      <x:c r="BW91" s="65" t="str">
        <x:f>IF(COUNT(BR91,AW91)&lt;2,"unknown",IF(BR91/AW91-1&gt;=0.2,"high",IF(BR91/AW91-1&lt;=-0.2,"low","normal")))</x:f>
        <x:v>unknown</x:v>
      </x:c>
      <x:c r="BX91" s="65" t="str">
        <x:f>IF(COUNT(BS91,AX91)&lt;2,"unknown",IF(BS91/AX91-1&gt;=0.2,"high",IF(BS91/AX91-1&lt;=-0.2,"low","normal")))</x:f>
        <x:v>unknown</x:v>
      </x:c>
      <x:c r="BY91" s="65" t="str">
        <x:f>IF(COUNT(BT91,AY91)&lt;2,"unknown",IF(BT91/AY91-1&gt;=0.2,"high",IF(BT91/AY91-1&lt;=-0.2,"low","normal")))</x:f>
        <x:v>unknown</x:v>
      </x:c>
      <x:c r="BZ91" s="65" t="str">
        <x:f>IF(COUNT(BU91,AZ91)&lt;2,"unknown",IF(BU91/AZ91-1&gt;=0.2,"high",IF(BU91/AZ91-1&lt;=-0.2,"low","normal")))</x:f>
        <x:v>unknown</x:v>
      </x:c>
      <x:c r="CA91" s="65" t="str">
        <x:f>IF(T91&lt;&gt;"complete","pending",IF(OR(L91&lt;&gt;"pure",U91="true",COUNT(BM91,AT91)&lt;2,AND(AC91&lt;&gt;"",COUNT(BO91,AU91)&lt;2)),"not_attributable","attributable"))</x:f>
        <x:v>pending</x:v>
      </x:c>
      <x:c r="CB91" s="65" t="str">
        <x:f>IF(T91&lt;&gt;"complete","not_evaluated",IF(COUNT(BM91,AT91)&lt;2,"insufficient_data",IF(AND(AC91&lt;&gt;"",COUNT(BP91)=1,BP91&lt;=-0.2),"guardrail_fail",IF(AND(CA91="not_attributable",OR(BV91="high",BN91&gt;=0.2)),"watchlist",IF(CA91&lt;&gt;"attributable","insufficient_data",IF(BN91&gt;=0.2,"win",IF(BN91&lt;=-0.2,"loss","inconclusive")))))))</x:f>
        <x:v>not_evaluated</x:v>
      </x:c>
      <x:c r="CC91" s="65" t="str">
        <x:f>IF(T91&lt;&gt;"complete","COLLECT_MORE_DATA",IF(COUNT(BM91,AT91)&lt;2,"FIX_TRACKING",IF(CB91="guardrail_fail","STOP_VARIANT_GUARDRAIL",IF(CB91="watchlist","WATCHLIST_ONLY",IF(AND(BV91="high",BY91="low"),"KEEP_HOOK_REWRITE_CTA",IF(AND(BW91="high",BX91="low"),"KEEP_STRUCTURE_CHANGE_DISCUSSION_ANGLE",IF(AND(BX91="high",BZ91="low"),"DOWNWEIGHT_TEMPLATE",IF(CB91="win","RETEST_WINNER",IF(CB91="loss","RETURN_TO_BASELINE","COLLECT_MORE_DATA")))))))))</x:f>
        <x:v>COLLECT_MORE_DATA</x:v>
      </x:c>
      <x:c r="CD91" s="75"/>
    </x:row>
    <x:row r="92">
      <x:c r="A92" s="68"/>
      <x:c r="B92" s="69"/>
      <x:c r="C92" s="68"/>
      <x:c r="D92" s="68"/>
      <x:c r="E92" s="68"/>
      <x:c r="F92" s="68"/>
      <x:c r="G92" s="68"/>
      <x:c r="H92" s="70"/>
      <x:c r="I92" s="68"/>
      <x:c r="J92" s="68"/>
      <x:c r="K92" s="68"/>
      <x:c r="L92" s="71" t="str">
        <x:f>IF(K92="","unknown",IF(K92=0,"baseline",IF(K92=1,"pure","mixed")))</x:f>
        <x:v>unknown</x:v>
      </x:c>
      <x:c r="M92" s="68"/>
      <x:c r="N92" s="68"/>
      <x:c r="O92" s="68"/>
      <x:c r="P92" s="68"/>
      <x:c r="Q92" s="68"/>
      <x:c r="R92" s="68"/>
      <x:c r="S92" s="68"/>
      <x:c r="T92" s="68"/>
      <x:c r="U92" s="68"/>
      <x:c r="V92" s="68"/>
      <x:c r="W92" s="68"/>
      <x:c r="X92" s="68"/>
      <x:c r="Y92" s="68"/>
      <x:c r="Z92" s="68"/>
      <x:c r="AA92" s="68"/>
      <x:c r="AB92" s="68"/>
      <x:c r="AC92" s="68"/>
      <x:c r="AD92" s="70"/>
      <x:c r="AE92" s="70"/>
      <x:c r="AF92" s="70"/>
      <x:c r="AG92" s="70"/>
      <x:c r="AH92" s="70"/>
      <x:c r="AI92" s="70"/>
      <x:c r="AJ92" s="70"/>
      <x:c r="AK92" s="70"/>
      <x:c r="AL92" s="70"/>
      <x:c r="AM92" s="70"/>
      <x:c r="AN92" s="70"/>
      <x:c r="AO92" s="70"/>
      <x:c r="AP92" s="70"/>
      <x:c r="AQ92" s="70"/>
      <x:c r="AR92" s="70"/>
      <x:c r="AS92" s="70"/>
      <x:c r="AT92" s="72"/>
      <x:c r="AU92" s="72"/>
      <x:c r="AV92" s="72"/>
      <x:c r="AW92" s="72"/>
      <x:c r="AX92" s="72"/>
      <x:c r="AY92" s="72"/>
      <x:c r="AZ92" s="72"/>
      <x:c r="BA92" s="73" t="str">
        <x:f>IF(C92="xiaohongshu",IF(COUNT(AF92,AE92)&lt;2,"",IFERROR(AF92/AE92,"")),"")</x:f>
      </x:c>
      <x:c r="BB92" s="73" t="str">
        <x:f>IF(C92="xiaohongshu",IF(COUNT(AG92,AE92)&lt;2,"",IFERROR(AG92/AE92,"")),"")</x:f>
      </x:c>
      <x:c r="BC92" s="73" t="str">
        <x:f>IF(C92="xiaohongshu",IF(COUNT(AN92,AE92)&lt;2,"",IFERROR(AN92/AE92,"")),"")</x:f>
      </x:c>
      <x:c r="BD92" s="73" t="str">
        <x:f>IF(C92="xiaohongshu",IF(COUNT(AQ92,AE92)&lt;2,"",IFERROR(AQ92/AE92,"")),"")</x:f>
      </x:c>
      <x:c r="BE92" s="73" t="str">
        <x:f>IF(C92="xiaohongshu",IF(COUNT(AI92,AE92)&lt;2,"",IFERROR(AI92/AE92,"")),"")</x:f>
      </x:c>
      <x:c r="BF92" s="73" t="str">
        <x:f>IF(C92="xiaohongshu",IF(OR(COUNT(AE92)=0,COUNT(AR92,AS92)=0),"",IFERROR((AR92+AS92)/AE92,"")),"")</x:f>
      </x:c>
      <x:c r="BG92" s="73" t="str">
        <x:f>IF(C92="x",IF(COUNT(AD92)=0,"",IF(COUNT(AM92)=1,IFERROR(AM92/AD92,""),IF(COUNT(AH92,AI92,AK92,AL92)=0,"",IFERROR(SUM(AH92,AI92,AK92,AL92)/AD92,"")))),"")</x:f>
      </x:c>
      <x:c r="BH92" s="73" t="str">
        <x:f>IF(C92="x",IF(COUNT(AJ92,AD92)&lt;2,"",IFERROR(AJ92/AD92,"")),"")</x:f>
      </x:c>
      <x:c r="BI92" s="73" t="str">
        <x:f>IF(C92="x",IF(COUNT(AO92,AD92)&lt;2,"",IFERROR(AO92/AD92,"")),"")</x:f>
      </x:c>
      <x:c r="BJ92" s="73" t="str">
        <x:f>IF(C92="x",IF(COUNT(AP92,AD92)&lt;2,"",IFERROR(AP92/AD92,"")),"")</x:f>
      </x:c>
      <x:c r="BK92" s="73" t="str">
        <x:f>IF(C92="x",IF(COUNT(AL92,AD92)&lt;2,"",IFERROR(AL92/AD92,"")),"")</x:f>
      </x:c>
      <x:c r="BL92" s="73" t="str">
        <x:f>IF(C92="x",IF(OR(COUNT(AD92)=0,COUNT(AR92,AS92)=0),"",IFERROR((AR92+AS92)/AD92,"")),"")</x:f>
      </x:c>
      <x:c r="BM92" s="73" t="str">
        <x:f>IF(AB92="xhs_save_rate",BA92,IF(AB92="xhs_completion_rate",BB92,IF(AB92="xhs_profile_visit_rate",BC92,IF(AB92="xhs_dm_intent_rate",BD92,IF(AB92="xhs_discussion_rate",BE92,IF(AB92="xhs_product_relevance_rate",BF92,IF(AB92="x_first_screen_engaged_rate_proxy",BG92,IF(AB92="x_qualified_reply_rate",BH92,IF(AB92="x_profile_click_rate",BI92,IF(AB92="x_link_intent_rate",BJ92,IF(AB92="x_bookmark_rate",BK92,IF(AB92="x_product_relevance_rate",BL92,""))))))))))))</x:f>
      </x:c>
      <x:c r="BN92" s="73" t="str">
        <x:f>IFERROR(BM92/AT92-1,"")</x:f>
      </x:c>
      <x:c r="BO92" s="73" t="str">
        <x:f>IF(AC92="","",IF(AC92="xhs_save_rate",BA92,IF(AC92="xhs_completion_rate",BB92,IF(AC92="xhs_profile_visit_rate",BC92,IF(AC92="xhs_dm_intent_rate",BD92,IF(AC92="xhs_discussion_rate",BE92,IF(AC92="xhs_product_relevance_rate",BF92,IF(AC92="x_first_screen_engaged_rate_proxy",BG92,IF(AC92="x_qualified_reply_rate",BH92,IF(AC92="x_profile_click_rate",BI92,IF(AC92="x_link_intent_rate",BJ92,IF(AC92="x_bookmark_rate",BK92,IF(AC92="x_product_relevance_rate",BL92,"")))))))))))))</x:f>
      </x:c>
      <x:c r="BP92" s="73" t="str">
        <x:f>IFERROR(BO92/AU92-1,"")</x:f>
      </x:c>
      <x:c r="BQ92" s="74" t="str">
        <x:f>IF(COUNT(AD92)=0,"",AD92)</x:f>
      </x:c>
      <x:c r="BR92" s="73" t="str">
        <x:f>IF(C92="xiaohongshu",IF(COUNT(BA92,BB92)=2,AVERAGE(BA92,BB92),IF(COUNT(BA92)=1,BA92,BB92)),BK92)</x:f>
      </x:c>
      <x:c r="BS92" s="73" t="str">
        <x:f>IF(C92="xiaohongshu",BE92,BH92)</x:f>
      </x:c>
      <x:c r="BT92" s="73" t="str">
        <x:f>IF(C92="xiaohongshu",IF(I92="save",BA92,IF(I92="discussion",BE92,IF(I92="profile_visit",BC92,IF(I92="dm",BD92,IF(OR(I92="product_question",I92="trial_intent"),BF92,""))))),IF(I92="save",BK92,IF(I92="discussion",BH92,IF(OR(I92="profile_visit",I92="dm"),BI92,IF(I92="link_click",BJ92,IF(OR(I92="product_question",I92="trial_intent"),BL92,""))))))</x:f>
      </x:c>
      <x:c r="BU92" s="73" t="str">
        <x:f>IF(C92="xiaohongshu",BF92,BL92)</x:f>
      </x:c>
      <x:c r="BV92" s="65" t="str">
        <x:f>IF(COUNT(BQ92,AV92)&lt;2,"unknown",IF(BQ92/AV92-1&gt;=0.2,"high",IF(BQ92/AV92-1&lt;=-0.2,"low","normal")))</x:f>
        <x:v>unknown</x:v>
      </x:c>
      <x:c r="BW92" s="65" t="str">
        <x:f>IF(COUNT(BR92,AW92)&lt;2,"unknown",IF(BR92/AW92-1&gt;=0.2,"high",IF(BR92/AW92-1&lt;=-0.2,"low","normal")))</x:f>
        <x:v>unknown</x:v>
      </x:c>
      <x:c r="BX92" s="65" t="str">
        <x:f>IF(COUNT(BS92,AX92)&lt;2,"unknown",IF(BS92/AX92-1&gt;=0.2,"high",IF(BS92/AX92-1&lt;=-0.2,"low","normal")))</x:f>
        <x:v>unknown</x:v>
      </x:c>
      <x:c r="BY92" s="65" t="str">
        <x:f>IF(COUNT(BT92,AY92)&lt;2,"unknown",IF(BT92/AY92-1&gt;=0.2,"high",IF(BT92/AY92-1&lt;=-0.2,"low","normal")))</x:f>
        <x:v>unknown</x:v>
      </x:c>
      <x:c r="BZ92" s="65" t="str">
        <x:f>IF(COUNT(BU92,AZ92)&lt;2,"unknown",IF(BU92/AZ92-1&gt;=0.2,"high",IF(BU92/AZ92-1&lt;=-0.2,"low","normal")))</x:f>
        <x:v>unknown</x:v>
      </x:c>
      <x:c r="CA92" s="65" t="str">
        <x:f>IF(T92&lt;&gt;"complete","pending",IF(OR(L92&lt;&gt;"pure",U92="true",COUNT(BM92,AT92)&lt;2,AND(AC92&lt;&gt;"",COUNT(BO92,AU92)&lt;2)),"not_attributable","attributable"))</x:f>
        <x:v>pending</x:v>
      </x:c>
      <x:c r="CB92" s="65" t="str">
        <x:f>IF(T92&lt;&gt;"complete","not_evaluated",IF(COUNT(BM92,AT92)&lt;2,"insufficient_data",IF(AND(AC92&lt;&gt;"",COUNT(BP92)=1,BP92&lt;=-0.2),"guardrail_fail",IF(AND(CA92="not_attributable",OR(BV92="high",BN92&gt;=0.2)),"watchlist",IF(CA92&lt;&gt;"attributable","insufficient_data",IF(BN92&gt;=0.2,"win",IF(BN92&lt;=-0.2,"loss","inconclusive")))))))</x:f>
        <x:v>not_evaluated</x:v>
      </x:c>
      <x:c r="CC92" s="65" t="str">
        <x:f>IF(T92&lt;&gt;"complete","COLLECT_MORE_DATA",IF(COUNT(BM92,AT92)&lt;2,"FIX_TRACKING",IF(CB92="guardrail_fail","STOP_VARIANT_GUARDRAIL",IF(CB92="watchlist","WATCHLIST_ONLY",IF(AND(BV92="high",BY92="low"),"KEEP_HOOK_REWRITE_CTA",IF(AND(BW92="high",BX92="low"),"KEEP_STRUCTURE_CHANGE_DISCUSSION_ANGLE",IF(AND(BX92="high",BZ92="low"),"DOWNWEIGHT_TEMPLATE",IF(CB92="win","RETEST_WINNER",IF(CB92="loss","RETURN_TO_BASELINE","COLLECT_MORE_DATA")))))))))</x:f>
        <x:v>COLLECT_MORE_DATA</x:v>
      </x:c>
      <x:c r="CD92" s="75"/>
    </x:row>
    <x:row r="93">
      <x:c r="A93" s="68"/>
      <x:c r="B93" s="69"/>
      <x:c r="C93" s="68"/>
      <x:c r="D93" s="68"/>
      <x:c r="E93" s="68"/>
      <x:c r="F93" s="68"/>
      <x:c r="G93" s="68"/>
      <x:c r="H93" s="70"/>
      <x:c r="I93" s="68"/>
      <x:c r="J93" s="68"/>
      <x:c r="K93" s="68"/>
      <x:c r="L93" s="71" t="str">
        <x:f>IF(K93="","unknown",IF(K93=0,"baseline",IF(K93=1,"pure","mixed")))</x:f>
        <x:v>unknown</x:v>
      </x:c>
      <x:c r="M93" s="68"/>
      <x:c r="N93" s="68"/>
      <x:c r="O93" s="68"/>
      <x:c r="P93" s="68"/>
      <x:c r="Q93" s="68"/>
      <x:c r="R93" s="68"/>
      <x:c r="S93" s="68"/>
      <x:c r="T93" s="68"/>
      <x:c r="U93" s="68"/>
      <x:c r="V93" s="68"/>
      <x:c r="W93" s="68"/>
      <x:c r="X93" s="68"/>
      <x:c r="Y93" s="68"/>
      <x:c r="Z93" s="68"/>
      <x:c r="AA93" s="68"/>
      <x:c r="AB93" s="68"/>
      <x:c r="AC93" s="68"/>
      <x:c r="AD93" s="70"/>
      <x:c r="AE93" s="70"/>
      <x:c r="AF93" s="70"/>
      <x:c r="AG93" s="70"/>
      <x:c r="AH93" s="70"/>
      <x:c r="AI93" s="70"/>
      <x:c r="AJ93" s="70"/>
      <x:c r="AK93" s="70"/>
      <x:c r="AL93" s="70"/>
      <x:c r="AM93" s="70"/>
      <x:c r="AN93" s="70"/>
      <x:c r="AO93" s="70"/>
      <x:c r="AP93" s="70"/>
      <x:c r="AQ93" s="70"/>
      <x:c r="AR93" s="70"/>
      <x:c r="AS93" s="70"/>
      <x:c r="AT93" s="72"/>
      <x:c r="AU93" s="72"/>
      <x:c r="AV93" s="72"/>
      <x:c r="AW93" s="72"/>
      <x:c r="AX93" s="72"/>
      <x:c r="AY93" s="72"/>
      <x:c r="AZ93" s="72"/>
      <x:c r="BA93" s="73" t="str">
        <x:f>IF(C93="xiaohongshu",IF(COUNT(AF93,AE93)&lt;2,"",IFERROR(AF93/AE93,"")),"")</x:f>
      </x:c>
      <x:c r="BB93" s="73" t="str">
        <x:f>IF(C93="xiaohongshu",IF(COUNT(AG93,AE93)&lt;2,"",IFERROR(AG93/AE93,"")),"")</x:f>
      </x:c>
      <x:c r="BC93" s="73" t="str">
        <x:f>IF(C93="xiaohongshu",IF(COUNT(AN93,AE93)&lt;2,"",IFERROR(AN93/AE93,"")),"")</x:f>
      </x:c>
      <x:c r="BD93" s="73" t="str">
        <x:f>IF(C93="xiaohongshu",IF(COUNT(AQ93,AE93)&lt;2,"",IFERROR(AQ93/AE93,"")),"")</x:f>
      </x:c>
      <x:c r="BE93" s="73" t="str">
        <x:f>IF(C93="xiaohongshu",IF(COUNT(AI93,AE93)&lt;2,"",IFERROR(AI93/AE93,"")),"")</x:f>
      </x:c>
      <x:c r="BF93" s="73" t="str">
        <x:f>IF(C93="xiaohongshu",IF(OR(COUNT(AE93)=0,COUNT(AR93,AS93)=0),"",IFERROR((AR93+AS93)/AE93,"")),"")</x:f>
      </x:c>
      <x:c r="BG93" s="73" t="str">
        <x:f>IF(C93="x",IF(COUNT(AD93)=0,"",IF(COUNT(AM93)=1,IFERROR(AM93/AD93,""),IF(COUNT(AH93,AI93,AK93,AL93)=0,"",IFERROR(SUM(AH93,AI93,AK93,AL93)/AD93,"")))),"")</x:f>
      </x:c>
      <x:c r="BH93" s="73" t="str">
        <x:f>IF(C93="x",IF(COUNT(AJ93,AD93)&lt;2,"",IFERROR(AJ93/AD93,"")),"")</x:f>
      </x:c>
      <x:c r="BI93" s="73" t="str">
        <x:f>IF(C93="x",IF(COUNT(AO93,AD93)&lt;2,"",IFERROR(AO93/AD93,"")),"")</x:f>
      </x:c>
      <x:c r="BJ93" s="73" t="str">
        <x:f>IF(C93="x",IF(COUNT(AP93,AD93)&lt;2,"",IFERROR(AP93/AD93,"")),"")</x:f>
      </x:c>
      <x:c r="BK93" s="73" t="str">
        <x:f>IF(C93="x",IF(COUNT(AL93,AD93)&lt;2,"",IFERROR(AL93/AD93,"")),"")</x:f>
      </x:c>
      <x:c r="BL93" s="73" t="str">
        <x:f>IF(C93="x",IF(OR(COUNT(AD93)=0,COUNT(AR93,AS93)=0),"",IFERROR((AR93+AS93)/AD93,"")),"")</x:f>
      </x:c>
      <x:c r="BM93" s="73" t="str">
        <x:f>IF(AB93="xhs_save_rate",BA93,IF(AB93="xhs_completion_rate",BB93,IF(AB93="xhs_profile_visit_rate",BC93,IF(AB93="xhs_dm_intent_rate",BD93,IF(AB93="xhs_discussion_rate",BE93,IF(AB93="xhs_product_relevance_rate",BF93,IF(AB93="x_first_screen_engaged_rate_proxy",BG93,IF(AB93="x_qualified_reply_rate",BH93,IF(AB93="x_profile_click_rate",BI93,IF(AB93="x_link_intent_rate",BJ93,IF(AB93="x_bookmark_rate",BK93,IF(AB93="x_product_relevance_rate",BL93,""))))))))))))</x:f>
      </x:c>
      <x:c r="BN93" s="73" t="str">
        <x:f>IFERROR(BM93/AT93-1,"")</x:f>
      </x:c>
      <x:c r="BO93" s="73" t="str">
        <x:f>IF(AC93="","",IF(AC93="xhs_save_rate",BA93,IF(AC93="xhs_completion_rate",BB93,IF(AC93="xhs_profile_visit_rate",BC93,IF(AC93="xhs_dm_intent_rate",BD93,IF(AC93="xhs_discussion_rate",BE93,IF(AC93="xhs_product_relevance_rate",BF93,IF(AC93="x_first_screen_engaged_rate_proxy",BG93,IF(AC93="x_qualified_reply_rate",BH93,IF(AC93="x_profile_click_rate",BI93,IF(AC93="x_link_intent_rate",BJ93,IF(AC93="x_bookmark_rate",BK93,IF(AC93="x_product_relevance_rate",BL93,"")))))))))))))</x:f>
      </x:c>
      <x:c r="BP93" s="73" t="str">
        <x:f>IFERROR(BO93/AU93-1,"")</x:f>
      </x:c>
      <x:c r="BQ93" s="74" t="str">
        <x:f>IF(COUNT(AD93)=0,"",AD93)</x:f>
      </x:c>
      <x:c r="BR93" s="73" t="str">
        <x:f>IF(C93="xiaohongshu",IF(COUNT(BA93,BB93)=2,AVERAGE(BA93,BB93),IF(COUNT(BA93)=1,BA93,BB93)),BK93)</x:f>
      </x:c>
      <x:c r="BS93" s="73" t="str">
        <x:f>IF(C93="xiaohongshu",BE93,BH93)</x:f>
      </x:c>
      <x:c r="BT93" s="73" t="str">
        <x:f>IF(C93="xiaohongshu",IF(I93="save",BA93,IF(I93="discussion",BE93,IF(I93="profile_visit",BC93,IF(I93="dm",BD93,IF(OR(I93="product_question",I93="trial_intent"),BF93,""))))),IF(I93="save",BK93,IF(I93="discussion",BH93,IF(OR(I93="profile_visit",I93="dm"),BI93,IF(I93="link_click",BJ93,IF(OR(I93="product_question",I93="trial_intent"),BL93,""))))))</x:f>
      </x:c>
      <x:c r="BU93" s="73" t="str">
        <x:f>IF(C93="xiaohongshu",BF93,BL93)</x:f>
      </x:c>
      <x:c r="BV93" s="65" t="str">
        <x:f>IF(COUNT(BQ93,AV93)&lt;2,"unknown",IF(BQ93/AV93-1&gt;=0.2,"high",IF(BQ93/AV93-1&lt;=-0.2,"low","normal")))</x:f>
        <x:v>unknown</x:v>
      </x:c>
      <x:c r="BW93" s="65" t="str">
        <x:f>IF(COUNT(BR93,AW93)&lt;2,"unknown",IF(BR93/AW93-1&gt;=0.2,"high",IF(BR93/AW93-1&lt;=-0.2,"low","normal")))</x:f>
        <x:v>unknown</x:v>
      </x:c>
      <x:c r="BX93" s="65" t="str">
        <x:f>IF(COUNT(BS93,AX93)&lt;2,"unknown",IF(BS93/AX93-1&gt;=0.2,"high",IF(BS93/AX93-1&lt;=-0.2,"low","normal")))</x:f>
        <x:v>unknown</x:v>
      </x:c>
      <x:c r="BY93" s="65" t="str">
        <x:f>IF(COUNT(BT93,AY93)&lt;2,"unknown",IF(BT93/AY93-1&gt;=0.2,"high",IF(BT93/AY93-1&lt;=-0.2,"low","normal")))</x:f>
        <x:v>unknown</x:v>
      </x:c>
      <x:c r="BZ93" s="65" t="str">
        <x:f>IF(COUNT(BU93,AZ93)&lt;2,"unknown",IF(BU93/AZ93-1&gt;=0.2,"high",IF(BU93/AZ93-1&lt;=-0.2,"low","normal")))</x:f>
        <x:v>unknown</x:v>
      </x:c>
      <x:c r="CA93" s="65" t="str">
        <x:f>IF(T93&lt;&gt;"complete","pending",IF(OR(L93&lt;&gt;"pure",U93="true",COUNT(BM93,AT93)&lt;2,AND(AC93&lt;&gt;"",COUNT(BO93,AU93)&lt;2)),"not_attributable","attributable"))</x:f>
        <x:v>pending</x:v>
      </x:c>
      <x:c r="CB93" s="65" t="str">
        <x:f>IF(T93&lt;&gt;"complete","not_evaluated",IF(COUNT(BM93,AT93)&lt;2,"insufficient_data",IF(AND(AC93&lt;&gt;"",COUNT(BP93)=1,BP93&lt;=-0.2),"guardrail_fail",IF(AND(CA93="not_attributable",OR(BV93="high",BN93&gt;=0.2)),"watchlist",IF(CA93&lt;&gt;"attributable","insufficient_data",IF(BN93&gt;=0.2,"win",IF(BN93&lt;=-0.2,"loss","inconclusive")))))))</x:f>
        <x:v>not_evaluated</x:v>
      </x:c>
      <x:c r="CC93" s="65" t="str">
        <x:f>IF(T93&lt;&gt;"complete","COLLECT_MORE_DATA",IF(COUNT(BM93,AT93)&lt;2,"FIX_TRACKING",IF(CB93="guardrail_fail","STOP_VARIANT_GUARDRAIL",IF(CB93="watchlist","WATCHLIST_ONLY",IF(AND(BV93="high",BY93="low"),"KEEP_HOOK_REWRITE_CTA",IF(AND(BW93="high",BX93="low"),"KEEP_STRUCTURE_CHANGE_DISCUSSION_ANGLE",IF(AND(BX93="high",BZ93="low"),"DOWNWEIGHT_TEMPLATE",IF(CB93="win","RETEST_WINNER",IF(CB93="loss","RETURN_TO_BASELINE","COLLECT_MORE_DATA")))))))))</x:f>
        <x:v>COLLECT_MORE_DATA</x:v>
      </x:c>
      <x:c r="CD93" s="75"/>
    </x:row>
    <x:row r="94">
      <x:c r="A94" s="68"/>
      <x:c r="B94" s="69"/>
      <x:c r="C94" s="68"/>
      <x:c r="D94" s="68"/>
      <x:c r="E94" s="68"/>
      <x:c r="F94" s="68"/>
      <x:c r="G94" s="68"/>
      <x:c r="H94" s="70"/>
      <x:c r="I94" s="68"/>
      <x:c r="J94" s="68"/>
      <x:c r="K94" s="68"/>
      <x:c r="L94" s="71" t="str">
        <x:f>IF(K94="","unknown",IF(K94=0,"baseline",IF(K94=1,"pure","mixed")))</x:f>
        <x:v>unknown</x:v>
      </x:c>
      <x:c r="M94" s="68"/>
      <x:c r="N94" s="68"/>
      <x:c r="O94" s="68"/>
      <x:c r="P94" s="68"/>
      <x:c r="Q94" s="68"/>
      <x:c r="R94" s="68"/>
      <x:c r="S94" s="68"/>
      <x:c r="T94" s="68"/>
      <x:c r="U94" s="68"/>
      <x:c r="V94" s="68"/>
      <x:c r="W94" s="68"/>
      <x:c r="X94" s="68"/>
      <x:c r="Y94" s="68"/>
      <x:c r="Z94" s="68"/>
      <x:c r="AA94" s="68"/>
      <x:c r="AB94" s="68"/>
      <x:c r="AC94" s="68"/>
      <x:c r="AD94" s="70"/>
      <x:c r="AE94" s="70"/>
      <x:c r="AF94" s="70"/>
      <x:c r="AG94" s="70"/>
      <x:c r="AH94" s="70"/>
      <x:c r="AI94" s="70"/>
      <x:c r="AJ94" s="70"/>
      <x:c r="AK94" s="70"/>
      <x:c r="AL94" s="70"/>
      <x:c r="AM94" s="70"/>
      <x:c r="AN94" s="70"/>
      <x:c r="AO94" s="70"/>
      <x:c r="AP94" s="70"/>
      <x:c r="AQ94" s="70"/>
      <x:c r="AR94" s="70"/>
      <x:c r="AS94" s="70"/>
      <x:c r="AT94" s="72"/>
      <x:c r="AU94" s="72"/>
      <x:c r="AV94" s="72"/>
      <x:c r="AW94" s="72"/>
      <x:c r="AX94" s="72"/>
      <x:c r="AY94" s="72"/>
      <x:c r="AZ94" s="72"/>
      <x:c r="BA94" s="73" t="str">
        <x:f>IF(C94="xiaohongshu",IF(COUNT(AF94,AE94)&lt;2,"",IFERROR(AF94/AE94,"")),"")</x:f>
      </x:c>
      <x:c r="BB94" s="73" t="str">
        <x:f>IF(C94="xiaohongshu",IF(COUNT(AG94,AE94)&lt;2,"",IFERROR(AG94/AE94,"")),"")</x:f>
      </x:c>
      <x:c r="BC94" s="73" t="str">
        <x:f>IF(C94="xiaohongshu",IF(COUNT(AN94,AE94)&lt;2,"",IFERROR(AN94/AE94,"")),"")</x:f>
      </x:c>
      <x:c r="BD94" s="73" t="str">
        <x:f>IF(C94="xiaohongshu",IF(COUNT(AQ94,AE94)&lt;2,"",IFERROR(AQ94/AE94,"")),"")</x:f>
      </x:c>
      <x:c r="BE94" s="73" t="str">
        <x:f>IF(C94="xiaohongshu",IF(COUNT(AI94,AE94)&lt;2,"",IFERROR(AI94/AE94,"")),"")</x:f>
      </x:c>
      <x:c r="BF94" s="73" t="str">
        <x:f>IF(C94="xiaohongshu",IF(OR(COUNT(AE94)=0,COUNT(AR94,AS94)=0),"",IFERROR((AR94+AS94)/AE94,"")),"")</x:f>
      </x:c>
      <x:c r="BG94" s="73" t="str">
        <x:f>IF(C94="x",IF(COUNT(AD94)=0,"",IF(COUNT(AM94)=1,IFERROR(AM94/AD94,""),IF(COUNT(AH94,AI94,AK94,AL94)=0,"",IFERROR(SUM(AH94,AI94,AK94,AL94)/AD94,"")))),"")</x:f>
      </x:c>
      <x:c r="BH94" s="73" t="str">
        <x:f>IF(C94="x",IF(COUNT(AJ94,AD94)&lt;2,"",IFERROR(AJ94/AD94,"")),"")</x:f>
      </x:c>
      <x:c r="BI94" s="73" t="str">
        <x:f>IF(C94="x",IF(COUNT(AO94,AD94)&lt;2,"",IFERROR(AO94/AD94,"")),"")</x:f>
      </x:c>
      <x:c r="BJ94" s="73" t="str">
        <x:f>IF(C94="x",IF(COUNT(AP94,AD94)&lt;2,"",IFERROR(AP94/AD94,"")),"")</x:f>
      </x:c>
      <x:c r="BK94" s="73" t="str">
        <x:f>IF(C94="x",IF(COUNT(AL94,AD94)&lt;2,"",IFERROR(AL94/AD94,"")),"")</x:f>
      </x:c>
      <x:c r="BL94" s="73" t="str">
        <x:f>IF(C94="x",IF(OR(COUNT(AD94)=0,COUNT(AR94,AS94)=0),"",IFERROR((AR94+AS94)/AD94,"")),"")</x:f>
      </x:c>
      <x:c r="BM94" s="73" t="str">
        <x:f>IF(AB94="xhs_save_rate",BA94,IF(AB94="xhs_completion_rate",BB94,IF(AB94="xhs_profile_visit_rate",BC94,IF(AB94="xhs_dm_intent_rate",BD94,IF(AB94="xhs_discussion_rate",BE94,IF(AB94="xhs_product_relevance_rate",BF94,IF(AB94="x_first_screen_engaged_rate_proxy",BG94,IF(AB94="x_qualified_reply_rate",BH94,IF(AB94="x_profile_click_rate",BI94,IF(AB94="x_link_intent_rate",BJ94,IF(AB94="x_bookmark_rate",BK94,IF(AB94="x_product_relevance_rate",BL94,""))))))))))))</x:f>
      </x:c>
      <x:c r="BN94" s="73" t="str">
        <x:f>IFERROR(BM94/AT94-1,"")</x:f>
      </x:c>
      <x:c r="BO94" s="73" t="str">
        <x:f>IF(AC94="","",IF(AC94="xhs_save_rate",BA94,IF(AC94="xhs_completion_rate",BB94,IF(AC94="xhs_profile_visit_rate",BC94,IF(AC94="xhs_dm_intent_rate",BD94,IF(AC94="xhs_discussion_rate",BE94,IF(AC94="xhs_product_relevance_rate",BF94,IF(AC94="x_first_screen_engaged_rate_proxy",BG94,IF(AC94="x_qualified_reply_rate",BH94,IF(AC94="x_profile_click_rate",BI94,IF(AC94="x_link_intent_rate",BJ94,IF(AC94="x_bookmark_rate",BK94,IF(AC94="x_product_relevance_rate",BL94,"")))))))))))))</x:f>
      </x:c>
      <x:c r="BP94" s="73" t="str">
        <x:f>IFERROR(BO94/AU94-1,"")</x:f>
      </x:c>
      <x:c r="BQ94" s="74" t="str">
        <x:f>IF(COUNT(AD94)=0,"",AD94)</x:f>
      </x:c>
      <x:c r="BR94" s="73" t="str">
        <x:f>IF(C94="xiaohongshu",IF(COUNT(BA94,BB94)=2,AVERAGE(BA94,BB94),IF(COUNT(BA94)=1,BA94,BB94)),BK94)</x:f>
      </x:c>
      <x:c r="BS94" s="73" t="str">
        <x:f>IF(C94="xiaohongshu",BE94,BH94)</x:f>
      </x:c>
      <x:c r="BT94" s="73" t="str">
        <x:f>IF(C94="xiaohongshu",IF(I94="save",BA94,IF(I94="discussion",BE94,IF(I94="profile_visit",BC94,IF(I94="dm",BD94,IF(OR(I94="product_question",I94="trial_intent"),BF94,""))))),IF(I94="save",BK94,IF(I94="discussion",BH94,IF(OR(I94="profile_visit",I94="dm"),BI94,IF(I94="link_click",BJ94,IF(OR(I94="product_question",I94="trial_intent"),BL94,""))))))</x:f>
      </x:c>
      <x:c r="BU94" s="73" t="str">
        <x:f>IF(C94="xiaohongshu",BF94,BL94)</x:f>
      </x:c>
      <x:c r="BV94" s="65" t="str">
        <x:f>IF(COUNT(BQ94,AV94)&lt;2,"unknown",IF(BQ94/AV94-1&gt;=0.2,"high",IF(BQ94/AV94-1&lt;=-0.2,"low","normal")))</x:f>
        <x:v>unknown</x:v>
      </x:c>
      <x:c r="BW94" s="65" t="str">
        <x:f>IF(COUNT(BR94,AW94)&lt;2,"unknown",IF(BR94/AW94-1&gt;=0.2,"high",IF(BR94/AW94-1&lt;=-0.2,"low","normal")))</x:f>
        <x:v>unknown</x:v>
      </x:c>
      <x:c r="BX94" s="65" t="str">
        <x:f>IF(COUNT(BS94,AX94)&lt;2,"unknown",IF(BS94/AX94-1&gt;=0.2,"high",IF(BS94/AX94-1&lt;=-0.2,"low","normal")))</x:f>
        <x:v>unknown</x:v>
      </x:c>
      <x:c r="BY94" s="65" t="str">
        <x:f>IF(COUNT(BT94,AY94)&lt;2,"unknown",IF(BT94/AY94-1&gt;=0.2,"high",IF(BT94/AY94-1&lt;=-0.2,"low","normal")))</x:f>
        <x:v>unknown</x:v>
      </x:c>
      <x:c r="BZ94" s="65" t="str">
        <x:f>IF(COUNT(BU94,AZ94)&lt;2,"unknown",IF(BU94/AZ94-1&gt;=0.2,"high",IF(BU94/AZ94-1&lt;=-0.2,"low","normal")))</x:f>
        <x:v>unknown</x:v>
      </x:c>
      <x:c r="CA94" s="65" t="str">
        <x:f>IF(T94&lt;&gt;"complete","pending",IF(OR(L94&lt;&gt;"pure",U94="true",COUNT(BM94,AT94)&lt;2,AND(AC94&lt;&gt;"",COUNT(BO94,AU94)&lt;2)),"not_attributable","attributable"))</x:f>
        <x:v>pending</x:v>
      </x:c>
      <x:c r="CB94" s="65" t="str">
        <x:f>IF(T94&lt;&gt;"complete","not_evaluated",IF(COUNT(BM94,AT94)&lt;2,"insufficient_data",IF(AND(AC94&lt;&gt;"",COUNT(BP94)=1,BP94&lt;=-0.2),"guardrail_fail",IF(AND(CA94="not_attributable",OR(BV94="high",BN94&gt;=0.2)),"watchlist",IF(CA94&lt;&gt;"attributable","insufficient_data",IF(BN94&gt;=0.2,"win",IF(BN94&lt;=-0.2,"loss","inconclusive")))))))</x:f>
        <x:v>not_evaluated</x:v>
      </x:c>
      <x:c r="CC94" s="65" t="str">
        <x:f>IF(T94&lt;&gt;"complete","COLLECT_MORE_DATA",IF(COUNT(BM94,AT94)&lt;2,"FIX_TRACKING",IF(CB94="guardrail_fail","STOP_VARIANT_GUARDRAIL",IF(CB94="watchlist","WATCHLIST_ONLY",IF(AND(BV94="high",BY94="low"),"KEEP_HOOK_REWRITE_CTA",IF(AND(BW94="high",BX94="low"),"KEEP_STRUCTURE_CHANGE_DISCUSSION_ANGLE",IF(AND(BX94="high",BZ94="low"),"DOWNWEIGHT_TEMPLATE",IF(CB94="win","RETEST_WINNER",IF(CB94="loss","RETURN_TO_BASELINE","COLLECT_MORE_DATA")))))))))</x:f>
        <x:v>COLLECT_MORE_DATA</x:v>
      </x:c>
      <x:c r="CD94" s="75"/>
    </x:row>
    <x:row r="95">
      <x:c r="A95" s="68"/>
      <x:c r="B95" s="69"/>
      <x:c r="C95" s="68"/>
      <x:c r="D95" s="68"/>
      <x:c r="E95" s="68"/>
      <x:c r="F95" s="68"/>
      <x:c r="G95" s="68"/>
      <x:c r="H95" s="70"/>
      <x:c r="I95" s="68"/>
      <x:c r="J95" s="68"/>
      <x:c r="K95" s="68"/>
      <x:c r="L95" s="71" t="str">
        <x:f>IF(K95="","unknown",IF(K95=0,"baseline",IF(K95=1,"pure","mixed")))</x:f>
        <x:v>unknown</x:v>
      </x:c>
      <x:c r="M95" s="68"/>
      <x:c r="N95" s="68"/>
      <x:c r="O95" s="68"/>
      <x:c r="P95" s="68"/>
      <x:c r="Q95" s="68"/>
      <x:c r="R95" s="68"/>
      <x:c r="S95" s="68"/>
      <x:c r="T95" s="68"/>
      <x:c r="U95" s="68"/>
      <x:c r="V95" s="68"/>
      <x:c r="W95" s="68"/>
      <x:c r="X95" s="68"/>
      <x:c r="Y95" s="68"/>
      <x:c r="Z95" s="68"/>
      <x:c r="AA95" s="68"/>
      <x:c r="AB95" s="68"/>
      <x:c r="AC95" s="68"/>
      <x:c r="AD95" s="70"/>
      <x:c r="AE95" s="70"/>
      <x:c r="AF95" s="70"/>
      <x:c r="AG95" s="70"/>
      <x:c r="AH95" s="70"/>
      <x:c r="AI95" s="70"/>
      <x:c r="AJ95" s="70"/>
      <x:c r="AK95" s="70"/>
      <x:c r="AL95" s="70"/>
      <x:c r="AM95" s="70"/>
      <x:c r="AN95" s="70"/>
      <x:c r="AO95" s="70"/>
      <x:c r="AP95" s="70"/>
      <x:c r="AQ95" s="70"/>
      <x:c r="AR95" s="70"/>
      <x:c r="AS95" s="70"/>
      <x:c r="AT95" s="72"/>
      <x:c r="AU95" s="72"/>
      <x:c r="AV95" s="72"/>
      <x:c r="AW95" s="72"/>
      <x:c r="AX95" s="72"/>
      <x:c r="AY95" s="72"/>
      <x:c r="AZ95" s="72"/>
      <x:c r="BA95" s="73" t="str">
        <x:f>IF(C95="xiaohongshu",IF(COUNT(AF95,AE95)&lt;2,"",IFERROR(AF95/AE95,"")),"")</x:f>
      </x:c>
      <x:c r="BB95" s="73" t="str">
        <x:f>IF(C95="xiaohongshu",IF(COUNT(AG95,AE95)&lt;2,"",IFERROR(AG95/AE95,"")),"")</x:f>
      </x:c>
      <x:c r="BC95" s="73" t="str">
        <x:f>IF(C95="xiaohongshu",IF(COUNT(AN95,AE95)&lt;2,"",IFERROR(AN95/AE95,"")),"")</x:f>
      </x:c>
      <x:c r="BD95" s="73" t="str">
        <x:f>IF(C95="xiaohongshu",IF(COUNT(AQ95,AE95)&lt;2,"",IFERROR(AQ95/AE95,"")),"")</x:f>
      </x:c>
      <x:c r="BE95" s="73" t="str">
        <x:f>IF(C95="xiaohongshu",IF(COUNT(AI95,AE95)&lt;2,"",IFERROR(AI95/AE95,"")),"")</x:f>
      </x:c>
      <x:c r="BF95" s="73" t="str">
        <x:f>IF(C95="xiaohongshu",IF(OR(COUNT(AE95)=0,COUNT(AR95,AS95)=0),"",IFERROR((AR95+AS95)/AE95,"")),"")</x:f>
      </x:c>
      <x:c r="BG95" s="73" t="str">
        <x:f>IF(C95="x",IF(COUNT(AD95)=0,"",IF(COUNT(AM95)=1,IFERROR(AM95/AD95,""),IF(COUNT(AH95,AI95,AK95,AL95)=0,"",IFERROR(SUM(AH95,AI95,AK95,AL95)/AD95,"")))),"")</x:f>
      </x:c>
      <x:c r="BH95" s="73" t="str">
        <x:f>IF(C95="x",IF(COUNT(AJ95,AD95)&lt;2,"",IFERROR(AJ95/AD95,"")),"")</x:f>
      </x:c>
      <x:c r="BI95" s="73" t="str">
        <x:f>IF(C95="x",IF(COUNT(AO95,AD95)&lt;2,"",IFERROR(AO95/AD95,"")),"")</x:f>
      </x:c>
      <x:c r="BJ95" s="73" t="str">
        <x:f>IF(C95="x",IF(COUNT(AP95,AD95)&lt;2,"",IFERROR(AP95/AD95,"")),"")</x:f>
      </x:c>
      <x:c r="BK95" s="73" t="str">
        <x:f>IF(C95="x",IF(COUNT(AL95,AD95)&lt;2,"",IFERROR(AL95/AD95,"")),"")</x:f>
      </x:c>
      <x:c r="BL95" s="73" t="str">
        <x:f>IF(C95="x",IF(OR(COUNT(AD95)=0,COUNT(AR95,AS95)=0),"",IFERROR((AR95+AS95)/AD95,"")),"")</x:f>
      </x:c>
      <x:c r="BM95" s="73" t="str">
        <x:f>IF(AB95="xhs_save_rate",BA95,IF(AB95="xhs_completion_rate",BB95,IF(AB95="xhs_profile_visit_rate",BC95,IF(AB95="xhs_dm_intent_rate",BD95,IF(AB95="xhs_discussion_rate",BE95,IF(AB95="xhs_product_relevance_rate",BF95,IF(AB95="x_first_screen_engaged_rate_proxy",BG95,IF(AB95="x_qualified_reply_rate",BH95,IF(AB95="x_profile_click_rate",BI95,IF(AB95="x_link_intent_rate",BJ95,IF(AB95="x_bookmark_rate",BK95,IF(AB95="x_product_relevance_rate",BL95,""))))))))))))</x:f>
      </x:c>
      <x:c r="BN95" s="73" t="str">
        <x:f>IFERROR(BM95/AT95-1,"")</x:f>
      </x:c>
      <x:c r="BO95" s="73" t="str">
        <x:f>IF(AC95="","",IF(AC95="xhs_save_rate",BA95,IF(AC95="xhs_completion_rate",BB95,IF(AC95="xhs_profile_visit_rate",BC95,IF(AC95="xhs_dm_intent_rate",BD95,IF(AC95="xhs_discussion_rate",BE95,IF(AC95="xhs_product_relevance_rate",BF95,IF(AC95="x_first_screen_engaged_rate_proxy",BG95,IF(AC95="x_qualified_reply_rate",BH95,IF(AC95="x_profile_click_rate",BI95,IF(AC95="x_link_intent_rate",BJ95,IF(AC95="x_bookmark_rate",BK95,IF(AC95="x_product_relevance_rate",BL95,"")))))))))))))</x:f>
      </x:c>
      <x:c r="BP95" s="73" t="str">
        <x:f>IFERROR(BO95/AU95-1,"")</x:f>
      </x:c>
      <x:c r="BQ95" s="74" t="str">
        <x:f>IF(COUNT(AD95)=0,"",AD95)</x:f>
      </x:c>
      <x:c r="BR95" s="73" t="str">
        <x:f>IF(C95="xiaohongshu",IF(COUNT(BA95,BB95)=2,AVERAGE(BA95,BB95),IF(COUNT(BA95)=1,BA95,BB95)),BK95)</x:f>
      </x:c>
      <x:c r="BS95" s="73" t="str">
        <x:f>IF(C95="xiaohongshu",BE95,BH95)</x:f>
      </x:c>
      <x:c r="BT95" s="73" t="str">
        <x:f>IF(C95="xiaohongshu",IF(I95="save",BA95,IF(I95="discussion",BE95,IF(I95="profile_visit",BC95,IF(I95="dm",BD95,IF(OR(I95="product_question",I95="trial_intent"),BF95,""))))),IF(I95="save",BK95,IF(I95="discussion",BH95,IF(OR(I95="profile_visit",I95="dm"),BI95,IF(I95="link_click",BJ95,IF(OR(I95="product_question",I95="trial_intent"),BL95,""))))))</x:f>
      </x:c>
      <x:c r="BU95" s="73" t="str">
        <x:f>IF(C95="xiaohongshu",BF95,BL95)</x:f>
      </x:c>
      <x:c r="BV95" s="65" t="str">
        <x:f>IF(COUNT(BQ95,AV95)&lt;2,"unknown",IF(BQ95/AV95-1&gt;=0.2,"high",IF(BQ95/AV95-1&lt;=-0.2,"low","normal")))</x:f>
        <x:v>unknown</x:v>
      </x:c>
      <x:c r="BW95" s="65" t="str">
        <x:f>IF(COUNT(BR95,AW95)&lt;2,"unknown",IF(BR95/AW95-1&gt;=0.2,"high",IF(BR95/AW95-1&lt;=-0.2,"low","normal")))</x:f>
        <x:v>unknown</x:v>
      </x:c>
      <x:c r="BX95" s="65" t="str">
        <x:f>IF(COUNT(BS95,AX95)&lt;2,"unknown",IF(BS95/AX95-1&gt;=0.2,"high",IF(BS95/AX95-1&lt;=-0.2,"low","normal")))</x:f>
        <x:v>unknown</x:v>
      </x:c>
      <x:c r="BY95" s="65" t="str">
        <x:f>IF(COUNT(BT95,AY95)&lt;2,"unknown",IF(BT95/AY95-1&gt;=0.2,"high",IF(BT95/AY95-1&lt;=-0.2,"low","normal")))</x:f>
        <x:v>unknown</x:v>
      </x:c>
      <x:c r="BZ95" s="65" t="str">
        <x:f>IF(COUNT(BU95,AZ95)&lt;2,"unknown",IF(BU95/AZ95-1&gt;=0.2,"high",IF(BU95/AZ95-1&lt;=-0.2,"low","normal")))</x:f>
        <x:v>unknown</x:v>
      </x:c>
      <x:c r="CA95" s="65" t="str">
        <x:f>IF(T95&lt;&gt;"complete","pending",IF(OR(L95&lt;&gt;"pure",U95="true",COUNT(BM95,AT95)&lt;2,AND(AC95&lt;&gt;"",COUNT(BO95,AU95)&lt;2)),"not_attributable","attributable"))</x:f>
        <x:v>pending</x:v>
      </x:c>
      <x:c r="CB95" s="65" t="str">
        <x:f>IF(T95&lt;&gt;"complete","not_evaluated",IF(COUNT(BM95,AT95)&lt;2,"insufficient_data",IF(AND(AC95&lt;&gt;"",COUNT(BP95)=1,BP95&lt;=-0.2),"guardrail_fail",IF(AND(CA95="not_attributable",OR(BV95="high",BN95&gt;=0.2)),"watchlist",IF(CA95&lt;&gt;"attributable","insufficient_data",IF(BN95&gt;=0.2,"win",IF(BN95&lt;=-0.2,"loss","inconclusive")))))))</x:f>
        <x:v>not_evaluated</x:v>
      </x:c>
      <x:c r="CC95" s="65" t="str">
        <x:f>IF(T95&lt;&gt;"complete","COLLECT_MORE_DATA",IF(COUNT(BM95,AT95)&lt;2,"FIX_TRACKING",IF(CB95="guardrail_fail","STOP_VARIANT_GUARDRAIL",IF(CB95="watchlist","WATCHLIST_ONLY",IF(AND(BV95="high",BY95="low"),"KEEP_HOOK_REWRITE_CTA",IF(AND(BW95="high",BX95="low"),"KEEP_STRUCTURE_CHANGE_DISCUSSION_ANGLE",IF(AND(BX95="high",BZ95="low"),"DOWNWEIGHT_TEMPLATE",IF(CB95="win","RETEST_WINNER",IF(CB95="loss","RETURN_TO_BASELINE","COLLECT_MORE_DATA")))))))))</x:f>
        <x:v>COLLECT_MORE_DATA</x:v>
      </x:c>
      <x:c r="CD95" s="75"/>
    </x:row>
    <x:row r="96">
      <x:c r="A96" s="68"/>
      <x:c r="B96" s="69"/>
      <x:c r="C96" s="68"/>
      <x:c r="D96" s="68"/>
      <x:c r="E96" s="68"/>
      <x:c r="F96" s="68"/>
      <x:c r="G96" s="68"/>
      <x:c r="H96" s="70"/>
      <x:c r="I96" s="68"/>
      <x:c r="J96" s="68"/>
      <x:c r="K96" s="68"/>
      <x:c r="L96" s="71" t="str">
        <x:f>IF(K96="","unknown",IF(K96=0,"baseline",IF(K96=1,"pure","mixed")))</x:f>
        <x:v>unknown</x:v>
      </x:c>
      <x:c r="M96" s="68"/>
      <x:c r="N96" s="68"/>
      <x:c r="O96" s="68"/>
      <x:c r="P96" s="68"/>
      <x:c r="Q96" s="68"/>
      <x:c r="R96" s="68"/>
      <x:c r="S96" s="68"/>
      <x:c r="T96" s="68"/>
      <x:c r="U96" s="68"/>
      <x:c r="V96" s="68"/>
      <x:c r="W96" s="68"/>
      <x:c r="X96" s="68"/>
      <x:c r="Y96" s="68"/>
      <x:c r="Z96" s="68"/>
      <x:c r="AA96" s="68"/>
      <x:c r="AB96" s="68"/>
      <x:c r="AC96" s="68"/>
      <x:c r="AD96" s="70"/>
      <x:c r="AE96" s="70"/>
      <x:c r="AF96" s="70"/>
      <x:c r="AG96" s="70"/>
      <x:c r="AH96" s="70"/>
      <x:c r="AI96" s="70"/>
      <x:c r="AJ96" s="70"/>
      <x:c r="AK96" s="70"/>
      <x:c r="AL96" s="70"/>
      <x:c r="AM96" s="70"/>
      <x:c r="AN96" s="70"/>
      <x:c r="AO96" s="70"/>
      <x:c r="AP96" s="70"/>
      <x:c r="AQ96" s="70"/>
      <x:c r="AR96" s="70"/>
      <x:c r="AS96" s="70"/>
      <x:c r="AT96" s="72"/>
      <x:c r="AU96" s="72"/>
      <x:c r="AV96" s="72"/>
      <x:c r="AW96" s="72"/>
      <x:c r="AX96" s="72"/>
      <x:c r="AY96" s="72"/>
      <x:c r="AZ96" s="72"/>
      <x:c r="BA96" s="73" t="str">
        <x:f>IF(C96="xiaohongshu",IF(COUNT(AF96,AE96)&lt;2,"",IFERROR(AF96/AE96,"")),"")</x:f>
      </x:c>
      <x:c r="BB96" s="73" t="str">
        <x:f>IF(C96="xiaohongshu",IF(COUNT(AG96,AE96)&lt;2,"",IFERROR(AG96/AE96,"")),"")</x:f>
      </x:c>
      <x:c r="BC96" s="73" t="str">
        <x:f>IF(C96="xiaohongshu",IF(COUNT(AN96,AE96)&lt;2,"",IFERROR(AN96/AE96,"")),"")</x:f>
      </x:c>
      <x:c r="BD96" s="73" t="str">
        <x:f>IF(C96="xiaohongshu",IF(COUNT(AQ96,AE96)&lt;2,"",IFERROR(AQ96/AE96,"")),"")</x:f>
      </x:c>
      <x:c r="BE96" s="73" t="str">
        <x:f>IF(C96="xiaohongshu",IF(COUNT(AI96,AE96)&lt;2,"",IFERROR(AI96/AE96,"")),"")</x:f>
      </x:c>
      <x:c r="BF96" s="73" t="str">
        <x:f>IF(C96="xiaohongshu",IF(OR(COUNT(AE96)=0,COUNT(AR96,AS96)=0),"",IFERROR((AR96+AS96)/AE96,"")),"")</x:f>
      </x:c>
      <x:c r="BG96" s="73" t="str">
        <x:f>IF(C96="x",IF(COUNT(AD96)=0,"",IF(COUNT(AM96)=1,IFERROR(AM96/AD96,""),IF(COUNT(AH96,AI96,AK96,AL96)=0,"",IFERROR(SUM(AH96,AI96,AK96,AL96)/AD96,"")))),"")</x:f>
      </x:c>
      <x:c r="BH96" s="73" t="str">
        <x:f>IF(C96="x",IF(COUNT(AJ96,AD96)&lt;2,"",IFERROR(AJ96/AD96,"")),"")</x:f>
      </x:c>
      <x:c r="BI96" s="73" t="str">
        <x:f>IF(C96="x",IF(COUNT(AO96,AD96)&lt;2,"",IFERROR(AO96/AD96,"")),"")</x:f>
      </x:c>
      <x:c r="BJ96" s="73" t="str">
        <x:f>IF(C96="x",IF(COUNT(AP96,AD96)&lt;2,"",IFERROR(AP96/AD96,"")),"")</x:f>
      </x:c>
      <x:c r="BK96" s="73" t="str">
        <x:f>IF(C96="x",IF(COUNT(AL96,AD96)&lt;2,"",IFERROR(AL96/AD96,"")),"")</x:f>
      </x:c>
      <x:c r="BL96" s="73" t="str">
        <x:f>IF(C96="x",IF(OR(COUNT(AD96)=0,COUNT(AR96,AS96)=0),"",IFERROR((AR96+AS96)/AD96,"")),"")</x:f>
      </x:c>
      <x:c r="BM96" s="73" t="str">
        <x:f>IF(AB96="xhs_save_rate",BA96,IF(AB96="xhs_completion_rate",BB96,IF(AB96="xhs_profile_visit_rate",BC96,IF(AB96="xhs_dm_intent_rate",BD96,IF(AB96="xhs_discussion_rate",BE96,IF(AB96="xhs_product_relevance_rate",BF96,IF(AB96="x_first_screen_engaged_rate_proxy",BG96,IF(AB96="x_qualified_reply_rate",BH96,IF(AB96="x_profile_click_rate",BI96,IF(AB96="x_link_intent_rate",BJ96,IF(AB96="x_bookmark_rate",BK96,IF(AB96="x_product_relevance_rate",BL96,""))))))))))))</x:f>
      </x:c>
      <x:c r="BN96" s="73" t="str">
        <x:f>IFERROR(BM96/AT96-1,"")</x:f>
      </x:c>
      <x:c r="BO96" s="73" t="str">
        <x:f>IF(AC96="","",IF(AC96="xhs_save_rate",BA96,IF(AC96="xhs_completion_rate",BB96,IF(AC96="xhs_profile_visit_rate",BC96,IF(AC96="xhs_dm_intent_rate",BD96,IF(AC96="xhs_discussion_rate",BE96,IF(AC96="xhs_product_relevance_rate",BF96,IF(AC96="x_first_screen_engaged_rate_proxy",BG96,IF(AC96="x_qualified_reply_rate",BH96,IF(AC96="x_profile_click_rate",BI96,IF(AC96="x_link_intent_rate",BJ96,IF(AC96="x_bookmark_rate",BK96,IF(AC96="x_product_relevance_rate",BL96,"")))))))))))))</x:f>
      </x:c>
      <x:c r="BP96" s="73" t="str">
        <x:f>IFERROR(BO96/AU96-1,"")</x:f>
      </x:c>
      <x:c r="BQ96" s="74" t="str">
        <x:f>IF(COUNT(AD96)=0,"",AD96)</x:f>
      </x:c>
      <x:c r="BR96" s="73" t="str">
        <x:f>IF(C96="xiaohongshu",IF(COUNT(BA96,BB96)=2,AVERAGE(BA96,BB96),IF(COUNT(BA96)=1,BA96,BB96)),BK96)</x:f>
      </x:c>
      <x:c r="BS96" s="73" t="str">
        <x:f>IF(C96="xiaohongshu",BE96,BH96)</x:f>
      </x:c>
      <x:c r="BT96" s="73" t="str">
        <x:f>IF(C96="xiaohongshu",IF(I96="save",BA96,IF(I96="discussion",BE96,IF(I96="profile_visit",BC96,IF(I96="dm",BD96,IF(OR(I96="product_question",I96="trial_intent"),BF96,""))))),IF(I96="save",BK96,IF(I96="discussion",BH96,IF(OR(I96="profile_visit",I96="dm"),BI96,IF(I96="link_click",BJ96,IF(OR(I96="product_question",I96="trial_intent"),BL96,""))))))</x:f>
      </x:c>
      <x:c r="BU96" s="73" t="str">
        <x:f>IF(C96="xiaohongshu",BF96,BL96)</x:f>
      </x:c>
      <x:c r="BV96" s="65" t="str">
        <x:f>IF(COUNT(BQ96,AV96)&lt;2,"unknown",IF(BQ96/AV96-1&gt;=0.2,"high",IF(BQ96/AV96-1&lt;=-0.2,"low","normal")))</x:f>
        <x:v>unknown</x:v>
      </x:c>
      <x:c r="BW96" s="65" t="str">
        <x:f>IF(COUNT(BR96,AW96)&lt;2,"unknown",IF(BR96/AW96-1&gt;=0.2,"high",IF(BR96/AW96-1&lt;=-0.2,"low","normal")))</x:f>
        <x:v>unknown</x:v>
      </x:c>
      <x:c r="BX96" s="65" t="str">
        <x:f>IF(COUNT(BS96,AX96)&lt;2,"unknown",IF(BS96/AX96-1&gt;=0.2,"high",IF(BS96/AX96-1&lt;=-0.2,"low","normal")))</x:f>
        <x:v>unknown</x:v>
      </x:c>
      <x:c r="BY96" s="65" t="str">
        <x:f>IF(COUNT(BT96,AY96)&lt;2,"unknown",IF(BT96/AY96-1&gt;=0.2,"high",IF(BT96/AY96-1&lt;=-0.2,"low","normal")))</x:f>
        <x:v>unknown</x:v>
      </x:c>
      <x:c r="BZ96" s="65" t="str">
        <x:f>IF(COUNT(BU96,AZ96)&lt;2,"unknown",IF(BU96/AZ96-1&gt;=0.2,"high",IF(BU96/AZ96-1&lt;=-0.2,"low","normal")))</x:f>
        <x:v>unknown</x:v>
      </x:c>
      <x:c r="CA96" s="65" t="str">
        <x:f>IF(T96&lt;&gt;"complete","pending",IF(OR(L96&lt;&gt;"pure",U96="true",COUNT(BM96,AT96)&lt;2,AND(AC96&lt;&gt;"",COUNT(BO96,AU96)&lt;2)),"not_attributable","attributable"))</x:f>
        <x:v>pending</x:v>
      </x:c>
      <x:c r="CB96" s="65" t="str">
        <x:f>IF(T96&lt;&gt;"complete","not_evaluated",IF(COUNT(BM96,AT96)&lt;2,"insufficient_data",IF(AND(AC96&lt;&gt;"",COUNT(BP96)=1,BP96&lt;=-0.2),"guardrail_fail",IF(AND(CA96="not_attributable",OR(BV96="high",BN96&gt;=0.2)),"watchlist",IF(CA96&lt;&gt;"attributable","insufficient_data",IF(BN96&gt;=0.2,"win",IF(BN96&lt;=-0.2,"loss","inconclusive")))))))</x:f>
        <x:v>not_evaluated</x:v>
      </x:c>
      <x:c r="CC96" s="65" t="str">
        <x:f>IF(T96&lt;&gt;"complete","COLLECT_MORE_DATA",IF(COUNT(BM96,AT96)&lt;2,"FIX_TRACKING",IF(CB96="guardrail_fail","STOP_VARIANT_GUARDRAIL",IF(CB96="watchlist","WATCHLIST_ONLY",IF(AND(BV96="high",BY96="low"),"KEEP_HOOK_REWRITE_CTA",IF(AND(BW96="high",BX96="low"),"KEEP_STRUCTURE_CHANGE_DISCUSSION_ANGLE",IF(AND(BX96="high",BZ96="low"),"DOWNWEIGHT_TEMPLATE",IF(CB96="win","RETEST_WINNER",IF(CB96="loss","RETURN_TO_BASELINE","COLLECT_MORE_DATA")))))))))</x:f>
        <x:v>COLLECT_MORE_DATA</x:v>
      </x:c>
      <x:c r="CD96" s="75"/>
    </x:row>
    <x:row r="97">
      <x:c r="A97" s="68"/>
      <x:c r="B97" s="69"/>
      <x:c r="C97" s="68"/>
      <x:c r="D97" s="68"/>
      <x:c r="E97" s="68"/>
      <x:c r="F97" s="68"/>
      <x:c r="G97" s="68"/>
      <x:c r="H97" s="70"/>
      <x:c r="I97" s="68"/>
      <x:c r="J97" s="68"/>
      <x:c r="K97" s="68"/>
      <x:c r="L97" s="71" t="str">
        <x:f>IF(K97="","unknown",IF(K97=0,"baseline",IF(K97=1,"pure","mixed")))</x:f>
        <x:v>unknown</x:v>
      </x:c>
      <x:c r="M97" s="68"/>
      <x:c r="N97" s="68"/>
      <x:c r="O97" s="68"/>
      <x:c r="P97" s="68"/>
      <x:c r="Q97" s="68"/>
      <x:c r="R97" s="68"/>
      <x:c r="S97" s="68"/>
      <x:c r="T97" s="68"/>
      <x:c r="U97" s="68"/>
      <x:c r="V97" s="68"/>
      <x:c r="W97" s="68"/>
      <x:c r="X97" s="68"/>
      <x:c r="Y97" s="68"/>
      <x:c r="Z97" s="68"/>
      <x:c r="AA97" s="68"/>
      <x:c r="AB97" s="68"/>
      <x:c r="AC97" s="68"/>
      <x:c r="AD97" s="70"/>
      <x:c r="AE97" s="70"/>
      <x:c r="AF97" s="70"/>
      <x:c r="AG97" s="70"/>
      <x:c r="AH97" s="70"/>
      <x:c r="AI97" s="70"/>
      <x:c r="AJ97" s="70"/>
      <x:c r="AK97" s="70"/>
      <x:c r="AL97" s="70"/>
      <x:c r="AM97" s="70"/>
      <x:c r="AN97" s="70"/>
      <x:c r="AO97" s="70"/>
      <x:c r="AP97" s="70"/>
      <x:c r="AQ97" s="70"/>
      <x:c r="AR97" s="70"/>
      <x:c r="AS97" s="70"/>
      <x:c r="AT97" s="72"/>
      <x:c r="AU97" s="72"/>
      <x:c r="AV97" s="72"/>
      <x:c r="AW97" s="72"/>
      <x:c r="AX97" s="72"/>
      <x:c r="AY97" s="72"/>
      <x:c r="AZ97" s="72"/>
      <x:c r="BA97" s="73" t="str">
        <x:f>IF(C97="xiaohongshu",IF(COUNT(AF97,AE97)&lt;2,"",IFERROR(AF97/AE97,"")),"")</x:f>
      </x:c>
      <x:c r="BB97" s="73" t="str">
        <x:f>IF(C97="xiaohongshu",IF(COUNT(AG97,AE97)&lt;2,"",IFERROR(AG97/AE97,"")),"")</x:f>
      </x:c>
      <x:c r="BC97" s="73" t="str">
        <x:f>IF(C97="xiaohongshu",IF(COUNT(AN97,AE97)&lt;2,"",IFERROR(AN97/AE97,"")),"")</x:f>
      </x:c>
      <x:c r="BD97" s="73" t="str">
        <x:f>IF(C97="xiaohongshu",IF(COUNT(AQ97,AE97)&lt;2,"",IFERROR(AQ97/AE97,"")),"")</x:f>
      </x:c>
      <x:c r="BE97" s="73" t="str">
        <x:f>IF(C97="xiaohongshu",IF(COUNT(AI97,AE97)&lt;2,"",IFERROR(AI97/AE97,"")),"")</x:f>
      </x:c>
      <x:c r="BF97" s="73" t="str">
        <x:f>IF(C97="xiaohongshu",IF(OR(COUNT(AE97)=0,COUNT(AR97,AS97)=0),"",IFERROR((AR97+AS97)/AE97,"")),"")</x:f>
      </x:c>
      <x:c r="BG97" s="73" t="str">
        <x:f>IF(C97="x",IF(COUNT(AD97)=0,"",IF(COUNT(AM97)=1,IFERROR(AM97/AD97,""),IF(COUNT(AH97,AI97,AK97,AL97)=0,"",IFERROR(SUM(AH97,AI97,AK97,AL97)/AD97,"")))),"")</x:f>
      </x:c>
      <x:c r="BH97" s="73" t="str">
        <x:f>IF(C97="x",IF(COUNT(AJ97,AD97)&lt;2,"",IFERROR(AJ97/AD97,"")),"")</x:f>
      </x:c>
      <x:c r="BI97" s="73" t="str">
        <x:f>IF(C97="x",IF(COUNT(AO97,AD97)&lt;2,"",IFERROR(AO97/AD97,"")),"")</x:f>
      </x:c>
      <x:c r="BJ97" s="73" t="str">
        <x:f>IF(C97="x",IF(COUNT(AP97,AD97)&lt;2,"",IFERROR(AP97/AD97,"")),"")</x:f>
      </x:c>
      <x:c r="BK97" s="73" t="str">
        <x:f>IF(C97="x",IF(COUNT(AL97,AD97)&lt;2,"",IFERROR(AL97/AD97,"")),"")</x:f>
      </x:c>
      <x:c r="BL97" s="73" t="str">
        <x:f>IF(C97="x",IF(OR(COUNT(AD97)=0,COUNT(AR97,AS97)=0),"",IFERROR((AR97+AS97)/AD97,"")),"")</x:f>
      </x:c>
      <x:c r="BM97" s="73" t="str">
        <x:f>IF(AB97="xhs_save_rate",BA97,IF(AB97="xhs_completion_rate",BB97,IF(AB97="xhs_profile_visit_rate",BC97,IF(AB97="xhs_dm_intent_rate",BD97,IF(AB97="xhs_discussion_rate",BE97,IF(AB97="xhs_product_relevance_rate",BF97,IF(AB97="x_first_screen_engaged_rate_proxy",BG97,IF(AB97="x_qualified_reply_rate",BH97,IF(AB97="x_profile_click_rate",BI97,IF(AB97="x_link_intent_rate",BJ97,IF(AB97="x_bookmark_rate",BK97,IF(AB97="x_product_relevance_rate",BL97,""))))))))))))</x:f>
      </x:c>
      <x:c r="BN97" s="73" t="str">
        <x:f>IFERROR(BM97/AT97-1,"")</x:f>
      </x:c>
      <x:c r="BO97" s="73" t="str">
        <x:f>IF(AC97="","",IF(AC97="xhs_save_rate",BA97,IF(AC97="xhs_completion_rate",BB97,IF(AC97="xhs_profile_visit_rate",BC97,IF(AC97="xhs_dm_intent_rate",BD97,IF(AC97="xhs_discussion_rate",BE97,IF(AC97="xhs_product_relevance_rate",BF97,IF(AC97="x_first_screen_engaged_rate_proxy",BG97,IF(AC97="x_qualified_reply_rate",BH97,IF(AC97="x_profile_click_rate",BI97,IF(AC97="x_link_intent_rate",BJ97,IF(AC97="x_bookmark_rate",BK97,IF(AC97="x_product_relevance_rate",BL97,"")))))))))))))</x:f>
      </x:c>
      <x:c r="BP97" s="73" t="str">
        <x:f>IFERROR(BO97/AU97-1,"")</x:f>
      </x:c>
      <x:c r="BQ97" s="74" t="str">
        <x:f>IF(COUNT(AD97)=0,"",AD97)</x:f>
      </x:c>
      <x:c r="BR97" s="73" t="str">
        <x:f>IF(C97="xiaohongshu",IF(COUNT(BA97,BB97)=2,AVERAGE(BA97,BB97),IF(COUNT(BA97)=1,BA97,BB97)),BK97)</x:f>
      </x:c>
      <x:c r="BS97" s="73" t="str">
        <x:f>IF(C97="xiaohongshu",BE97,BH97)</x:f>
      </x:c>
      <x:c r="BT97" s="73" t="str">
        <x:f>IF(C97="xiaohongshu",IF(I97="save",BA97,IF(I97="discussion",BE97,IF(I97="profile_visit",BC97,IF(I97="dm",BD97,IF(OR(I97="product_question",I97="trial_intent"),BF97,""))))),IF(I97="save",BK97,IF(I97="discussion",BH97,IF(OR(I97="profile_visit",I97="dm"),BI97,IF(I97="link_click",BJ97,IF(OR(I97="product_question",I97="trial_intent"),BL97,""))))))</x:f>
      </x:c>
      <x:c r="BU97" s="73" t="str">
        <x:f>IF(C97="xiaohongshu",BF97,BL97)</x:f>
      </x:c>
      <x:c r="BV97" s="65" t="str">
        <x:f>IF(COUNT(BQ97,AV97)&lt;2,"unknown",IF(BQ97/AV97-1&gt;=0.2,"high",IF(BQ97/AV97-1&lt;=-0.2,"low","normal")))</x:f>
        <x:v>unknown</x:v>
      </x:c>
      <x:c r="BW97" s="65" t="str">
        <x:f>IF(COUNT(BR97,AW97)&lt;2,"unknown",IF(BR97/AW97-1&gt;=0.2,"high",IF(BR97/AW97-1&lt;=-0.2,"low","normal")))</x:f>
        <x:v>unknown</x:v>
      </x:c>
      <x:c r="BX97" s="65" t="str">
        <x:f>IF(COUNT(BS97,AX97)&lt;2,"unknown",IF(BS97/AX97-1&gt;=0.2,"high",IF(BS97/AX97-1&lt;=-0.2,"low","normal")))</x:f>
        <x:v>unknown</x:v>
      </x:c>
      <x:c r="BY97" s="65" t="str">
        <x:f>IF(COUNT(BT97,AY97)&lt;2,"unknown",IF(BT97/AY97-1&gt;=0.2,"high",IF(BT97/AY97-1&lt;=-0.2,"low","normal")))</x:f>
        <x:v>unknown</x:v>
      </x:c>
      <x:c r="BZ97" s="65" t="str">
        <x:f>IF(COUNT(BU97,AZ97)&lt;2,"unknown",IF(BU97/AZ97-1&gt;=0.2,"high",IF(BU97/AZ97-1&lt;=-0.2,"low","normal")))</x:f>
        <x:v>unknown</x:v>
      </x:c>
      <x:c r="CA97" s="65" t="str">
        <x:f>IF(T97&lt;&gt;"complete","pending",IF(OR(L97&lt;&gt;"pure",U97="true",COUNT(BM97,AT97)&lt;2,AND(AC97&lt;&gt;"",COUNT(BO97,AU97)&lt;2)),"not_attributable","attributable"))</x:f>
        <x:v>pending</x:v>
      </x:c>
      <x:c r="CB97" s="65" t="str">
        <x:f>IF(T97&lt;&gt;"complete","not_evaluated",IF(COUNT(BM97,AT97)&lt;2,"insufficient_data",IF(AND(AC97&lt;&gt;"",COUNT(BP97)=1,BP97&lt;=-0.2),"guardrail_fail",IF(AND(CA97="not_attributable",OR(BV97="high",BN97&gt;=0.2)),"watchlist",IF(CA97&lt;&gt;"attributable","insufficient_data",IF(BN97&gt;=0.2,"win",IF(BN97&lt;=-0.2,"loss","inconclusive")))))))</x:f>
        <x:v>not_evaluated</x:v>
      </x:c>
      <x:c r="CC97" s="65" t="str">
        <x:f>IF(T97&lt;&gt;"complete","COLLECT_MORE_DATA",IF(COUNT(BM97,AT97)&lt;2,"FIX_TRACKING",IF(CB97="guardrail_fail","STOP_VARIANT_GUARDRAIL",IF(CB97="watchlist","WATCHLIST_ONLY",IF(AND(BV97="high",BY97="low"),"KEEP_HOOK_REWRITE_CTA",IF(AND(BW97="high",BX97="low"),"KEEP_STRUCTURE_CHANGE_DISCUSSION_ANGLE",IF(AND(BX97="high",BZ97="low"),"DOWNWEIGHT_TEMPLATE",IF(CB97="win","RETEST_WINNER",IF(CB97="loss","RETURN_TO_BASELINE","COLLECT_MORE_DATA")))))))))</x:f>
        <x:v>COLLECT_MORE_DATA</x:v>
      </x:c>
      <x:c r="CD97" s="75"/>
    </x:row>
    <x:row r="98">
      <x:c r="A98" s="68"/>
      <x:c r="B98" s="69"/>
      <x:c r="C98" s="68"/>
      <x:c r="D98" s="68"/>
      <x:c r="E98" s="68"/>
      <x:c r="F98" s="68"/>
      <x:c r="G98" s="68"/>
      <x:c r="H98" s="70"/>
      <x:c r="I98" s="68"/>
      <x:c r="J98" s="68"/>
      <x:c r="K98" s="68"/>
      <x:c r="L98" s="71" t="str">
        <x:f>IF(K98="","unknown",IF(K98=0,"baseline",IF(K98=1,"pure","mixed")))</x:f>
        <x:v>unknown</x:v>
      </x:c>
      <x:c r="M98" s="68"/>
      <x:c r="N98" s="68"/>
      <x:c r="O98" s="68"/>
      <x:c r="P98" s="68"/>
      <x:c r="Q98" s="68"/>
      <x:c r="R98" s="68"/>
      <x:c r="S98" s="68"/>
      <x:c r="T98" s="68"/>
      <x:c r="U98" s="68"/>
      <x:c r="V98" s="68"/>
      <x:c r="W98" s="68"/>
      <x:c r="X98" s="68"/>
      <x:c r="Y98" s="68"/>
      <x:c r="Z98" s="68"/>
      <x:c r="AA98" s="68"/>
      <x:c r="AB98" s="68"/>
      <x:c r="AC98" s="68"/>
      <x:c r="AD98" s="70"/>
      <x:c r="AE98" s="70"/>
      <x:c r="AF98" s="70"/>
      <x:c r="AG98" s="70"/>
      <x:c r="AH98" s="70"/>
      <x:c r="AI98" s="70"/>
      <x:c r="AJ98" s="70"/>
      <x:c r="AK98" s="70"/>
      <x:c r="AL98" s="70"/>
      <x:c r="AM98" s="70"/>
      <x:c r="AN98" s="70"/>
      <x:c r="AO98" s="70"/>
      <x:c r="AP98" s="70"/>
      <x:c r="AQ98" s="70"/>
      <x:c r="AR98" s="70"/>
      <x:c r="AS98" s="70"/>
      <x:c r="AT98" s="72"/>
      <x:c r="AU98" s="72"/>
      <x:c r="AV98" s="72"/>
      <x:c r="AW98" s="72"/>
      <x:c r="AX98" s="72"/>
      <x:c r="AY98" s="72"/>
      <x:c r="AZ98" s="72"/>
      <x:c r="BA98" s="73" t="str">
        <x:f>IF(C98="xiaohongshu",IF(COUNT(AF98,AE98)&lt;2,"",IFERROR(AF98/AE98,"")),"")</x:f>
      </x:c>
      <x:c r="BB98" s="73" t="str">
        <x:f>IF(C98="xiaohongshu",IF(COUNT(AG98,AE98)&lt;2,"",IFERROR(AG98/AE98,"")),"")</x:f>
      </x:c>
      <x:c r="BC98" s="73" t="str">
        <x:f>IF(C98="xiaohongshu",IF(COUNT(AN98,AE98)&lt;2,"",IFERROR(AN98/AE98,"")),"")</x:f>
      </x:c>
      <x:c r="BD98" s="73" t="str">
        <x:f>IF(C98="xiaohongshu",IF(COUNT(AQ98,AE98)&lt;2,"",IFERROR(AQ98/AE98,"")),"")</x:f>
      </x:c>
      <x:c r="BE98" s="73" t="str">
        <x:f>IF(C98="xiaohongshu",IF(COUNT(AI98,AE98)&lt;2,"",IFERROR(AI98/AE98,"")),"")</x:f>
      </x:c>
      <x:c r="BF98" s="73" t="str">
        <x:f>IF(C98="xiaohongshu",IF(OR(COUNT(AE98)=0,COUNT(AR98,AS98)=0),"",IFERROR((AR98+AS98)/AE98,"")),"")</x:f>
      </x:c>
      <x:c r="BG98" s="73" t="str">
        <x:f>IF(C98="x",IF(COUNT(AD98)=0,"",IF(COUNT(AM98)=1,IFERROR(AM98/AD98,""),IF(COUNT(AH98,AI98,AK98,AL98)=0,"",IFERROR(SUM(AH98,AI98,AK98,AL98)/AD98,"")))),"")</x:f>
      </x:c>
      <x:c r="BH98" s="73" t="str">
        <x:f>IF(C98="x",IF(COUNT(AJ98,AD98)&lt;2,"",IFERROR(AJ98/AD98,"")),"")</x:f>
      </x:c>
      <x:c r="BI98" s="73" t="str">
        <x:f>IF(C98="x",IF(COUNT(AO98,AD98)&lt;2,"",IFERROR(AO98/AD98,"")),"")</x:f>
      </x:c>
      <x:c r="BJ98" s="73" t="str">
        <x:f>IF(C98="x",IF(COUNT(AP98,AD98)&lt;2,"",IFERROR(AP98/AD98,"")),"")</x:f>
      </x:c>
      <x:c r="BK98" s="73" t="str">
        <x:f>IF(C98="x",IF(COUNT(AL98,AD98)&lt;2,"",IFERROR(AL98/AD98,"")),"")</x:f>
      </x:c>
      <x:c r="BL98" s="73" t="str">
        <x:f>IF(C98="x",IF(OR(COUNT(AD98)=0,COUNT(AR98,AS98)=0),"",IFERROR((AR98+AS98)/AD98,"")),"")</x:f>
      </x:c>
      <x:c r="BM98" s="73" t="str">
        <x:f>IF(AB98="xhs_save_rate",BA98,IF(AB98="xhs_completion_rate",BB98,IF(AB98="xhs_profile_visit_rate",BC98,IF(AB98="xhs_dm_intent_rate",BD98,IF(AB98="xhs_discussion_rate",BE98,IF(AB98="xhs_product_relevance_rate",BF98,IF(AB98="x_first_screen_engaged_rate_proxy",BG98,IF(AB98="x_qualified_reply_rate",BH98,IF(AB98="x_profile_click_rate",BI98,IF(AB98="x_link_intent_rate",BJ98,IF(AB98="x_bookmark_rate",BK98,IF(AB98="x_product_relevance_rate",BL98,""))))))))))))</x:f>
      </x:c>
      <x:c r="BN98" s="73" t="str">
        <x:f>IFERROR(BM98/AT98-1,"")</x:f>
      </x:c>
      <x:c r="BO98" s="73" t="str">
        <x:f>IF(AC98="","",IF(AC98="xhs_save_rate",BA98,IF(AC98="xhs_completion_rate",BB98,IF(AC98="xhs_profile_visit_rate",BC98,IF(AC98="xhs_dm_intent_rate",BD98,IF(AC98="xhs_discussion_rate",BE98,IF(AC98="xhs_product_relevance_rate",BF98,IF(AC98="x_first_screen_engaged_rate_proxy",BG98,IF(AC98="x_qualified_reply_rate",BH98,IF(AC98="x_profile_click_rate",BI98,IF(AC98="x_link_intent_rate",BJ98,IF(AC98="x_bookmark_rate",BK98,IF(AC98="x_product_relevance_rate",BL98,"")))))))))))))</x:f>
      </x:c>
      <x:c r="BP98" s="73" t="str">
        <x:f>IFERROR(BO98/AU98-1,"")</x:f>
      </x:c>
      <x:c r="BQ98" s="74" t="str">
        <x:f>IF(COUNT(AD98)=0,"",AD98)</x:f>
      </x:c>
      <x:c r="BR98" s="73" t="str">
        <x:f>IF(C98="xiaohongshu",IF(COUNT(BA98,BB98)=2,AVERAGE(BA98,BB98),IF(COUNT(BA98)=1,BA98,BB98)),BK98)</x:f>
      </x:c>
      <x:c r="BS98" s="73" t="str">
        <x:f>IF(C98="xiaohongshu",BE98,BH98)</x:f>
      </x:c>
      <x:c r="BT98" s="73" t="str">
        <x:f>IF(C98="xiaohongshu",IF(I98="save",BA98,IF(I98="discussion",BE98,IF(I98="profile_visit",BC98,IF(I98="dm",BD98,IF(OR(I98="product_question",I98="trial_intent"),BF98,""))))),IF(I98="save",BK98,IF(I98="discussion",BH98,IF(OR(I98="profile_visit",I98="dm"),BI98,IF(I98="link_click",BJ98,IF(OR(I98="product_question",I98="trial_intent"),BL98,""))))))</x:f>
      </x:c>
      <x:c r="BU98" s="73" t="str">
        <x:f>IF(C98="xiaohongshu",BF98,BL98)</x:f>
      </x:c>
      <x:c r="BV98" s="65" t="str">
        <x:f>IF(COUNT(BQ98,AV98)&lt;2,"unknown",IF(BQ98/AV98-1&gt;=0.2,"high",IF(BQ98/AV98-1&lt;=-0.2,"low","normal")))</x:f>
        <x:v>unknown</x:v>
      </x:c>
      <x:c r="BW98" s="65" t="str">
        <x:f>IF(COUNT(BR98,AW98)&lt;2,"unknown",IF(BR98/AW98-1&gt;=0.2,"high",IF(BR98/AW98-1&lt;=-0.2,"low","normal")))</x:f>
        <x:v>unknown</x:v>
      </x:c>
      <x:c r="BX98" s="65" t="str">
        <x:f>IF(COUNT(BS98,AX98)&lt;2,"unknown",IF(BS98/AX98-1&gt;=0.2,"high",IF(BS98/AX98-1&lt;=-0.2,"low","normal")))</x:f>
        <x:v>unknown</x:v>
      </x:c>
      <x:c r="BY98" s="65" t="str">
        <x:f>IF(COUNT(BT98,AY98)&lt;2,"unknown",IF(BT98/AY98-1&gt;=0.2,"high",IF(BT98/AY98-1&lt;=-0.2,"low","normal")))</x:f>
        <x:v>unknown</x:v>
      </x:c>
      <x:c r="BZ98" s="65" t="str">
        <x:f>IF(COUNT(BU98,AZ98)&lt;2,"unknown",IF(BU98/AZ98-1&gt;=0.2,"high",IF(BU98/AZ98-1&lt;=-0.2,"low","normal")))</x:f>
        <x:v>unknown</x:v>
      </x:c>
      <x:c r="CA98" s="65" t="str">
        <x:f>IF(T98&lt;&gt;"complete","pending",IF(OR(L98&lt;&gt;"pure",U98="true",COUNT(BM98,AT98)&lt;2,AND(AC98&lt;&gt;"",COUNT(BO98,AU98)&lt;2)),"not_attributable","attributable"))</x:f>
        <x:v>pending</x:v>
      </x:c>
      <x:c r="CB98" s="65" t="str">
        <x:f>IF(T98&lt;&gt;"complete","not_evaluated",IF(COUNT(BM98,AT98)&lt;2,"insufficient_data",IF(AND(AC98&lt;&gt;"",COUNT(BP98)=1,BP98&lt;=-0.2),"guardrail_fail",IF(AND(CA98="not_attributable",OR(BV98="high",BN98&gt;=0.2)),"watchlist",IF(CA98&lt;&gt;"attributable","insufficient_data",IF(BN98&gt;=0.2,"win",IF(BN98&lt;=-0.2,"loss","inconclusive")))))))</x:f>
        <x:v>not_evaluated</x:v>
      </x:c>
      <x:c r="CC98" s="65" t="str">
        <x:f>IF(T98&lt;&gt;"complete","COLLECT_MORE_DATA",IF(COUNT(BM98,AT98)&lt;2,"FIX_TRACKING",IF(CB98="guardrail_fail","STOP_VARIANT_GUARDRAIL",IF(CB98="watchlist","WATCHLIST_ONLY",IF(AND(BV98="high",BY98="low"),"KEEP_HOOK_REWRITE_CTA",IF(AND(BW98="high",BX98="low"),"KEEP_STRUCTURE_CHANGE_DISCUSSION_ANGLE",IF(AND(BX98="high",BZ98="low"),"DOWNWEIGHT_TEMPLATE",IF(CB98="win","RETEST_WINNER",IF(CB98="loss","RETURN_TO_BASELINE","COLLECT_MORE_DATA")))))))))</x:f>
        <x:v>COLLECT_MORE_DATA</x:v>
      </x:c>
      <x:c r="CD98" s="75"/>
    </x:row>
    <x:row r="99">
      <x:c r="A99" s="68"/>
      <x:c r="B99" s="69"/>
      <x:c r="C99" s="68"/>
      <x:c r="D99" s="68"/>
      <x:c r="E99" s="68"/>
      <x:c r="F99" s="68"/>
      <x:c r="G99" s="68"/>
      <x:c r="H99" s="70"/>
      <x:c r="I99" s="68"/>
      <x:c r="J99" s="68"/>
      <x:c r="K99" s="68"/>
      <x:c r="L99" s="71" t="str">
        <x:f>IF(K99="","unknown",IF(K99=0,"baseline",IF(K99=1,"pure","mixed")))</x:f>
        <x:v>unknown</x:v>
      </x:c>
      <x:c r="M99" s="68"/>
      <x:c r="N99" s="68"/>
      <x:c r="O99" s="68"/>
      <x:c r="P99" s="68"/>
      <x:c r="Q99" s="68"/>
      <x:c r="R99" s="68"/>
      <x:c r="S99" s="68"/>
      <x:c r="T99" s="68"/>
      <x:c r="U99" s="68"/>
      <x:c r="V99" s="68"/>
      <x:c r="W99" s="68"/>
      <x:c r="X99" s="68"/>
      <x:c r="Y99" s="68"/>
      <x:c r="Z99" s="68"/>
      <x:c r="AA99" s="68"/>
      <x:c r="AB99" s="68"/>
      <x:c r="AC99" s="68"/>
      <x:c r="AD99" s="70"/>
      <x:c r="AE99" s="70"/>
      <x:c r="AF99" s="70"/>
      <x:c r="AG99" s="70"/>
      <x:c r="AH99" s="70"/>
      <x:c r="AI99" s="70"/>
      <x:c r="AJ99" s="70"/>
      <x:c r="AK99" s="70"/>
      <x:c r="AL99" s="70"/>
      <x:c r="AM99" s="70"/>
      <x:c r="AN99" s="70"/>
      <x:c r="AO99" s="70"/>
      <x:c r="AP99" s="70"/>
      <x:c r="AQ99" s="70"/>
      <x:c r="AR99" s="70"/>
      <x:c r="AS99" s="70"/>
      <x:c r="AT99" s="72"/>
      <x:c r="AU99" s="72"/>
      <x:c r="AV99" s="72"/>
      <x:c r="AW99" s="72"/>
      <x:c r="AX99" s="72"/>
      <x:c r="AY99" s="72"/>
      <x:c r="AZ99" s="72"/>
      <x:c r="BA99" s="73" t="str">
        <x:f>IF(C99="xiaohongshu",IF(COUNT(AF99,AE99)&lt;2,"",IFERROR(AF99/AE99,"")),"")</x:f>
      </x:c>
      <x:c r="BB99" s="73" t="str">
        <x:f>IF(C99="xiaohongshu",IF(COUNT(AG99,AE99)&lt;2,"",IFERROR(AG99/AE99,"")),"")</x:f>
      </x:c>
      <x:c r="BC99" s="73" t="str">
        <x:f>IF(C99="xiaohongshu",IF(COUNT(AN99,AE99)&lt;2,"",IFERROR(AN99/AE99,"")),"")</x:f>
      </x:c>
      <x:c r="BD99" s="73" t="str">
        <x:f>IF(C99="xiaohongshu",IF(COUNT(AQ99,AE99)&lt;2,"",IFERROR(AQ99/AE99,"")),"")</x:f>
      </x:c>
      <x:c r="BE99" s="73" t="str">
        <x:f>IF(C99="xiaohongshu",IF(COUNT(AI99,AE99)&lt;2,"",IFERROR(AI99/AE99,"")),"")</x:f>
      </x:c>
      <x:c r="BF99" s="73" t="str">
        <x:f>IF(C99="xiaohongshu",IF(OR(COUNT(AE99)=0,COUNT(AR99,AS99)=0),"",IFERROR((AR99+AS99)/AE99,"")),"")</x:f>
      </x:c>
      <x:c r="BG99" s="73" t="str">
        <x:f>IF(C99="x",IF(COUNT(AD99)=0,"",IF(COUNT(AM99)=1,IFERROR(AM99/AD99,""),IF(COUNT(AH99,AI99,AK99,AL99)=0,"",IFERROR(SUM(AH99,AI99,AK99,AL99)/AD99,"")))),"")</x:f>
      </x:c>
      <x:c r="BH99" s="73" t="str">
        <x:f>IF(C99="x",IF(COUNT(AJ99,AD99)&lt;2,"",IFERROR(AJ99/AD99,"")),"")</x:f>
      </x:c>
      <x:c r="BI99" s="73" t="str">
        <x:f>IF(C99="x",IF(COUNT(AO99,AD99)&lt;2,"",IFERROR(AO99/AD99,"")),"")</x:f>
      </x:c>
      <x:c r="BJ99" s="73" t="str">
        <x:f>IF(C99="x",IF(COUNT(AP99,AD99)&lt;2,"",IFERROR(AP99/AD99,"")),"")</x:f>
      </x:c>
      <x:c r="BK99" s="73" t="str">
        <x:f>IF(C99="x",IF(COUNT(AL99,AD99)&lt;2,"",IFERROR(AL99/AD99,"")),"")</x:f>
      </x:c>
      <x:c r="BL99" s="73" t="str">
        <x:f>IF(C99="x",IF(OR(COUNT(AD99)=0,COUNT(AR99,AS99)=0),"",IFERROR((AR99+AS99)/AD99,"")),"")</x:f>
      </x:c>
      <x:c r="BM99" s="73" t="str">
        <x:f>IF(AB99="xhs_save_rate",BA99,IF(AB99="xhs_completion_rate",BB99,IF(AB99="xhs_profile_visit_rate",BC99,IF(AB99="xhs_dm_intent_rate",BD99,IF(AB99="xhs_discussion_rate",BE99,IF(AB99="xhs_product_relevance_rate",BF99,IF(AB99="x_first_screen_engaged_rate_proxy",BG99,IF(AB99="x_qualified_reply_rate",BH99,IF(AB99="x_profile_click_rate",BI99,IF(AB99="x_link_intent_rate",BJ99,IF(AB99="x_bookmark_rate",BK99,IF(AB99="x_product_relevance_rate",BL99,""))))))))))))</x:f>
      </x:c>
      <x:c r="BN99" s="73" t="str">
        <x:f>IFERROR(BM99/AT99-1,"")</x:f>
      </x:c>
      <x:c r="BO99" s="73" t="str">
        <x:f>IF(AC99="","",IF(AC99="xhs_save_rate",BA99,IF(AC99="xhs_completion_rate",BB99,IF(AC99="xhs_profile_visit_rate",BC99,IF(AC99="xhs_dm_intent_rate",BD99,IF(AC99="xhs_discussion_rate",BE99,IF(AC99="xhs_product_relevance_rate",BF99,IF(AC99="x_first_screen_engaged_rate_proxy",BG99,IF(AC99="x_qualified_reply_rate",BH99,IF(AC99="x_profile_click_rate",BI99,IF(AC99="x_link_intent_rate",BJ99,IF(AC99="x_bookmark_rate",BK99,IF(AC99="x_product_relevance_rate",BL99,"")))))))))))))</x:f>
      </x:c>
      <x:c r="BP99" s="73" t="str">
        <x:f>IFERROR(BO99/AU99-1,"")</x:f>
      </x:c>
      <x:c r="BQ99" s="74" t="str">
        <x:f>IF(COUNT(AD99)=0,"",AD99)</x:f>
      </x:c>
      <x:c r="BR99" s="73" t="str">
        <x:f>IF(C99="xiaohongshu",IF(COUNT(BA99,BB99)=2,AVERAGE(BA99,BB99),IF(COUNT(BA99)=1,BA99,BB99)),BK99)</x:f>
      </x:c>
      <x:c r="BS99" s="73" t="str">
        <x:f>IF(C99="xiaohongshu",BE99,BH99)</x:f>
      </x:c>
      <x:c r="BT99" s="73" t="str">
        <x:f>IF(C99="xiaohongshu",IF(I99="save",BA99,IF(I99="discussion",BE99,IF(I99="profile_visit",BC99,IF(I99="dm",BD99,IF(OR(I99="product_question",I99="trial_intent"),BF99,""))))),IF(I99="save",BK99,IF(I99="discussion",BH99,IF(OR(I99="profile_visit",I99="dm"),BI99,IF(I99="link_click",BJ99,IF(OR(I99="product_question",I99="trial_intent"),BL99,""))))))</x:f>
      </x:c>
      <x:c r="BU99" s="73" t="str">
        <x:f>IF(C99="xiaohongshu",BF99,BL99)</x:f>
      </x:c>
      <x:c r="BV99" s="65" t="str">
        <x:f>IF(COUNT(BQ99,AV99)&lt;2,"unknown",IF(BQ99/AV99-1&gt;=0.2,"high",IF(BQ99/AV99-1&lt;=-0.2,"low","normal")))</x:f>
        <x:v>unknown</x:v>
      </x:c>
      <x:c r="BW99" s="65" t="str">
        <x:f>IF(COUNT(BR99,AW99)&lt;2,"unknown",IF(BR99/AW99-1&gt;=0.2,"high",IF(BR99/AW99-1&lt;=-0.2,"low","normal")))</x:f>
        <x:v>unknown</x:v>
      </x:c>
      <x:c r="BX99" s="65" t="str">
        <x:f>IF(COUNT(BS99,AX99)&lt;2,"unknown",IF(BS99/AX99-1&gt;=0.2,"high",IF(BS99/AX99-1&lt;=-0.2,"low","normal")))</x:f>
        <x:v>unknown</x:v>
      </x:c>
      <x:c r="BY99" s="65" t="str">
        <x:f>IF(COUNT(BT99,AY99)&lt;2,"unknown",IF(BT99/AY99-1&gt;=0.2,"high",IF(BT99/AY99-1&lt;=-0.2,"low","normal")))</x:f>
        <x:v>unknown</x:v>
      </x:c>
      <x:c r="BZ99" s="65" t="str">
        <x:f>IF(COUNT(BU99,AZ99)&lt;2,"unknown",IF(BU99/AZ99-1&gt;=0.2,"high",IF(BU99/AZ99-1&lt;=-0.2,"low","normal")))</x:f>
        <x:v>unknown</x:v>
      </x:c>
      <x:c r="CA99" s="65" t="str">
        <x:f>IF(T99&lt;&gt;"complete","pending",IF(OR(L99&lt;&gt;"pure",U99="true",COUNT(BM99,AT99)&lt;2,AND(AC99&lt;&gt;"",COUNT(BO99,AU99)&lt;2)),"not_attributable","attributable"))</x:f>
        <x:v>pending</x:v>
      </x:c>
      <x:c r="CB99" s="65" t="str">
        <x:f>IF(T99&lt;&gt;"complete","not_evaluated",IF(COUNT(BM99,AT99)&lt;2,"insufficient_data",IF(AND(AC99&lt;&gt;"",COUNT(BP99)=1,BP99&lt;=-0.2),"guardrail_fail",IF(AND(CA99="not_attributable",OR(BV99="high",BN99&gt;=0.2)),"watchlist",IF(CA99&lt;&gt;"attributable","insufficient_data",IF(BN99&gt;=0.2,"win",IF(BN99&lt;=-0.2,"loss","inconclusive")))))))</x:f>
        <x:v>not_evaluated</x:v>
      </x:c>
      <x:c r="CC99" s="65" t="str">
        <x:f>IF(T99&lt;&gt;"complete","COLLECT_MORE_DATA",IF(COUNT(BM99,AT99)&lt;2,"FIX_TRACKING",IF(CB99="guardrail_fail","STOP_VARIANT_GUARDRAIL",IF(CB99="watchlist","WATCHLIST_ONLY",IF(AND(BV99="high",BY99="low"),"KEEP_HOOK_REWRITE_CTA",IF(AND(BW99="high",BX99="low"),"KEEP_STRUCTURE_CHANGE_DISCUSSION_ANGLE",IF(AND(BX99="high",BZ99="low"),"DOWNWEIGHT_TEMPLATE",IF(CB99="win","RETEST_WINNER",IF(CB99="loss","RETURN_TO_BASELINE","COLLECT_MORE_DATA")))))))))</x:f>
        <x:v>COLLECT_MORE_DATA</x:v>
      </x:c>
      <x:c r="CD99" s="75"/>
    </x:row>
    <x:row r="100">
      <x:c r="A100" s="68"/>
      <x:c r="B100" s="69"/>
      <x:c r="C100" s="68"/>
      <x:c r="D100" s="68"/>
      <x:c r="E100" s="68"/>
      <x:c r="F100" s="68"/>
      <x:c r="G100" s="68"/>
      <x:c r="H100" s="70"/>
      <x:c r="I100" s="68"/>
      <x:c r="J100" s="68"/>
      <x:c r="K100" s="68"/>
      <x:c r="L100" s="71" t="str">
        <x:f>IF(K100="","unknown",IF(K100=0,"baseline",IF(K100=1,"pure","mixed")))</x:f>
        <x:v>unknown</x:v>
      </x:c>
      <x:c r="M100" s="68"/>
      <x:c r="N100" s="68"/>
      <x:c r="O100" s="68"/>
      <x:c r="P100" s="68"/>
      <x:c r="Q100" s="68"/>
      <x:c r="R100" s="68"/>
      <x:c r="S100" s="68"/>
      <x:c r="T100" s="68"/>
      <x:c r="U100" s="68"/>
      <x:c r="V100" s="68"/>
      <x:c r="W100" s="68"/>
      <x:c r="X100" s="68"/>
      <x:c r="Y100" s="68"/>
      <x:c r="Z100" s="68"/>
      <x:c r="AA100" s="68"/>
      <x:c r="AB100" s="68"/>
      <x:c r="AC100" s="68"/>
      <x:c r="AD100" s="70"/>
      <x:c r="AE100" s="70"/>
      <x:c r="AF100" s="70"/>
      <x:c r="AG100" s="70"/>
      <x:c r="AH100" s="70"/>
      <x:c r="AI100" s="70"/>
      <x:c r="AJ100" s="70"/>
      <x:c r="AK100" s="70"/>
      <x:c r="AL100" s="70"/>
      <x:c r="AM100" s="70"/>
      <x:c r="AN100" s="70"/>
      <x:c r="AO100" s="70"/>
      <x:c r="AP100" s="70"/>
      <x:c r="AQ100" s="70"/>
      <x:c r="AR100" s="70"/>
      <x:c r="AS100" s="70"/>
      <x:c r="AT100" s="72"/>
      <x:c r="AU100" s="72"/>
      <x:c r="AV100" s="72"/>
      <x:c r="AW100" s="72"/>
      <x:c r="AX100" s="72"/>
      <x:c r="AY100" s="72"/>
      <x:c r="AZ100" s="72"/>
      <x:c r="BA100" s="73" t="str">
        <x:f>IF(C100="xiaohongshu",IF(COUNT(AF100,AE100)&lt;2,"",IFERROR(AF100/AE100,"")),"")</x:f>
      </x:c>
      <x:c r="BB100" s="73" t="str">
        <x:f>IF(C100="xiaohongshu",IF(COUNT(AG100,AE100)&lt;2,"",IFERROR(AG100/AE100,"")),"")</x:f>
      </x:c>
      <x:c r="BC100" s="73" t="str">
        <x:f>IF(C100="xiaohongshu",IF(COUNT(AN100,AE100)&lt;2,"",IFERROR(AN100/AE100,"")),"")</x:f>
      </x:c>
      <x:c r="BD100" s="73" t="str">
        <x:f>IF(C100="xiaohongshu",IF(COUNT(AQ100,AE100)&lt;2,"",IFERROR(AQ100/AE100,"")),"")</x:f>
      </x:c>
      <x:c r="BE100" s="73" t="str">
        <x:f>IF(C100="xiaohongshu",IF(COUNT(AI100,AE100)&lt;2,"",IFERROR(AI100/AE100,"")),"")</x:f>
      </x:c>
      <x:c r="BF100" s="73" t="str">
        <x:f>IF(C100="xiaohongshu",IF(OR(COUNT(AE100)=0,COUNT(AR100,AS100)=0),"",IFERROR((AR100+AS100)/AE100,"")),"")</x:f>
      </x:c>
      <x:c r="BG100" s="73" t="str">
        <x:f>IF(C100="x",IF(COUNT(AD100)=0,"",IF(COUNT(AM100)=1,IFERROR(AM100/AD100,""),IF(COUNT(AH100,AI100,AK100,AL100)=0,"",IFERROR(SUM(AH100,AI100,AK100,AL100)/AD100,"")))),"")</x:f>
      </x:c>
      <x:c r="BH100" s="73" t="str">
        <x:f>IF(C100="x",IF(COUNT(AJ100,AD100)&lt;2,"",IFERROR(AJ100/AD100,"")),"")</x:f>
      </x:c>
      <x:c r="BI100" s="73" t="str">
        <x:f>IF(C100="x",IF(COUNT(AO100,AD100)&lt;2,"",IFERROR(AO100/AD100,"")),"")</x:f>
      </x:c>
      <x:c r="BJ100" s="73" t="str">
        <x:f>IF(C100="x",IF(COUNT(AP100,AD100)&lt;2,"",IFERROR(AP100/AD100,"")),"")</x:f>
      </x:c>
      <x:c r="BK100" s="73" t="str">
        <x:f>IF(C100="x",IF(COUNT(AL100,AD100)&lt;2,"",IFERROR(AL100/AD100,"")),"")</x:f>
      </x:c>
      <x:c r="BL100" s="73" t="str">
        <x:f>IF(C100="x",IF(OR(COUNT(AD100)=0,COUNT(AR100,AS100)=0),"",IFERROR((AR100+AS100)/AD100,"")),"")</x:f>
      </x:c>
      <x:c r="BM100" s="73" t="str">
        <x:f>IF(AB100="xhs_save_rate",BA100,IF(AB100="xhs_completion_rate",BB100,IF(AB100="xhs_profile_visit_rate",BC100,IF(AB100="xhs_dm_intent_rate",BD100,IF(AB100="xhs_discussion_rate",BE100,IF(AB100="xhs_product_relevance_rate",BF100,IF(AB100="x_first_screen_engaged_rate_proxy",BG100,IF(AB100="x_qualified_reply_rate",BH100,IF(AB100="x_profile_click_rate",BI100,IF(AB100="x_link_intent_rate",BJ100,IF(AB100="x_bookmark_rate",BK100,IF(AB100="x_product_relevance_rate",BL100,""))))))))))))</x:f>
      </x:c>
      <x:c r="BN100" s="73" t="str">
        <x:f>IFERROR(BM100/AT100-1,"")</x:f>
      </x:c>
      <x:c r="BO100" s="73" t="str">
        <x:f>IF(AC100="","",IF(AC100="xhs_save_rate",BA100,IF(AC100="xhs_completion_rate",BB100,IF(AC100="xhs_profile_visit_rate",BC100,IF(AC100="xhs_dm_intent_rate",BD100,IF(AC100="xhs_discussion_rate",BE100,IF(AC100="xhs_product_relevance_rate",BF100,IF(AC100="x_first_screen_engaged_rate_proxy",BG100,IF(AC100="x_qualified_reply_rate",BH100,IF(AC100="x_profile_click_rate",BI100,IF(AC100="x_link_intent_rate",BJ100,IF(AC100="x_bookmark_rate",BK100,IF(AC100="x_product_relevance_rate",BL100,"")))))))))))))</x:f>
      </x:c>
      <x:c r="BP100" s="73" t="str">
        <x:f>IFERROR(BO100/AU100-1,"")</x:f>
      </x:c>
      <x:c r="BQ100" s="74" t="str">
        <x:f>IF(COUNT(AD100)=0,"",AD100)</x:f>
      </x:c>
      <x:c r="BR100" s="73" t="str">
        <x:f>IF(C100="xiaohongshu",IF(COUNT(BA100,BB100)=2,AVERAGE(BA100,BB100),IF(COUNT(BA100)=1,BA100,BB100)),BK100)</x:f>
      </x:c>
      <x:c r="BS100" s="73" t="str">
        <x:f>IF(C100="xiaohongshu",BE100,BH100)</x:f>
      </x:c>
      <x:c r="BT100" s="73" t="str">
        <x:f>IF(C100="xiaohongshu",IF(I100="save",BA100,IF(I100="discussion",BE100,IF(I100="profile_visit",BC100,IF(I100="dm",BD100,IF(OR(I100="product_question",I100="trial_intent"),BF100,""))))),IF(I100="save",BK100,IF(I100="discussion",BH100,IF(OR(I100="profile_visit",I100="dm"),BI100,IF(I100="link_click",BJ100,IF(OR(I100="product_question",I100="trial_intent"),BL100,""))))))</x:f>
      </x:c>
      <x:c r="BU100" s="73" t="str">
        <x:f>IF(C100="xiaohongshu",BF100,BL100)</x:f>
      </x:c>
      <x:c r="BV100" s="65" t="str">
        <x:f>IF(COUNT(BQ100,AV100)&lt;2,"unknown",IF(BQ100/AV100-1&gt;=0.2,"high",IF(BQ100/AV100-1&lt;=-0.2,"low","normal")))</x:f>
        <x:v>unknown</x:v>
      </x:c>
      <x:c r="BW100" s="65" t="str">
        <x:f>IF(COUNT(BR100,AW100)&lt;2,"unknown",IF(BR100/AW100-1&gt;=0.2,"high",IF(BR100/AW100-1&lt;=-0.2,"low","normal")))</x:f>
        <x:v>unknown</x:v>
      </x:c>
      <x:c r="BX100" s="65" t="str">
        <x:f>IF(COUNT(BS100,AX100)&lt;2,"unknown",IF(BS100/AX100-1&gt;=0.2,"high",IF(BS100/AX100-1&lt;=-0.2,"low","normal")))</x:f>
        <x:v>unknown</x:v>
      </x:c>
      <x:c r="BY100" s="65" t="str">
        <x:f>IF(COUNT(BT100,AY100)&lt;2,"unknown",IF(BT100/AY100-1&gt;=0.2,"high",IF(BT100/AY100-1&lt;=-0.2,"low","normal")))</x:f>
        <x:v>unknown</x:v>
      </x:c>
      <x:c r="BZ100" s="65" t="str">
        <x:f>IF(COUNT(BU100,AZ100)&lt;2,"unknown",IF(BU100/AZ100-1&gt;=0.2,"high",IF(BU100/AZ100-1&lt;=-0.2,"low","normal")))</x:f>
        <x:v>unknown</x:v>
      </x:c>
      <x:c r="CA100" s="65" t="str">
        <x:f>IF(T100&lt;&gt;"complete","pending",IF(OR(L100&lt;&gt;"pure",U100="true",COUNT(BM100,AT100)&lt;2,AND(AC100&lt;&gt;"",COUNT(BO100,AU100)&lt;2)),"not_attributable","attributable"))</x:f>
        <x:v>pending</x:v>
      </x:c>
      <x:c r="CB100" s="65" t="str">
        <x:f>IF(T100&lt;&gt;"complete","not_evaluated",IF(COUNT(BM100,AT100)&lt;2,"insufficient_data",IF(AND(AC100&lt;&gt;"",COUNT(BP100)=1,BP100&lt;=-0.2),"guardrail_fail",IF(AND(CA100="not_attributable",OR(BV100="high",BN100&gt;=0.2)),"watchlist",IF(CA100&lt;&gt;"attributable","insufficient_data",IF(BN100&gt;=0.2,"win",IF(BN100&lt;=-0.2,"loss","inconclusive")))))))</x:f>
        <x:v>not_evaluated</x:v>
      </x:c>
      <x:c r="CC100" s="65" t="str">
        <x:f>IF(T100&lt;&gt;"complete","COLLECT_MORE_DATA",IF(COUNT(BM100,AT100)&lt;2,"FIX_TRACKING",IF(CB100="guardrail_fail","STOP_VARIANT_GUARDRAIL",IF(CB100="watchlist","WATCHLIST_ONLY",IF(AND(BV100="high",BY100="low"),"KEEP_HOOK_REWRITE_CTA",IF(AND(BW100="high",BX100="low"),"KEEP_STRUCTURE_CHANGE_DISCUSSION_ANGLE",IF(AND(BX100="high",BZ100="low"),"DOWNWEIGHT_TEMPLATE",IF(CB100="win","RETEST_WINNER",IF(CB100="loss","RETURN_TO_BASELINE","COLLECT_MORE_DATA")))))))))</x:f>
        <x:v>COLLECT_MORE_DATA</x:v>
      </x:c>
      <x:c r="CD100" s="75"/>
    </x:row>
    <x:row r="101">
      <x:c r="A101" s="68"/>
      <x:c r="B101" s="69"/>
      <x:c r="C101" s="68"/>
      <x:c r="D101" s="68"/>
      <x:c r="E101" s="68"/>
      <x:c r="F101" s="68"/>
      <x:c r="G101" s="68"/>
      <x:c r="H101" s="70"/>
      <x:c r="I101" s="68"/>
      <x:c r="J101" s="68"/>
      <x:c r="K101" s="68"/>
      <x:c r="L101" s="71" t="str">
        <x:f>IF(K101="","unknown",IF(K101=0,"baseline",IF(K101=1,"pure","mixed")))</x:f>
        <x:v>unknown</x:v>
      </x:c>
      <x:c r="M101" s="68"/>
      <x:c r="N101" s="68"/>
      <x:c r="O101" s="68"/>
      <x:c r="P101" s="68"/>
      <x:c r="Q101" s="68"/>
      <x:c r="R101" s="68"/>
      <x:c r="S101" s="68"/>
      <x:c r="T101" s="68"/>
      <x:c r="U101" s="68"/>
      <x:c r="V101" s="68"/>
      <x:c r="W101" s="68"/>
      <x:c r="X101" s="68"/>
      <x:c r="Y101" s="68"/>
      <x:c r="Z101" s="68"/>
      <x:c r="AA101" s="68"/>
      <x:c r="AB101" s="68"/>
      <x:c r="AC101" s="68"/>
      <x:c r="AD101" s="70"/>
      <x:c r="AE101" s="70"/>
      <x:c r="AF101" s="70"/>
      <x:c r="AG101" s="70"/>
      <x:c r="AH101" s="70"/>
      <x:c r="AI101" s="70"/>
      <x:c r="AJ101" s="70"/>
      <x:c r="AK101" s="70"/>
      <x:c r="AL101" s="70"/>
      <x:c r="AM101" s="70"/>
      <x:c r="AN101" s="70"/>
      <x:c r="AO101" s="70"/>
      <x:c r="AP101" s="70"/>
      <x:c r="AQ101" s="70"/>
      <x:c r="AR101" s="70"/>
      <x:c r="AS101" s="70"/>
      <x:c r="AT101" s="72"/>
      <x:c r="AU101" s="72"/>
      <x:c r="AV101" s="72"/>
      <x:c r="AW101" s="72"/>
      <x:c r="AX101" s="72"/>
      <x:c r="AY101" s="72"/>
      <x:c r="AZ101" s="72"/>
      <x:c r="BA101" s="73" t="str">
        <x:f>IF(C101="xiaohongshu",IF(COUNT(AF101,AE101)&lt;2,"",IFERROR(AF101/AE101,"")),"")</x:f>
      </x:c>
      <x:c r="BB101" s="73" t="str">
        <x:f>IF(C101="xiaohongshu",IF(COUNT(AG101,AE101)&lt;2,"",IFERROR(AG101/AE101,"")),"")</x:f>
      </x:c>
      <x:c r="BC101" s="73" t="str">
        <x:f>IF(C101="xiaohongshu",IF(COUNT(AN101,AE101)&lt;2,"",IFERROR(AN101/AE101,"")),"")</x:f>
      </x:c>
      <x:c r="BD101" s="73" t="str">
        <x:f>IF(C101="xiaohongshu",IF(COUNT(AQ101,AE101)&lt;2,"",IFERROR(AQ101/AE101,"")),"")</x:f>
      </x:c>
      <x:c r="BE101" s="73" t="str">
        <x:f>IF(C101="xiaohongshu",IF(COUNT(AI101,AE101)&lt;2,"",IFERROR(AI101/AE101,"")),"")</x:f>
      </x:c>
      <x:c r="BF101" s="73" t="str">
        <x:f>IF(C101="xiaohongshu",IF(OR(COUNT(AE101)=0,COUNT(AR101,AS101)=0),"",IFERROR((AR101+AS101)/AE101,"")),"")</x:f>
      </x:c>
      <x:c r="BG101" s="73" t="str">
        <x:f>IF(C101="x",IF(COUNT(AD101)=0,"",IF(COUNT(AM101)=1,IFERROR(AM101/AD101,""),IF(COUNT(AH101,AI101,AK101,AL101)=0,"",IFERROR(SUM(AH101,AI101,AK101,AL101)/AD101,"")))),"")</x:f>
      </x:c>
      <x:c r="BH101" s="73" t="str">
        <x:f>IF(C101="x",IF(COUNT(AJ101,AD101)&lt;2,"",IFERROR(AJ101/AD101,"")),"")</x:f>
      </x:c>
      <x:c r="BI101" s="73" t="str">
        <x:f>IF(C101="x",IF(COUNT(AO101,AD101)&lt;2,"",IFERROR(AO101/AD101,"")),"")</x:f>
      </x:c>
      <x:c r="BJ101" s="73" t="str">
        <x:f>IF(C101="x",IF(COUNT(AP101,AD101)&lt;2,"",IFERROR(AP101/AD101,"")),"")</x:f>
      </x:c>
      <x:c r="BK101" s="73" t="str">
        <x:f>IF(C101="x",IF(COUNT(AL101,AD101)&lt;2,"",IFERROR(AL101/AD101,"")),"")</x:f>
      </x:c>
      <x:c r="BL101" s="73" t="str">
        <x:f>IF(C101="x",IF(OR(COUNT(AD101)=0,COUNT(AR101,AS101)=0),"",IFERROR((AR101+AS101)/AD101,"")),"")</x:f>
      </x:c>
      <x:c r="BM101" s="73" t="str">
        <x:f>IF(AB101="xhs_save_rate",BA101,IF(AB101="xhs_completion_rate",BB101,IF(AB101="xhs_profile_visit_rate",BC101,IF(AB101="xhs_dm_intent_rate",BD101,IF(AB101="xhs_discussion_rate",BE101,IF(AB101="xhs_product_relevance_rate",BF101,IF(AB101="x_first_screen_engaged_rate_proxy",BG101,IF(AB101="x_qualified_reply_rate",BH101,IF(AB101="x_profile_click_rate",BI101,IF(AB101="x_link_intent_rate",BJ101,IF(AB101="x_bookmark_rate",BK101,IF(AB101="x_product_relevance_rate",BL101,""))))))))))))</x:f>
      </x:c>
      <x:c r="BN101" s="73" t="str">
        <x:f>IFERROR(BM101/AT101-1,"")</x:f>
      </x:c>
      <x:c r="BO101" s="73" t="str">
        <x:f>IF(AC101="","",IF(AC101="xhs_save_rate",BA101,IF(AC101="xhs_completion_rate",BB101,IF(AC101="xhs_profile_visit_rate",BC101,IF(AC101="xhs_dm_intent_rate",BD101,IF(AC101="xhs_discussion_rate",BE101,IF(AC101="xhs_product_relevance_rate",BF101,IF(AC101="x_first_screen_engaged_rate_proxy",BG101,IF(AC101="x_qualified_reply_rate",BH101,IF(AC101="x_profile_click_rate",BI101,IF(AC101="x_link_intent_rate",BJ101,IF(AC101="x_bookmark_rate",BK101,IF(AC101="x_product_relevance_rate",BL101,"")))))))))))))</x:f>
      </x:c>
      <x:c r="BP101" s="73" t="str">
        <x:f>IFERROR(BO101/AU101-1,"")</x:f>
      </x:c>
      <x:c r="BQ101" s="74" t="str">
        <x:f>IF(COUNT(AD101)=0,"",AD101)</x:f>
      </x:c>
      <x:c r="BR101" s="73" t="str">
        <x:f>IF(C101="xiaohongshu",IF(COUNT(BA101,BB101)=2,AVERAGE(BA101,BB101),IF(COUNT(BA101)=1,BA101,BB101)),BK101)</x:f>
      </x:c>
      <x:c r="BS101" s="73" t="str">
        <x:f>IF(C101="xiaohongshu",BE101,BH101)</x:f>
      </x:c>
      <x:c r="BT101" s="73" t="str">
        <x:f>IF(C101="xiaohongshu",IF(I101="save",BA101,IF(I101="discussion",BE101,IF(I101="profile_visit",BC101,IF(I101="dm",BD101,IF(OR(I101="product_question",I101="trial_intent"),BF101,""))))),IF(I101="save",BK101,IF(I101="discussion",BH101,IF(OR(I101="profile_visit",I101="dm"),BI101,IF(I101="link_click",BJ101,IF(OR(I101="product_question",I101="trial_intent"),BL101,""))))))</x:f>
      </x:c>
      <x:c r="BU101" s="73" t="str">
        <x:f>IF(C101="xiaohongshu",BF101,BL101)</x:f>
      </x:c>
      <x:c r="BV101" s="65" t="str">
        <x:f>IF(COUNT(BQ101,AV101)&lt;2,"unknown",IF(BQ101/AV101-1&gt;=0.2,"high",IF(BQ101/AV101-1&lt;=-0.2,"low","normal")))</x:f>
        <x:v>unknown</x:v>
      </x:c>
      <x:c r="BW101" s="65" t="str">
        <x:f>IF(COUNT(BR101,AW101)&lt;2,"unknown",IF(BR101/AW101-1&gt;=0.2,"high",IF(BR101/AW101-1&lt;=-0.2,"low","normal")))</x:f>
        <x:v>unknown</x:v>
      </x:c>
      <x:c r="BX101" s="65" t="str">
        <x:f>IF(COUNT(BS101,AX101)&lt;2,"unknown",IF(BS101/AX101-1&gt;=0.2,"high",IF(BS101/AX101-1&lt;=-0.2,"low","normal")))</x:f>
        <x:v>unknown</x:v>
      </x:c>
      <x:c r="BY101" s="65" t="str">
        <x:f>IF(COUNT(BT101,AY101)&lt;2,"unknown",IF(BT101/AY101-1&gt;=0.2,"high",IF(BT101/AY101-1&lt;=-0.2,"low","normal")))</x:f>
        <x:v>unknown</x:v>
      </x:c>
      <x:c r="BZ101" s="65" t="str">
        <x:f>IF(COUNT(BU101,AZ101)&lt;2,"unknown",IF(BU101/AZ101-1&gt;=0.2,"high",IF(BU101/AZ101-1&lt;=-0.2,"low","normal")))</x:f>
        <x:v>unknown</x:v>
      </x:c>
      <x:c r="CA101" s="65" t="str">
        <x:f>IF(T101&lt;&gt;"complete","pending",IF(OR(L101&lt;&gt;"pure",U101="true",COUNT(BM101,AT101)&lt;2,AND(AC101&lt;&gt;"",COUNT(BO101,AU101)&lt;2)),"not_attributable","attributable"))</x:f>
        <x:v>pending</x:v>
      </x:c>
      <x:c r="CB101" s="65" t="str">
        <x:f>IF(T101&lt;&gt;"complete","not_evaluated",IF(COUNT(BM101,AT101)&lt;2,"insufficient_data",IF(AND(AC101&lt;&gt;"",COUNT(BP101)=1,BP101&lt;=-0.2),"guardrail_fail",IF(AND(CA101="not_attributable",OR(BV101="high",BN101&gt;=0.2)),"watchlist",IF(CA101&lt;&gt;"attributable","insufficient_data",IF(BN101&gt;=0.2,"win",IF(BN101&lt;=-0.2,"loss","inconclusive")))))))</x:f>
        <x:v>not_evaluated</x:v>
      </x:c>
      <x:c r="CC101" s="65" t="str">
        <x:f>IF(T101&lt;&gt;"complete","COLLECT_MORE_DATA",IF(COUNT(BM101,AT101)&lt;2,"FIX_TRACKING",IF(CB101="guardrail_fail","STOP_VARIANT_GUARDRAIL",IF(CB101="watchlist","WATCHLIST_ONLY",IF(AND(BV101="high",BY101="low"),"KEEP_HOOK_REWRITE_CTA",IF(AND(BW101="high",BX101="low"),"KEEP_STRUCTURE_CHANGE_DISCUSSION_ANGLE",IF(AND(BX101="high",BZ101="low"),"DOWNWEIGHT_TEMPLATE",IF(CB101="win","RETEST_WINNER",IF(CB101="loss","RETURN_TO_BASELINE","COLLECT_MORE_DATA")))))))))</x:f>
        <x:v>COLLECT_MORE_DATA</x:v>
      </x:c>
      <x:c r="CD101" s="75"/>
    </x:row>
    <x:row r="102">
      <x:c r="A102" s="68"/>
      <x:c r="B102" s="69"/>
      <x:c r="C102" s="68"/>
      <x:c r="D102" s="68"/>
      <x:c r="E102" s="68"/>
      <x:c r="F102" s="68"/>
      <x:c r="G102" s="68"/>
      <x:c r="H102" s="70"/>
      <x:c r="I102" s="68"/>
      <x:c r="J102" s="68"/>
      <x:c r="K102" s="68"/>
      <x:c r="L102" s="71" t="str">
        <x:f>IF(K102="","unknown",IF(K102=0,"baseline",IF(K102=1,"pure","mixed")))</x:f>
        <x:v>unknown</x:v>
      </x:c>
      <x:c r="M102" s="68"/>
      <x:c r="N102" s="68"/>
      <x:c r="O102" s="68"/>
      <x:c r="P102" s="68"/>
      <x:c r="Q102" s="68"/>
      <x:c r="R102" s="68"/>
      <x:c r="S102" s="68"/>
      <x:c r="T102" s="68"/>
      <x:c r="U102" s="68"/>
      <x:c r="V102" s="68"/>
      <x:c r="W102" s="68"/>
      <x:c r="X102" s="68"/>
      <x:c r="Y102" s="68"/>
      <x:c r="Z102" s="68"/>
      <x:c r="AA102" s="68"/>
      <x:c r="AB102" s="68"/>
      <x:c r="AC102" s="68"/>
      <x:c r="AD102" s="70"/>
      <x:c r="AE102" s="70"/>
      <x:c r="AF102" s="70"/>
      <x:c r="AG102" s="70"/>
      <x:c r="AH102" s="70"/>
      <x:c r="AI102" s="70"/>
      <x:c r="AJ102" s="70"/>
      <x:c r="AK102" s="70"/>
      <x:c r="AL102" s="70"/>
      <x:c r="AM102" s="70"/>
      <x:c r="AN102" s="70"/>
      <x:c r="AO102" s="70"/>
      <x:c r="AP102" s="70"/>
      <x:c r="AQ102" s="70"/>
      <x:c r="AR102" s="70"/>
      <x:c r="AS102" s="70"/>
      <x:c r="AT102" s="72"/>
      <x:c r="AU102" s="72"/>
      <x:c r="AV102" s="72"/>
      <x:c r="AW102" s="72"/>
      <x:c r="AX102" s="72"/>
      <x:c r="AY102" s="72"/>
      <x:c r="AZ102" s="72"/>
      <x:c r="BA102" s="73" t="str">
        <x:f>IF(C102="xiaohongshu",IF(COUNT(AF102,AE102)&lt;2,"",IFERROR(AF102/AE102,"")),"")</x:f>
      </x:c>
      <x:c r="BB102" s="73" t="str">
        <x:f>IF(C102="xiaohongshu",IF(COUNT(AG102,AE102)&lt;2,"",IFERROR(AG102/AE102,"")),"")</x:f>
      </x:c>
      <x:c r="BC102" s="73" t="str">
        <x:f>IF(C102="xiaohongshu",IF(COUNT(AN102,AE102)&lt;2,"",IFERROR(AN102/AE102,"")),"")</x:f>
      </x:c>
      <x:c r="BD102" s="73" t="str">
        <x:f>IF(C102="xiaohongshu",IF(COUNT(AQ102,AE102)&lt;2,"",IFERROR(AQ102/AE102,"")),"")</x:f>
      </x:c>
      <x:c r="BE102" s="73" t="str">
        <x:f>IF(C102="xiaohongshu",IF(COUNT(AI102,AE102)&lt;2,"",IFERROR(AI102/AE102,"")),"")</x:f>
      </x:c>
      <x:c r="BF102" s="73" t="str">
        <x:f>IF(C102="xiaohongshu",IF(OR(COUNT(AE102)=0,COUNT(AR102,AS102)=0),"",IFERROR((AR102+AS102)/AE102,"")),"")</x:f>
      </x:c>
      <x:c r="BG102" s="73" t="str">
        <x:f>IF(C102="x",IF(COUNT(AD102)=0,"",IF(COUNT(AM102)=1,IFERROR(AM102/AD102,""),IF(COUNT(AH102,AI102,AK102,AL102)=0,"",IFERROR(SUM(AH102,AI102,AK102,AL102)/AD102,"")))),"")</x:f>
      </x:c>
      <x:c r="BH102" s="73" t="str">
        <x:f>IF(C102="x",IF(COUNT(AJ102,AD102)&lt;2,"",IFERROR(AJ102/AD102,"")),"")</x:f>
      </x:c>
      <x:c r="BI102" s="73" t="str">
        <x:f>IF(C102="x",IF(COUNT(AO102,AD102)&lt;2,"",IFERROR(AO102/AD102,"")),"")</x:f>
      </x:c>
      <x:c r="BJ102" s="73" t="str">
        <x:f>IF(C102="x",IF(COUNT(AP102,AD102)&lt;2,"",IFERROR(AP102/AD102,"")),"")</x:f>
      </x:c>
      <x:c r="BK102" s="73" t="str">
        <x:f>IF(C102="x",IF(COUNT(AL102,AD102)&lt;2,"",IFERROR(AL102/AD102,"")),"")</x:f>
      </x:c>
      <x:c r="BL102" s="73" t="str">
        <x:f>IF(C102="x",IF(OR(COUNT(AD102)=0,COUNT(AR102,AS102)=0),"",IFERROR((AR102+AS102)/AD102,"")),"")</x:f>
      </x:c>
      <x:c r="BM102" s="73" t="str">
        <x:f>IF(AB102="xhs_save_rate",BA102,IF(AB102="xhs_completion_rate",BB102,IF(AB102="xhs_profile_visit_rate",BC102,IF(AB102="xhs_dm_intent_rate",BD102,IF(AB102="xhs_discussion_rate",BE102,IF(AB102="xhs_product_relevance_rate",BF102,IF(AB102="x_first_screen_engaged_rate_proxy",BG102,IF(AB102="x_qualified_reply_rate",BH102,IF(AB102="x_profile_click_rate",BI102,IF(AB102="x_link_intent_rate",BJ102,IF(AB102="x_bookmark_rate",BK102,IF(AB102="x_product_relevance_rate",BL102,""))))))))))))</x:f>
      </x:c>
      <x:c r="BN102" s="73" t="str">
        <x:f>IFERROR(BM102/AT102-1,"")</x:f>
      </x:c>
      <x:c r="BO102" s="73" t="str">
        <x:f>IF(AC102="","",IF(AC102="xhs_save_rate",BA102,IF(AC102="xhs_completion_rate",BB102,IF(AC102="xhs_profile_visit_rate",BC102,IF(AC102="xhs_dm_intent_rate",BD102,IF(AC102="xhs_discussion_rate",BE102,IF(AC102="xhs_product_relevance_rate",BF102,IF(AC102="x_first_screen_engaged_rate_proxy",BG102,IF(AC102="x_qualified_reply_rate",BH102,IF(AC102="x_profile_click_rate",BI102,IF(AC102="x_link_intent_rate",BJ102,IF(AC102="x_bookmark_rate",BK102,IF(AC102="x_product_relevance_rate",BL102,"")))))))))))))</x:f>
      </x:c>
      <x:c r="BP102" s="73" t="str">
        <x:f>IFERROR(BO102/AU102-1,"")</x:f>
      </x:c>
      <x:c r="BQ102" s="74" t="str">
        <x:f>IF(COUNT(AD102)=0,"",AD102)</x:f>
      </x:c>
      <x:c r="BR102" s="73" t="str">
        <x:f>IF(C102="xiaohongshu",IF(COUNT(BA102,BB102)=2,AVERAGE(BA102,BB102),IF(COUNT(BA102)=1,BA102,BB102)),BK102)</x:f>
      </x:c>
      <x:c r="BS102" s="73" t="str">
        <x:f>IF(C102="xiaohongshu",BE102,BH102)</x:f>
      </x:c>
      <x:c r="BT102" s="73" t="str">
        <x:f>IF(C102="xiaohongshu",IF(I102="save",BA102,IF(I102="discussion",BE102,IF(I102="profile_visit",BC102,IF(I102="dm",BD102,IF(OR(I102="product_question",I102="trial_intent"),BF102,""))))),IF(I102="save",BK102,IF(I102="discussion",BH102,IF(OR(I102="profile_visit",I102="dm"),BI102,IF(I102="link_click",BJ102,IF(OR(I102="product_question",I102="trial_intent"),BL102,""))))))</x:f>
      </x:c>
      <x:c r="BU102" s="73" t="str">
        <x:f>IF(C102="xiaohongshu",BF102,BL102)</x:f>
      </x:c>
      <x:c r="BV102" s="65" t="str">
        <x:f>IF(COUNT(BQ102,AV102)&lt;2,"unknown",IF(BQ102/AV102-1&gt;=0.2,"high",IF(BQ102/AV102-1&lt;=-0.2,"low","normal")))</x:f>
        <x:v>unknown</x:v>
      </x:c>
      <x:c r="BW102" s="65" t="str">
        <x:f>IF(COUNT(BR102,AW102)&lt;2,"unknown",IF(BR102/AW102-1&gt;=0.2,"high",IF(BR102/AW102-1&lt;=-0.2,"low","normal")))</x:f>
        <x:v>unknown</x:v>
      </x:c>
      <x:c r="BX102" s="65" t="str">
        <x:f>IF(COUNT(BS102,AX102)&lt;2,"unknown",IF(BS102/AX102-1&gt;=0.2,"high",IF(BS102/AX102-1&lt;=-0.2,"low","normal")))</x:f>
        <x:v>unknown</x:v>
      </x:c>
      <x:c r="BY102" s="65" t="str">
        <x:f>IF(COUNT(BT102,AY102)&lt;2,"unknown",IF(BT102/AY102-1&gt;=0.2,"high",IF(BT102/AY102-1&lt;=-0.2,"low","normal")))</x:f>
        <x:v>unknown</x:v>
      </x:c>
      <x:c r="BZ102" s="65" t="str">
        <x:f>IF(COUNT(BU102,AZ102)&lt;2,"unknown",IF(BU102/AZ102-1&gt;=0.2,"high",IF(BU102/AZ102-1&lt;=-0.2,"low","normal")))</x:f>
        <x:v>unknown</x:v>
      </x:c>
      <x:c r="CA102" s="65" t="str">
        <x:f>IF(T102&lt;&gt;"complete","pending",IF(OR(L102&lt;&gt;"pure",U102="true",COUNT(BM102,AT102)&lt;2,AND(AC102&lt;&gt;"",COUNT(BO102,AU102)&lt;2)),"not_attributable","attributable"))</x:f>
        <x:v>pending</x:v>
      </x:c>
      <x:c r="CB102" s="65" t="str">
        <x:f>IF(T102&lt;&gt;"complete","not_evaluated",IF(COUNT(BM102,AT102)&lt;2,"insufficient_data",IF(AND(AC102&lt;&gt;"",COUNT(BP102)=1,BP102&lt;=-0.2),"guardrail_fail",IF(AND(CA102="not_attributable",OR(BV102="high",BN102&gt;=0.2)),"watchlist",IF(CA102&lt;&gt;"attributable","insufficient_data",IF(BN102&gt;=0.2,"win",IF(BN102&lt;=-0.2,"loss","inconclusive")))))))</x:f>
        <x:v>not_evaluated</x:v>
      </x:c>
      <x:c r="CC102" s="65" t="str">
        <x:f>IF(T102&lt;&gt;"complete","COLLECT_MORE_DATA",IF(COUNT(BM102,AT102)&lt;2,"FIX_TRACKING",IF(CB102="guardrail_fail","STOP_VARIANT_GUARDRAIL",IF(CB102="watchlist","WATCHLIST_ONLY",IF(AND(BV102="high",BY102="low"),"KEEP_HOOK_REWRITE_CTA",IF(AND(BW102="high",BX102="low"),"KEEP_STRUCTURE_CHANGE_DISCUSSION_ANGLE",IF(AND(BX102="high",BZ102="low"),"DOWNWEIGHT_TEMPLATE",IF(CB102="win","RETEST_WINNER",IF(CB102="loss","RETURN_TO_BASELINE","COLLECT_MORE_DATA")))))))))</x:f>
        <x:v>COLLECT_MORE_DATA</x:v>
      </x:c>
      <x:c r="CD102" s="75"/>
    </x:row>
    <x:row r="103">
      <x:c r="A103" s="68"/>
      <x:c r="B103" s="69"/>
      <x:c r="C103" s="68"/>
      <x:c r="D103" s="68"/>
      <x:c r="E103" s="68"/>
      <x:c r="F103" s="68"/>
      <x:c r="G103" s="68"/>
      <x:c r="H103" s="70"/>
      <x:c r="I103" s="68"/>
      <x:c r="J103" s="68"/>
      <x:c r="K103" s="68"/>
      <x:c r="L103" s="71" t="str">
        <x:f>IF(K103="","unknown",IF(K103=0,"baseline",IF(K103=1,"pure","mixed")))</x:f>
        <x:v>unknown</x:v>
      </x:c>
      <x:c r="M103" s="68"/>
      <x:c r="N103" s="68"/>
      <x:c r="O103" s="68"/>
      <x:c r="P103" s="68"/>
      <x:c r="Q103" s="68"/>
      <x:c r="R103" s="68"/>
      <x:c r="S103" s="68"/>
      <x:c r="T103" s="68"/>
      <x:c r="U103" s="68"/>
      <x:c r="V103" s="68"/>
      <x:c r="W103" s="68"/>
      <x:c r="X103" s="68"/>
      <x:c r="Y103" s="68"/>
      <x:c r="Z103" s="68"/>
      <x:c r="AA103" s="68"/>
      <x:c r="AB103" s="68"/>
      <x:c r="AC103" s="68"/>
      <x:c r="AD103" s="70"/>
      <x:c r="AE103" s="70"/>
      <x:c r="AF103" s="70"/>
      <x:c r="AG103" s="70"/>
      <x:c r="AH103" s="70"/>
      <x:c r="AI103" s="70"/>
      <x:c r="AJ103" s="70"/>
      <x:c r="AK103" s="70"/>
      <x:c r="AL103" s="70"/>
      <x:c r="AM103" s="70"/>
      <x:c r="AN103" s="70"/>
      <x:c r="AO103" s="70"/>
      <x:c r="AP103" s="70"/>
      <x:c r="AQ103" s="70"/>
      <x:c r="AR103" s="70"/>
      <x:c r="AS103" s="70"/>
      <x:c r="AT103" s="72"/>
      <x:c r="AU103" s="72"/>
      <x:c r="AV103" s="72"/>
      <x:c r="AW103" s="72"/>
      <x:c r="AX103" s="72"/>
      <x:c r="AY103" s="72"/>
      <x:c r="AZ103" s="72"/>
      <x:c r="BA103" s="73" t="str">
        <x:f>IF(C103="xiaohongshu",IF(COUNT(AF103,AE103)&lt;2,"",IFERROR(AF103/AE103,"")),"")</x:f>
      </x:c>
      <x:c r="BB103" s="73" t="str">
        <x:f>IF(C103="xiaohongshu",IF(COUNT(AG103,AE103)&lt;2,"",IFERROR(AG103/AE103,"")),"")</x:f>
      </x:c>
      <x:c r="BC103" s="73" t="str">
        <x:f>IF(C103="xiaohongshu",IF(COUNT(AN103,AE103)&lt;2,"",IFERROR(AN103/AE103,"")),"")</x:f>
      </x:c>
      <x:c r="BD103" s="73" t="str">
        <x:f>IF(C103="xiaohongshu",IF(COUNT(AQ103,AE103)&lt;2,"",IFERROR(AQ103/AE103,"")),"")</x:f>
      </x:c>
      <x:c r="BE103" s="73" t="str">
        <x:f>IF(C103="xiaohongshu",IF(COUNT(AI103,AE103)&lt;2,"",IFERROR(AI103/AE103,"")),"")</x:f>
      </x:c>
      <x:c r="BF103" s="73" t="str">
        <x:f>IF(C103="xiaohongshu",IF(OR(COUNT(AE103)=0,COUNT(AR103,AS103)=0),"",IFERROR((AR103+AS103)/AE103,"")),"")</x:f>
      </x:c>
      <x:c r="BG103" s="73" t="str">
        <x:f>IF(C103="x",IF(COUNT(AD103)=0,"",IF(COUNT(AM103)=1,IFERROR(AM103/AD103,""),IF(COUNT(AH103,AI103,AK103,AL103)=0,"",IFERROR(SUM(AH103,AI103,AK103,AL103)/AD103,"")))),"")</x:f>
      </x:c>
      <x:c r="BH103" s="73" t="str">
        <x:f>IF(C103="x",IF(COUNT(AJ103,AD103)&lt;2,"",IFERROR(AJ103/AD103,"")),"")</x:f>
      </x:c>
      <x:c r="BI103" s="73" t="str">
        <x:f>IF(C103="x",IF(COUNT(AO103,AD103)&lt;2,"",IFERROR(AO103/AD103,"")),"")</x:f>
      </x:c>
      <x:c r="BJ103" s="73" t="str">
        <x:f>IF(C103="x",IF(COUNT(AP103,AD103)&lt;2,"",IFERROR(AP103/AD103,"")),"")</x:f>
      </x:c>
      <x:c r="BK103" s="73" t="str">
        <x:f>IF(C103="x",IF(COUNT(AL103,AD103)&lt;2,"",IFERROR(AL103/AD103,"")),"")</x:f>
      </x:c>
      <x:c r="BL103" s="73" t="str">
        <x:f>IF(C103="x",IF(OR(COUNT(AD103)=0,COUNT(AR103,AS103)=0),"",IFERROR((AR103+AS103)/AD103,"")),"")</x:f>
      </x:c>
      <x:c r="BM103" s="73" t="str">
        <x:f>IF(AB103="xhs_save_rate",BA103,IF(AB103="xhs_completion_rate",BB103,IF(AB103="xhs_profile_visit_rate",BC103,IF(AB103="xhs_dm_intent_rate",BD103,IF(AB103="xhs_discussion_rate",BE103,IF(AB103="xhs_product_relevance_rate",BF103,IF(AB103="x_first_screen_engaged_rate_proxy",BG103,IF(AB103="x_qualified_reply_rate",BH103,IF(AB103="x_profile_click_rate",BI103,IF(AB103="x_link_intent_rate",BJ103,IF(AB103="x_bookmark_rate",BK103,IF(AB103="x_product_relevance_rate",BL103,""))))))))))))</x:f>
      </x:c>
      <x:c r="BN103" s="73" t="str">
        <x:f>IFERROR(BM103/AT103-1,"")</x:f>
      </x:c>
      <x:c r="BO103" s="73" t="str">
        <x:f>IF(AC103="","",IF(AC103="xhs_save_rate",BA103,IF(AC103="xhs_completion_rate",BB103,IF(AC103="xhs_profile_visit_rate",BC103,IF(AC103="xhs_dm_intent_rate",BD103,IF(AC103="xhs_discussion_rate",BE103,IF(AC103="xhs_product_relevance_rate",BF103,IF(AC103="x_first_screen_engaged_rate_proxy",BG103,IF(AC103="x_qualified_reply_rate",BH103,IF(AC103="x_profile_click_rate",BI103,IF(AC103="x_link_intent_rate",BJ103,IF(AC103="x_bookmark_rate",BK103,IF(AC103="x_product_relevance_rate",BL103,"")))))))))))))</x:f>
      </x:c>
      <x:c r="BP103" s="73" t="str">
        <x:f>IFERROR(BO103/AU103-1,"")</x:f>
      </x:c>
      <x:c r="BQ103" s="74" t="str">
        <x:f>IF(COUNT(AD103)=0,"",AD103)</x:f>
      </x:c>
      <x:c r="BR103" s="73" t="str">
        <x:f>IF(C103="xiaohongshu",IF(COUNT(BA103,BB103)=2,AVERAGE(BA103,BB103),IF(COUNT(BA103)=1,BA103,BB103)),BK103)</x:f>
      </x:c>
      <x:c r="BS103" s="73" t="str">
        <x:f>IF(C103="xiaohongshu",BE103,BH103)</x:f>
      </x:c>
      <x:c r="BT103" s="73" t="str">
        <x:f>IF(C103="xiaohongshu",IF(I103="save",BA103,IF(I103="discussion",BE103,IF(I103="profile_visit",BC103,IF(I103="dm",BD103,IF(OR(I103="product_question",I103="trial_intent"),BF103,""))))),IF(I103="save",BK103,IF(I103="discussion",BH103,IF(OR(I103="profile_visit",I103="dm"),BI103,IF(I103="link_click",BJ103,IF(OR(I103="product_question",I103="trial_intent"),BL103,""))))))</x:f>
      </x:c>
      <x:c r="BU103" s="73" t="str">
        <x:f>IF(C103="xiaohongshu",BF103,BL103)</x:f>
      </x:c>
      <x:c r="BV103" s="65" t="str">
        <x:f>IF(COUNT(BQ103,AV103)&lt;2,"unknown",IF(BQ103/AV103-1&gt;=0.2,"high",IF(BQ103/AV103-1&lt;=-0.2,"low","normal")))</x:f>
        <x:v>unknown</x:v>
      </x:c>
      <x:c r="BW103" s="65" t="str">
        <x:f>IF(COUNT(BR103,AW103)&lt;2,"unknown",IF(BR103/AW103-1&gt;=0.2,"high",IF(BR103/AW103-1&lt;=-0.2,"low","normal")))</x:f>
        <x:v>unknown</x:v>
      </x:c>
      <x:c r="BX103" s="65" t="str">
        <x:f>IF(COUNT(BS103,AX103)&lt;2,"unknown",IF(BS103/AX103-1&gt;=0.2,"high",IF(BS103/AX103-1&lt;=-0.2,"low","normal")))</x:f>
        <x:v>unknown</x:v>
      </x:c>
      <x:c r="BY103" s="65" t="str">
        <x:f>IF(COUNT(BT103,AY103)&lt;2,"unknown",IF(BT103/AY103-1&gt;=0.2,"high",IF(BT103/AY103-1&lt;=-0.2,"low","normal")))</x:f>
        <x:v>unknown</x:v>
      </x:c>
      <x:c r="BZ103" s="65" t="str">
        <x:f>IF(COUNT(BU103,AZ103)&lt;2,"unknown",IF(BU103/AZ103-1&gt;=0.2,"high",IF(BU103/AZ103-1&lt;=-0.2,"low","normal")))</x:f>
        <x:v>unknown</x:v>
      </x:c>
      <x:c r="CA103" s="65" t="str">
        <x:f>IF(T103&lt;&gt;"complete","pending",IF(OR(L103&lt;&gt;"pure",U103="true",COUNT(BM103,AT103)&lt;2,AND(AC103&lt;&gt;"",COUNT(BO103,AU103)&lt;2)),"not_attributable","attributable"))</x:f>
        <x:v>pending</x:v>
      </x:c>
      <x:c r="CB103" s="65" t="str">
        <x:f>IF(T103&lt;&gt;"complete","not_evaluated",IF(COUNT(BM103,AT103)&lt;2,"insufficient_data",IF(AND(AC103&lt;&gt;"",COUNT(BP103)=1,BP103&lt;=-0.2),"guardrail_fail",IF(AND(CA103="not_attributable",OR(BV103="high",BN103&gt;=0.2)),"watchlist",IF(CA103&lt;&gt;"attributable","insufficient_data",IF(BN103&gt;=0.2,"win",IF(BN103&lt;=-0.2,"loss","inconclusive")))))))</x:f>
        <x:v>not_evaluated</x:v>
      </x:c>
      <x:c r="CC103" s="65" t="str">
        <x:f>IF(T103&lt;&gt;"complete","COLLECT_MORE_DATA",IF(COUNT(BM103,AT103)&lt;2,"FIX_TRACKING",IF(CB103="guardrail_fail","STOP_VARIANT_GUARDRAIL",IF(CB103="watchlist","WATCHLIST_ONLY",IF(AND(BV103="high",BY103="low"),"KEEP_HOOK_REWRITE_CTA",IF(AND(BW103="high",BX103="low"),"KEEP_STRUCTURE_CHANGE_DISCUSSION_ANGLE",IF(AND(BX103="high",BZ103="low"),"DOWNWEIGHT_TEMPLATE",IF(CB103="win","RETEST_WINNER",IF(CB103="loss","RETURN_TO_BASELINE","COLLECT_MORE_DATA")))))))))</x:f>
        <x:v>COLLECT_MORE_DATA</x:v>
      </x:c>
      <x:c r="CD103" s="75"/>
    </x:row>
    <x:row r="104">
      <x:c r="A104" s="68"/>
      <x:c r="B104" s="69"/>
      <x:c r="C104" s="68"/>
      <x:c r="D104" s="68"/>
      <x:c r="E104" s="68"/>
      <x:c r="F104" s="68"/>
      <x:c r="G104" s="68"/>
      <x:c r="H104" s="70"/>
      <x:c r="I104" s="68"/>
      <x:c r="J104" s="68"/>
      <x:c r="K104" s="68"/>
      <x:c r="L104" s="71" t="str">
        <x:f>IF(K104="","unknown",IF(K104=0,"baseline",IF(K104=1,"pure","mixed")))</x:f>
        <x:v>unknown</x:v>
      </x:c>
      <x:c r="M104" s="68"/>
      <x:c r="N104" s="68"/>
      <x:c r="O104" s="68"/>
      <x:c r="P104" s="68"/>
      <x:c r="Q104" s="68"/>
      <x:c r="R104" s="68"/>
      <x:c r="S104" s="68"/>
      <x:c r="T104" s="68"/>
      <x:c r="U104" s="68"/>
      <x:c r="V104" s="68"/>
      <x:c r="W104" s="68"/>
      <x:c r="X104" s="68"/>
      <x:c r="Y104" s="68"/>
      <x:c r="Z104" s="68"/>
      <x:c r="AA104" s="68"/>
      <x:c r="AB104" s="68"/>
      <x:c r="AC104" s="68"/>
      <x:c r="AD104" s="70"/>
      <x:c r="AE104" s="70"/>
      <x:c r="AF104" s="70"/>
      <x:c r="AG104" s="70"/>
      <x:c r="AH104" s="70"/>
      <x:c r="AI104" s="70"/>
      <x:c r="AJ104" s="70"/>
      <x:c r="AK104" s="70"/>
      <x:c r="AL104" s="70"/>
      <x:c r="AM104" s="70"/>
      <x:c r="AN104" s="70"/>
      <x:c r="AO104" s="70"/>
      <x:c r="AP104" s="70"/>
      <x:c r="AQ104" s="70"/>
      <x:c r="AR104" s="70"/>
      <x:c r="AS104" s="70"/>
      <x:c r="AT104" s="72"/>
      <x:c r="AU104" s="72"/>
      <x:c r="AV104" s="72"/>
      <x:c r="AW104" s="72"/>
      <x:c r="AX104" s="72"/>
      <x:c r="AY104" s="72"/>
      <x:c r="AZ104" s="72"/>
      <x:c r="BA104" s="73" t="str">
        <x:f>IF(C104="xiaohongshu",IF(COUNT(AF104,AE104)&lt;2,"",IFERROR(AF104/AE104,"")),"")</x:f>
      </x:c>
      <x:c r="BB104" s="73" t="str">
        <x:f>IF(C104="xiaohongshu",IF(COUNT(AG104,AE104)&lt;2,"",IFERROR(AG104/AE104,"")),"")</x:f>
      </x:c>
      <x:c r="BC104" s="73" t="str">
        <x:f>IF(C104="xiaohongshu",IF(COUNT(AN104,AE104)&lt;2,"",IFERROR(AN104/AE104,"")),"")</x:f>
      </x:c>
      <x:c r="BD104" s="73" t="str">
        <x:f>IF(C104="xiaohongshu",IF(COUNT(AQ104,AE104)&lt;2,"",IFERROR(AQ104/AE104,"")),"")</x:f>
      </x:c>
      <x:c r="BE104" s="73" t="str">
        <x:f>IF(C104="xiaohongshu",IF(COUNT(AI104,AE104)&lt;2,"",IFERROR(AI104/AE104,"")),"")</x:f>
      </x:c>
      <x:c r="BF104" s="73" t="str">
        <x:f>IF(C104="xiaohongshu",IF(OR(COUNT(AE104)=0,COUNT(AR104,AS104)=0),"",IFERROR((AR104+AS104)/AE104,"")),"")</x:f>
      </x:c>
      <x:c r="BG104" s="73" t="str">
        <x:f>IF(C104="x",IF(COUNT(AD104)=0,"",IF(COUNT(AM104)=1,IFERROR(AM104/AD104,""),IF(COUNT(AH104,AI104,AK104,AL104)=0,"",IFERROR(SUM(AH104,AI104,AK104,AL104)/AD104,"")))),"")</x:f>
      </x:c>
      <x:c r="BH104" s="73" t="str">
        <x:f>IF(C104="x",IF(COUNT(AJ104,AD104)&lt;2,"",IFERROR(AJ104/AD104,"")),"")</x:f>
      </x:c>
      <x:c r="BI104" s="73" t="str">
        <x:f>IF(C104="x",IF(COUNT(AO104,AD104)&lt;2,"",IFERROR(AO104/AD104,"")),"")</x:f>
      </x:c>
      <x:c r="BJ104" s="73" t="str">
        <x:f>IF(C104="x",IF(COUNT(AP104,AD104)&lt;2,"",IFERROR(AP104/AD104,"")),"")</x:f>
      </x:c>
      <x:c r="BK104" s="73" t="str">
        <x:f>IF(C104="x",IF(COUNT(AL104,AD104)&lt;2,"",IFERROR(AL104/AD104,"")),"")</x:f>
      </x:c>
      <x:c r="BL104" s="73" t="str">
        <x:f>IF(C104="x",IF(OR(COUNT(AD104)=0,COUNT(AR104,AS104)=0),"",IFERROR((AR104+AS104)/AD104,"")),"")</x:f>
      </x:c>
      <x:c r="BM104" s="73" t="str">
        <x:f>IF(AB104="xhs_save_rate",BA104,IF(AB104="xhs_completion_rate",BB104,IF(AB104="xhs_profile_visit_rate",BC104,IF(AB104="xhs_dm_intent_rate",BD104,IF(AB104="xhs_discussion_rate",BE104,IF(AB104="xhs_product_relevance_rate",BF104,IF(AB104="x_first_screen_engaged_rate_proxy",BG104,IF(AB104="x_qualified_reply_rate",BH104,IF(AB104="x_profile_click_rate",BI104,IF(AB104="x_link_intent_rate",BJ104,IF(AB104="x_bookmark_rate",BK104,IF(AB104="x_product_relevance_rate",BL104,""))))))))))))</x:f>
      </x:c>
      <x:c r="BN104" s="73" t="str">
        <x:f>IFERROR(BM104/AT104-1,"")</x:f>
      </x:c>
      <x:c r="BO104" s="73" t="str">
        <x:f>IF(AC104="","",IF(AC104="xhs_save_rate",BA104,IF(AC104="xhs_completion_rate",BB104,IF(AC104="xhs_profile_visit_rate",BC104,IF(AC104="xhs_dm_intent_rate",BD104,IF(AC104="xhs_discussion_rate",BE104,IF(AC104="xhs_product_relevance_rate",BF104,IF(AC104="x_first_screen_engaged_rate_proxy",BG104,IF(AC104="x_qualified_reply_rate",BH104,IF(AC104="x_profile_click_rate",BI104,IF(AC104="x_link_intent_rate",BJ104,IF(AC104="x_bookmark_rate",BK104,IF(AC104="x_product_relevance_rate",BL104,"")))))))))))))</x:f>
      </x:c>
      <x:c r="BP104" s="73" t="str">
        <x:f>IFERROR(BO104/AU104-1,"")</x:f>
      </x:c>
      <x:c r="BQ104" s="74" t="str">
        <x:f>IF(COUNT(AD104)=0,"",AD104)</x:f>
      </x:c>
      <x:c r="BR104" s="73" t="str">
        <x:f>IF(C104="xiaohongshu",IF(COUNT(BA104,BB104)=2,AVERAGE(BA104,BB104),IF(COUNT(BA104)=1,BA104,BB104)),BK104)</x:f>
      </x:c>
      <x:c r="BS104" s="73" t="str">
        <x:f>IF(C104="xiaohongshu",BE104,BH104)</x:f>
      </x:c>
      <x:c r="BT104" s="73" t="str">
        <x:f>IF(C104="xiaohongshu",IF(I104="save",BA104,IF(I104="discussion",BE104,IF(I104="profile_visit",BC104,IF(I104="dm",BD104,IF(OR(I104="product_question",I104="trial_intent"),BF104,""))))),IF(I104="save",BK104,IF(I104="discussion",BH104,IF(OR(I104="profile_visit",I104="dm"),BI104,IF(I104="link_click",BJ104,IF(OR(I104="product_question",I104="trial_intent"),BL104,""))))))</x:f>
      </x:c>
      <x:c r="BU104" s="73" t="str">
        <x:f>IF(C104="xiaohongshu",BF104,BL104)</x:f>
      </x:c>
      <x:c r="BV104" s="65" t="str">
        <x:f>IF(COUNT(BQ104,AV104)&lt;2,"unknown",IF(BQ104/AV104-1&gt;=0.2,"high",IF(BQ104/AV104-1&lt;=-0.2,"low","normal")))</x:f>
        <x:v>unknown</x:v>
      </x:c>
      <x:c r="BW104" s="65" t="str">
        <x:f>IF(COUNT(BR104,AW104)&lt;2,"unknown",IF(BR104/AW104-1&gt;=0.2,"high",IF(BR104/AW104-1&lt;=-0.2,"low","normal")))</x:f>
        <x:v>unknown</x:v>
      </x:c>
      <x:c r="BX104" s="65" t="str">
        <x:f>IF(COUNT(BS104,AX104)&lt;2,"unknown",IF(BS104/AX104-1&gt;=0.2,"high",IF(BS104/AX104-1&lt;=-0.2,"low","normal")))</x:f>
        <x:v>unknown</x:v>
      </x:c>
      <x:c r="BY104" s="65" t="str">
        <x:f>IF(COUNT(BT104,AY104)&lt;2,"unknown",IF(BT104/AY104-1&gt;=0.2,"high",IF(BT104/AY104-1&lt;=-0.2,"low","normal")))</x:f>
        <x:v>unknown</x:v>
      </x:c>
      <x:c r="BZ104" s="65" t="str">
        <x:f>IF(COUNT(BU104,AZ104)&lt;2,"unknown",IF(BU104/AZ104-1&gt;=0.2,"high",IF(BU104/AZ104-1&lt;=-0.2,"low","normal")))</x:f>
        <x:v>unknown</x:v>
      </x:c>
      <x:c r="CA104" s="65" t="str">
        <x:f>IF(T104&lt;&gt;"complete","pending",IF(OR(L104&lt;&gt;"pure",U104="true",COUNT(BM104,AT104)&lt;2,AND(AC104&lt;&gt;"",COUNT(BO104,AU104)&lt;2)),"not_attributable","attributable"))</x:f>
        <x:v>pending</x:v>
      </x:c>
      <x:c r="CB104" s="65" t="str">
        <x:f>IF(T104&lt;&gt;"complete","not_evaluated",IF(COUNT(BM104,AT104)&lt;2,"insufficient_data",IF(AND(AC104&lt;&gt;"",COUNT(BP104)=1,BP104&lt;=-0.2),"guardrail_fail",IF(AND(CA104="not_attributable",OR(BV104="high",BN104&gt;=0.2)),"watchlist",IF(CA104&lt;&gt;"attributable","insufficient_data",IF(BN104&gt;=0.2,"win",IF(BN104&lt;=-0.2,"loss","inconclusive")))))))</x:f>
        <x:v>not_evaluated</x:v>
      </x:c>
      <x:c r="CC104" s="65" t="str">
        <x:f>IF(T104&lt;&gt;"complete","COLLECT_MORE_DATA",IF(COUNT(BM104,AT104)&lt;2,"FIX_TRACKING",IF(CB104="guardrail_fail","STOP_VARIANT_GUARDRAIL",IF(CB104="watchlist","WATCHLIST_ONLY",IF(AND(BV104="high",BY104="low"),"KEEP_HOOK_REWRITE_CTA",IF(AND(BW104="high",BX104="low"),"KEEP_STRUCTURE_CHANGE_DISCUSSION_ANGLE",IF(AND(BX104="high",BZ104="low"),"DOWNWEIGHT_TEMPLATE",IF(CB104="win","RETEST_WINNER",IF(CB104="loss","RETURN_TO_BASELINE","COLLECT_MORE_DATA")))))))))</x:f>
        <x:v>COLLECT_MORE_DATA</x:v>
      </x:c>
      <x:c r="CD104" s="75"/>
    </x:row>
    <x:row r="105">
      <x:c r="A105" s="68"/>
      <x:c r="B105" s="69"/>
      <x:c r="C105" s="68"/>
      <x:c r="D105" s="68"/>
      <x:c r="E105" s="68"/>
      <x:c r="F105" s="68"/>
      <x:c r="G105" s="68"/>
      <x:c r="H105" s="70"/>
      <x:c r="I105" s="68"/>
      <x:c r="J105" s="68"/>
      <x:c r="K105" s="68"/>
      <x:c r="L105" s="71" t="str">
        <x:f>IF(K105="","unknown",IF(K105=0,"baseline",IF(K105=1,"pure","mixed")))</x:f>
        <x:v>unknown</x:v>
      </x:c>
      <x:c r="M105" s="68"/>
      <x:c r="N105" s="68"/>
      <x:c r="O105" s="68"/>
      <x:c r="P105" s="68"/>
      <x:c r="Q105" s="68"/>
      <x:c r="R105" s="68"/>
      <x:c r="S105" s="68"/>
      <x:c r="T105" s="68"/>
      <x:c r="U105" s="68"/>
      <x:c r="V105" s="68"/>
      <x:c r="W105" s="68"/>
      <x:c r="X105" s="68"/>
      <x:c r="Y105" s="68"/>
      <x:c r="Z105" s="68"/>
      <x:c r="AA105" s="68"/>
      <x:c r="AB105" s="68"/>
      <x:c r="AC105" s="68"/>
      <x:c r="AD105" s="70"/>
      <x:c r="AE105" s="70"/>
      <x:c r="AF105" s="70"/>
      <x:c r="AG105" s="70"/>
      <x:c r="AH105" s="70"/>
      <x:c r="AI105" s="70"/>
      <x:c r="AJ105" s="70"/>
      <x:c r="AK105" s="70"/>
      <x:c r="AL105" s="70"/>
      <x:c r="AM105" s="70"/>
      <x:c r="AN105" s="70"/>
      <x:c r="AO105" s="70"/>
      <x:c r="AP105" s="70"/>
      <x:c r="AQ105" s="70"/>
      <x:c r="AR105" s="70"/>
      <x:c r="AS105" s="70"/>
      <x:c r="AT105" s="72"/>
      <x:c r="AU105" s="72"/>
      <x:c r="AV105" s="72"/>
      <x:c r="AW105" s="72"/>
      <x:c r="AX105" s="72"/>
      <x:c r="AY105" s="72"/>
      <x:c r="AZ105" s="72"/>
      <x:c r="BA105" s="73" t="str">
        <x:f>IF(C105="xiaohongshu",IF(COUNT(AF105,AE105)&lt;2,"",IFERROR(AF105/AE105,"")),"")</x:f>
      </x:c>
      <x:c r="BB105" s="73" t="str">
        <x:f>IF(C105="xiaohongshu",IF(COUNT(AG105,AE105)&lt;2,"",IFERROR(AG105/AE105,"")),"")</x:f>
      </x:c>
      <x:c r="BC105" s="73" t="str">
        <x:f>IF(C105="xiaohongshu",IF(COUNT(AN105,AE105)&lt;2,"",IFERROR(AN105/AE105,"")),"")</x:f>
      </x:c>
      <x:c r="BD105" s="73" t="str">
        <x:f>IF(C105="xiaohongshu",IF(COUNT(AQ105,AE105)&lt;2,"",IFERROR(AQ105/AE105,"")),"")</x:f>
      </x:c>
      <x:c r="BE105" s="73" t="str">
        <x:f>IF(C105="xiaohongshu",IF(COUNT(AI105,AE105)&lt;2,"",IFERROR(AI105/AE105,"")),"")</x:f>
      </x:c>
      <x:c r="BF105" s="73" t="str">
        <x:f>IF(C105="xiaohongshu",IF(OR(COUNT(AE105)=0,COUNT(AR105,AS105)=0),"",IFERROR((AR105+AS105)/AE105,"")),"")</x:f>
      </x:c>
      <x:c r="BG105" s="73" t="str">
        <x:f>IF(C105="x",IF(COUNT(AD105)=0,"",IF(COUNT(AM105)=1,IFERROR(AM105/AD105,""),IF(COUNT(AH105,AI105,AK105,AL105)=0,"",IFERROR(SUM(AH105,AI105,AK105,AL105)/AD105,"")))),"")</x:f>
      </x:c>
      <x:c r="BH105" s="73" t="str">
        <x:f>IF(C105="x",IF(COUNT(AJ105,AD105)&lt;2,"",IFERROR(AJ105/AD105,"")),"")</x:f>
      </x:c>
      <x:c r="BI105" s="73" t="str">
        <x:f>IF(C105="x",IF(COUNT(AO105,AD105)&lt;2,"",IFERROR(AO105/AD105,"")),"")</x:f>
      </x:c>
      <x:c r="BJ105" s="73" t="str">
        <x:f>IF(C105="x",IF(COUNT(AP105,AD105)&lt;2,"",IFERROR(AP105/AD105,"")),"")</x:f>
      </x:c>
      <x:c r="BK105" s="73" t="str">
        <x:f>IF(C105="x",IF(COUNT(AL105,AD105)&lt;2,"",IFERROR(AL105/AD105,"")),"")</x:f>
      </x:c>
      <x:c r="BL105" s="73" t="str">
        <x:f>IF(C105="x",IF(OR(COUNT(AD105)=0,COUNT(AR105,AS105)=0),"",IFERROR((AR105+AS105)/AD105,"")),"")</x:f>
      </x:c>
      <x:c r="BM105" s="73" t="str">
        <x:f>IF(AB105="xhs_save_rate",BA105,IF(AB105="xhs_completion_rate",BB105,IF(AB105="xhs_profile_visit_rate",BC105,IF(AB105="xhs_dm_intent_rate",BD105,IF(AB105="xhs_discussion_rate",BE105,IF(AB105="xhs_product_relevance_rate",BF105,IF(AB105="x_first_screen_engaged_rate_proxy",BG105,IF(AB105="x_qualified_reply_rate",BH105,IF(AB105="x_profile_click_rate",BI105,IF(AB105="x_link_intent_rate",BJ105,IF(AB105="x_bookmark_rate",BK105,IF(AB105="x_product_relevance_rate",BL105,""))))))))))))</x:f>
      </x:c>
      <x:c r="BN105" s="73" t="str">
        <x:f>IFERROR(BM105/AT105-1,"")</x:f>
      </x:c>
      <x:c r="BO105" s="73" t="str">
        <x:f>IF(AC105="","",IF(AC105="xhs_save_rate",BA105,IF(AC105="xhs_completion_rate",BB105,IF(AC105="xhs_profile_visit_rate",BC105,IF(AC105="xhs_dm_intent_rate",BD105,IF(AC105="xhs_discussion_rate",BE105,IF(AC105="xhs_product_relevance_rate",BF105,IF(AC105="x_first_screen_engaged_rate_proxy",BG105,IF(AC105="x_qualified_reply_rate",BH105,IF(AC105="x_profile_click_rate",BI105,IF(AC105="x_link_intent_rate",BJ105,IF(AC105="x_bookmark_rate",BK105,IF(AC105="x_product_relevance_rate",BL105,"")))))))))))))</x:f>
      </x:c>
      <x:c r="BP105" s="73" t="str">
        <x:f>IFERROR(BO105/AU105-1,"")</x:f>
      </x:c>
      <x:c r="BQ105" s="74" t="str">
        <x:f>IF(COUNT(AD105)=0,"",AD105)</x:f>
      </x:c>
      <x:c r="BR105" s="73" t="str">
        <x:f>IF(C105="xiaohongshu",IF(COUNT(BA105,BB105)=2,AVERAGE(BA105,BB105),IF(COUNT(BA105)=1,BA105,BB105)),BK105)</x:f>
      </x:c>
      <x:c r="BS105" s="73" t="str">
        <x:f>IF(C105="xiaohongshu",BE105,BH105)</x:f>
      </x:c>
      <x:c r="BT105" s="73" t="str">
        <x:f>IF(C105="xiaohongshu",IF(I105="save",BA105,IF(I105="discussion",BE105,IF(I105="profile_visit",BC105,IF(I105="dm",BD105,IF(OR(I105="product_question",I105="trial_intent"),BF105,""))))),IF(I105="save",BK105,IF(I105="discussion",BH105,IF(OR(I105="profile_visit",I105="dm"),BI105,IF(I105="link_click",BJ105,IF(OR(I105="product_question",I105="trial_intent"),BL105,""))))))</x:f>
      </x:c>
      <x:c r="BU105" s="73" t="str">
        <x:f>IF(C105="xiaohongshu",BF105,BL105)</x:f>
      </x:c>
      <x:c r="BV105" s="65" t="str">
        <x:f>IF(COUNT(BQ105,AV105)&lt;2,"unknown",IF(BQ105/AV105-1&gt;=0.2,"high",IF(BQ105/AV105-1&lt;=-0.2,"low","normal")))</x:f>
        <x:v>unknown</x:v>
      </x:c>
      <x:c r="BW105" s="65" t="str">
        <x:f>IF(COUNT(BR105,AW105)&lt;2,"unknown",IF(BR105/AW105-1&gt;=0.2,"high",IF(BR105/AW105-1&lt;=-0.2,"low","normal")))</x:f>
        <x:v>unknown</x:v>
      </x:c>
      <x:c r="BX105" s="65" t="str">
        <x:f>IF(COUNT(BS105,AX105)&lt;2,"unknown",IF(BS105/AX105-1&gt;=0.2,"high",IF(BS105/AX105-1&lt;=-0.2,"low","normal")))</x:f>
        <x:v>unknown</x:v>
      </x:c>
      <x:c r="BY105" s="65" t="str">
        <x:f>IF(COUNT(BT105,AY105)&lt;2,"unknown",IF(BT105/AY105-1&gt;=0.2,"high",IF(BT105/AY105-1&lt;=-0.2,"low","normal")))</x:f>
        <x:v>unknown</x:v>
      </x:c>
      <x:c r="BZ105" s="65" t="str">
        <x:f>IF(COUNT(BU105,AZ105)&lt;2,"unknown",IF(BU105/AZ105-1&gt;=0.2,"high",IF(BU105/AZ105-1&lt;=-0.2,"low","normal")))</x:f>
        <x:v>unknown</x:v>
      </x:c>
      <x:c r="CA105" s="65" t="str">
        <x:f>IF(T105&lt;&gt;"complete","pending",IF(OR(L105&lt;&gt;"pure",U105="true",COUNT(BM105,AT105)&lt;2,AND(AC105&lt;&gt;"",COUNT(BO105,AU105)&lt;2)),"not_attributable","attributable"))</x:f>
        <x:v>pending</x:v>
      </x:c>
      <x:c r="CB105" s="65" t="str">
        <x:f>IF(T105&lt;&gt;"complete","not_evaluated",IF(COUNT(BM105,AT105)&lt;2,"insufficient_data",IF(AND(AC105&lt;&gt;"",COUNT(BP105)=1,BP105&lt;=-0.2),"guardrail_fail",IF(AND(CA105="not_attributable",OR(BV105="high",BN105&gt;=0.2)),"watchlist",IF(CA105&lt;&gt;"attributable","insufficient_data",IF(BN105&gt;=0.2,"win",IF(BN105&lt;=-0.2,"loss","inconclusive")))))))</x:f>
        <x:v>not_evaluated</x:v>
      </x:c>
      <x:c r="CC105" s="65" t="str">
        <x:f>IF(T105&lt;&gt;"complete","COLLECT_MORE_DATA",IF(COUNT(BM105,AT105)&lt;2,"FIX_TRACKING",IF(CB105="guardrail_fail","STOP_VARIANT_GUARDRAIL",IF(CB105="watchlist","WATCHLIST_ONLY",IF(AND(BV105="high",BY105="low"),"KEEP_HOOK_REWRITE_CTA",IF(AND(BW105="high",BX105="low"),"KEEP_STRUCTURE_CHANGE_DISCUSSION_ANGLE",IF(AND(BX105="high",BZ105="low"),"DOWNWEIGHT_TEMPLATE",IF(CB105="win","RETEST_WINNER",IF(CB105="loss","RETURN_TO_BASELINE","COLLECT_MORE_DATA")))))))))</x:f>
        <x:v>COLLECT_MORE_DATA</x:v>
      </x:c>
      <x:c r="CD105" s="75"/>
    </x:row>
    <x:row r="106">
      <x:c r="A106" s="68"/>
      <x:c r="B106" s="69"/>
      <x:c r="C106" s="68"/>
      <x:c r="D106" s="68"/>
      <x:c r="E106" s="68"/>
      <x:c r="F106" s="68"/>
      <x:c r="G106" s="68"/>
      <x:c r="H106" s="70"/>
      <x:c r="I106" s="68"/>
      <x:c r="J106" s="68"/>
      <x:c r="K106" s="68"/>
      <x:c r="L106" s="71" t="str">
        <x:f>IF(K106="","unknown",IF(K106=0,"baseline",IF(K106=1,"pure","mixed")))</x:f>
        <x:v>unknown</x:v>
      </x:c>
      <x:c r="M106" s="68"/>
      <x:c r="N106" s="68"/>
      <x:c r="O106" s="68"/>
      <x:c r="P106" s="68"/>
      <x:c r="Q106" s="68"/>
      <x:c r="R106" s="68"/>
      <x:c r="S106" s="68"/>
      <x:c r="T106" s="68"/>
      <x:c r="U106" s="68"/>
      <x:c r="V106" s="68"/>
      <x:c r="W106" s="68"/>
      <x:c r="X106" s="68"/>
      <x:c r="Y106" s="68"/>
      <x:c r="Z106" s="68"/>
      <x:c r="AA106" s="68"/>
      <x:c r="AB106" s="68"/>
      <x:c r="AC106" s="68"/>
      <x:c r="AD106" s="70"/>
      <x:c r="AE106" s="70"/>
      <x:c r="AF106" s="70"/>
      <x:c r="AG106" s="70"/>
      <x:c r="AH106" s="70"/>
      <x:c r="AI106" s="70"/>
      <x:c r="AJ106" s="70"/>
      <x:c r="AK106" s="70"/>
      <x:c r="AL106" s="70"/>
      <x:c r="AM106" s="70"/>
      <x:c r="AN106" s="70"/>
      <x:c r="AO106" s="70"/>
      <x:c r="AP106" s="70"/>
      <x:c r="AQ106" s="70"/>
      <x:c r="AR106" s="70"/>
      <x:c r="AS106" s="70"/>
      <x:c r="AT106" s="72"/>
      <x:c r="AU106" s="72"/>
      <x:c r="AV106" s="72"/>
      <x:c r="AW106" s="72"/>
      <x:c r="AX106" s="72"/>
      <x:c r="AY106" s="72"/>
      <x:c r="AZ106" s="72"/>
      <x:c r="BA106" s="73" t="str">
        <x:f>IF(C106="xiaohongshu",IF(COUNT(AF106,AE106)&lt;2,"",IFERROR(AF106/AE106,"")),"")</x:f>
      </x:c>
      <x:c r="BB106" s="73" t="str">
        <x:f>IF(C106="xiaohongshu",IF(COUNT(AG106,AE106)&lt;2,"",IFERROR(AG106/AE106,"")),"")</x:f>
      </x:c>
      <x:c r="BC106" s="73" t="str">
        <x:f>IF(C106="xiaohongshu",IF(COUNT(AN106,AE106)&lt;2,"",IFERROR(AN106/AE106,"")),"")</x:f>
      </x:c>
      <x:c r="BD106" s="73" t="str">
        <x:f>IF(C106="xiaohongshu",IF(COUNT(AQ106,AE106)&lt;2,"",IFERROR(AQ106/AE106,"")),"")</x:f>
      </x:c>
      <x:c r="BE106" s="73" t="str">
        <x:f>IF(C106="xiaohongshu",IF(COUNT(AI106,AE106)&lt;2,"",IFERROR(AI106/AE106,"")),"")</x:f>
      </x:c>
      <x:c r="BF106" s="73" t="str">
        <x:f>IF(C106="xiaohongshu",IF(OR(COUNT(AE106)=0,COUNT(AR106,AS106)=0),"",IFERROR((AR106+AS106)/AE106,"")),"")</x:f>
      </x:c>
      <x:c r="BG106" s="73" t="str">
        <x:f>IF(C106="x",IF(COUNT(AD106)=0,"",IF(COUNT(AM106)=1,IFERROR(AM106/AD106,""),IF(COUNT(AH106,AI106,AK106,AL106)=0,"",IFERROR(SUM(AH106,AI106,AK106,AL106)/AD106,"")))),"")</x:f>
      </x:c>
      <x:c r="BH106" s="73" t="str">
        <x:f>IF(C106="x",IF(COUNT(AJ106,AD106)&lt;2,"",IFERROR(AJ106/AD106,"")),"")</x:f>
      </x:c>
      <x:c r="BI106" s="73" t="str">
        <x:f>IF(C106="x",IF(COUNT(AO106,AD106)&lt;2,"",IFERROR(AO106/AD106,"")),"")</x:f>
      </x:c>
      <x:c r="BJ106" s="73" t="str">
        <x:f>IF(C106="x",IF(COUNT(AP106,AD106)&lt;2,"",IFERROR(AP106/AD106,"")),"")</x:f>
      </x:c>
      <x:c r="BK106" s="73" t="str">
        <x:f>IF(C106="x",IF(COUNT(AL106,AD106)&lt;2,"",IFERROR(AL106/AD106,"")),"")</x:f>
      </x:c>
      <x:c r="BL106" s="73" t="str">
        <x:f>IF(C106="x",IF(OR(COUNT(AD106)=0,COUNT(AR106,AS106)=0),"",IFERROR((AR106+AS106)/AD106,"")),"")</x:f>
      </x:c>
      <x:c r="BM106" s="73" t="str">
        <x:f>IF(AB106="xhs_save_rate",BA106,IF(AB106="xhs_completion_rate",BB106,IF(AB106="xhs_profile_visit_rate",BC106,IF(AB106="xhs_dm_intent_rate",BD106,IF(AB106="xhs_discussion_rate",BE106,IF(AB106="xhs_product_relevance_rate",BF106,IF(AB106="x_first_screen_engaged_rate_proxy",BG106,IF(AB106="x_qualified_reply_rate",BH106,IF(AB106="x_profile_click_rate",BI106,IF(AB106="x_link_intent_rate",BJ106,IF(AB106="x_bookmark_rate",BK106,IF(AB106="x_product_relevance_rate",BL106,""))))))))))))</x:f>
      </x:c>
      <x:c r="BN106" s="73" t="str">
        <x:f>IFERROR(BM106/AT106-1,"")</x:f>
      </x:c>
      <x:c r="BO106" s="73" t="str">
        <x:f>IF(AC106="","",IF(AC106="xhs_save_rate",BA106,IF(AC106="xhs_completion_rate",BB106,IF(AC106="xhs_profile_visit_rate",BC106,IF(AC106="xhs_dm_intent_rate",BD106,IF(AC106="xhs_discussion_rate",BE106,IF(AC106="xhs_product_relevance_rate",BF106,IF(AC106="x_first_screen_engaged_rate_proxy",BG106,IF(AC106="x_qualified_reply_rate",BH106,IF(AC106="x_profile_click_rate",BI106,IF(AC106="x_link_intent_rate",BJ106,IF(AC106="x_bookmark_rate",BK106,IF(AC106="x_product_relevance_rate",BL106,"")))))))))))))</x:f>
      </x:c>
      <x:c r="BP106" s="73" t="str">
        <x:f>IFERROR(BO106/AU106-1,"")</x:f>
      </x:c>
      <x:c r="BQ106" s="74" t="str">
        <x:f>IF(COUNT(AD106)=0,"",AD106)</x:f>
      </x:c>
      <x:c r="BR106" s="73" t="str">
        <x:f>IF(C106="xiaohongshu",IF(COUNT(BA106,BB106)=2,AVERAGE(BA106,BB106),IF(COUNT(BA106)=1,BA106,BB106)),BK106)</x:f>
      </x:c>
      <x:c r="BS106" s="73" t="str">
        <x:f>IF(C106="xiaohongshu",BE106,BH106)</x:f>
      </x:c>
      <x:c r="BT106" s="73" t="str">
        <x:f>IF(C106="xiaohongshu",IF(I106="save",BA106,IF(I106="discussion",BE106,IF(I106="profile_visit",BC106,IF(I106="dm",BD106,IF(OR(I106="product_question",I106="trial_intent"),BF106,""))))),IF(I106="save",BK106,IF(I106="discussion",BH106,IF(OR(I106="profile_visit",I106="dm"),BI106,IF(I106="link_click",BJ106,IF(OR(I106="product_question",I106="trial_intent"),BL106,""))))))</x:f>
      </x:c>
      <x:c r="BU106" s="73" t="str">
        <x:f>IF(C106="xiaohongshu",BF106,BL106)</x:f>
      </x:c>
      <x:c r="BV106" s="65" t="str">
        <x:f>IF(COUNT(BQ106,AV106)&lt;2,"unknown",IF(BQ106/AV106-1&gt;=0.2,"high",IF(BQ106/AV106-1&lt;=-0.2,"low","normal")))</x:f>
        <x:v>unknown</x:v>
      </x:c>
      <x:c r="BW106" s="65" t="str">
        <x:f>IF(COUNT(BR106,AW106)&lt;2,"unknown",IF(BR106/AW106-1&gt;=0.2,"high",IF(BR106/AW106-1&lt;=-0.2,"low","normal")))</x:f>
        <x:v>unknown</x:v>
      </x:c>
      <x:c r="BX106" s="65" t="str">
        <x:f>IF(COUNT(BS106,AX106)&lt;2,"unknown",IF(BS106/AX106-1&gt;=0.2,"high",IF(BS106/AX106-1&lt;=-0.2,"low","normal")))</x:f>
        <x:v>unknown</x:v>
      </x:c>
      <x:c r="BY106" s="65" t="str">
        <x:f>IF(COUNT(BT106,AY106)&lt;2,"unknown",IF(BT106/AY106-1&gt;=0.2,"high",IF(BT106/AY106-1&lt;=-0.2,"low","normal")))</x:f>
        <x:v>unknown</x:v>
      </x:c>
      <x:c r="BZ106" s="65" t="str">
        <x:f>IF(COUNT(BU106,AZ106)&lt;2,"unknown",IF(BU106/AZ106-1&gt;=0.2,"high",IF(BU106/AZ106-1&lt;=-0.2,"low","normal")))</x:f>
        <x:v>unknown</x:v>
      </x:c>
      <x:c r="CA106" s="65" t="str">
        <x:f>IF(T106&lt;&gt;"complete","pending",IF(OR(L106&lt;&gt;"pure",U106="true",COUNT(BM106,AT106)&lt;2,AND(AC106&lt;&gt;"",COUNT(BO106,AU106)&lt;2)),"not_attributable","attributable"))</x:f>
        <x:v>pending</x:v>
      </x:c>
      <x:c r="CB106" s="65" t="str">
        <x:f>IF(T106&lt;&gt;"complete","not_evaluated",IF(COUNT(BM106,AT106)&lt;2,"insufficient_data",IF(AND(AC106&lt;&gt;"",COUNT(BP106)=1,BP106&lt;=-0.2),"guardrail_fail",IF(AND(CA106="not_attributable",OR(BV106="high",BN106&gt;=0.2)),"watchlist",IF(CA106&lt;&gt;"attributable","insufficient_data",IF(BN106&gt;=0.2,"win",IF(BN106&lt;=-0.2,"loss","inconclusive")))))))</x:f>
        <x:v>not_evaluated</x:v>
      </x:c>
      <x:c r="CC106" s="65" t="str">
        <x:f>IF(T106&lt;&gt;"complete","COLLECT_MORE_DATA",IF(COUNT(BM106,AT106)&lt;2,"FIX_TRACKING",IF(CB106="guardrail_fail","STOP_VARIANT_GUARDRAIL",IF(CB106="watchlist","WATCHLIST_ONLY",IF(AND(BV106="high",BY106="low"),"KEEP_HOOK_REWRITE_CTA",IF(AND(BW106="high",BX106="low"),"KEEP_STRUCTURE_CHANGE_DISCUSSION_ANGLE",IF(AND(BX106="high",BZ106="low"),"DOWNWEIGHT_TEMPLATE",IF(CB106="win","RETEST_WINNER",IF(CB106="loss","RETURN_TO_BASELINE","COLLECT_MORE_DATA")))))))))</x:f>
        <x:v>COLLECT_MORE_DATA</x:v>
      </x:c>
      <x:c r="CD106" s="75"/>
    </x:row>
    <x:row r="107">
      <x:c r="A107" s="68"/>
      <x:c r="B107" s="69"/>
      <x:c r="C107" s="68"/>
      <x:c r="D107" s="68"/>
      <x:c r="E107" s="68"/>
      <x:c r="F107" s="68"/>
      <x:c r="G107" s="68"/>
      <x:c r="H107" s="70"/>
      <x:c r="I107" s="68"/>
      <x:c r="J107" s="68"/>
      <x:c r="K107" s="68"/>
      <x:c r="L107" s="71" t="str">
        <x:f>IF(K107="","unknown",IF(K107=0,"baseline",IF(K107=1,"pure","mixed")))</x:f>
        <x:v>unknown</x:v>
      </x:c>
      <x:c r="M107" s="68"/>
      <x:c r="N107" s="68"/>
      <x:c r="O107" s="68"/>
      <x:c r="P107" s="68"/>
      <x:c r="Q107" s="68"/>
      <x:c r="R107" s="68"/>
      <x:c r="S107" s="68"/>
      <x:c r="T107" s="68"/>
      <x:c r="U107" s="68"/>
      <x:c r="V107" s="68"/>
      <x:c r="W107" s="68"/>
      <x:c r="X107" s="68"/>
      <x:c r="Y107" s="68"/>
      <x:c r="Z107" s="68"/>
      <x:c r="AA107" s="68"/>
      <x:c r="AB107" s="68"/>
      <x:c r="AC107" s="68"/>
      <x:c r="AD107" s="70"/>
      <x:c r="AE107" s="70"/>
      <x:c r="AF107" s="70"/>
      <x:c r="AG107" s="70"/>
      <x:c r="AH107" s="70"/>
      <x:c r="AI107" s="70"/>
      <x:c r="AJ107" s="70"/>
      <x:c r="AK107" s="70"/>
      <x:c r="AL107" s="70"/>
      <x:c r="AM107" s="70"/>
      <x:c r="AN107" s="70"/>
      <x:c r="AO107" s="70"/>
      <x:c r="AP107" s="70"/>
      <x:c r="AQ107" s="70"/>
      <x:c r="AR107" s="70"/>
      <x:c r="AS107" s="70"/>
      <x:c r="AT107" s="72"/>
      <x:c r="AU107" s="72"/>
      <x:c r="AV107" s="72"/>
      <x:c r="AW107" s="72"/>
      <x:c r="AX107" s="72"/>
      <x:c r="AY107" s="72"/>
      <x:c r="AZ107" s="72"/>
      <x:c r="BA107" s="73" t="str">
        <x:f>IF(C107="xiaohongshu",IF(COUNT(AF107,AE107)&lt;2,"",IFERROR(AF107/AE107,"")),"")</x:f>
      </x:c>
      <x:c r="BB107" s="73" t="str">
        <x:f>IF(C107="xiaohongshu",IF(COUNT(AG107,AE107)&lt;2,"",IFERROR(AG107/AE107,"")),"")</x:f>
      </x:c>
      <x:c r="BC107" s="73" t="str">
        <x:f>IF(C107="xiaohongshu",IF(COUNT(AN107,AE107)&lt;2,"",IFERROR(AN107/AE107,"")),"")</x:f>
      </x:c>
      <x:c r="BD107" s="73" t="str">
        <x:f>IF(C107="xiaohongshu",IF(COUNT(AQ107,AE107)&lt;2,"",IFERROR(AQ107/AE107,"")),"")</x:f>
      </x:c>
      <x:c r="BE107" s="73" t="str">
        <x:f>IF(C107="xiaohongshu",IF(COUNT(AI107,AE107)&lt;2,"",IFERROR(AI107/AE107,"")),"")</x:f>
      </x:c>
      <x:c r="BF107" s="73" t="str">
        <x:f>IF(C107="xiaohongshu",IF(OR(COUNT(AE107)=0,COUNT(AR107,AS107)=0),"",IFERROR((AR107+AS107)/AE107,"")),"")</x:f>
      </x:c>
      <x:c r="BG107" s="73" t="str">
        <x:f>IF(C107="x",IF(COUNT(AD107)=0,"",IF(COUNT(AM107)=1,IFERROR(AM107/AD107,""),IF(COUNT(AH107,AI107,AK107,AL107)=0,"",IFERROR(SUM(AH107,AI107,AK107,AL107)/AD107,"")))),"")</x:f>
      </x:c>
      <x:c r="BH107" s="73" t="str">
        <x:f>IF(C107="x",IF(COUNT(AJ107,AD107)&lt;2,"",IFERROR(AJ107/AD107,"")),"")</x:f>
      </x:c>
      <x:c r="BI107" s="73" t="str">
        <x:f>IF(C107="x",IF(COUNT(AO107,AD107)&lt;2,"",IFERROR(AO107/AD107,"")),"")</x:f>
      </x:c>
      <x:c r="BJ107" s="73" t="str">
        <x:f>IF(C107="x",IF(COUNT(AP107,AD107)&lt;2,"",IFERROR(AP107/AD107,"")),"")</x:f>
      </x:c>
      <x:c r="BK107" s="73" t="str">
        <x:f>IF(C107="x",IF(COUNT(AL107,AD107)&lt;2,"",IFERROR(AL107/AD107,"")),"")</x:f>
      </x:c>
      <x:c r="BL107" s="73" t="str">
        <x:f>IF(C107="x",IF(OR(COUNT(AD107)=0,COUNT(AR107,AS107)=0),"",IFERROR((AR107+AS107)/AD107,"")),"")</x:f>
      </x:c>
      <x:c r="BM107" s="73" t="str">
        <x:f>IF(AB107="xhs_save_rate",BA107,IF(AB107="xhs_completion_rate",BB107,IF(AB107="xhs_profile_visit_rate",BC107,IF(AB107="xhs_dm_intent_rate",BD107,IF(AB107="xhs_discussion_rate",BE107,IF(AB107="xhs_product_relevance_rate",BF107,IF(AB107="x_first_screen_engaged_rate_proxy",BG107,IF(AB107="x_qualified_reply_rate",BH107,IF(AB107="x_profile_click_rate",BI107,IF(AB107="x_link_intent_rate",BJ107,IF(AB107="x_bookmark_rate",BK107,IF(AB107="x_product_relevance_rate",BL107,""))))))))))))</x:f>
      </x:c>
      <x:c r="BN107" s="73" t="str">
        <x:f>IFERROR(BM107/AT107-1,"")</x:f>
      </x:c>
      <x:c r="BO107" s="73" t="str">
        <x:f>IF(AC107="","",IF(AC107="xhs_save_rate",BA107,IF(AC107="xhs_completion_rate",BB107,IF(AC107="xhs_profile_visit_rate",BC107,IF(AC107="xhs_dm_intent_rate",BD107,IF(AC107="xhs_discussion_rate",BE107,IF(AC107="xhs_product_relevance_rate",BF107,IF(AC107="x_first_screen_engaged_rate_proxy",BG107,IF(AC107="x_qualified_reply_rate",BH107,IF(AC107="x_profile_click_rate",BI107,IF(AC107="x_link_intent_rate",BJ107,IF(AC107="x_bookmark_rate",BK107,IF(AC107="x_product_relevance_rate",BL107,"")))))))))))))</x:f>
      </x:c>
      <x:c r="BP107" s="73" t="str">
        <x:f>IFERROR(BO107/AU107-1,"")</x:f>
      </x:c>
      <x:c r="BQ107" s="74" t="str">
        <x:f>IF(COUNT(AD107)=0,"",AD107)</x:f>
      </x:c>
      <x:c r="BR107" s="73" t="str">
        <x:f>IF(C107="xiaohongshu",IF(COUNT(BA107,BB107)=2,AVERAGE(BA107,BB107),IF(COUNT(BA107)=1,BA107,BB107)),BK107)</x:f>
      </x:c>
      <x:c r="BS107" s="73" t="str">
        <x:f>IF(C107="xiaohongshu",BE107,BH107)</x:f>
      </x:c>
      <x:c r="BT107" s="73" t="str">
        <x:f>IF(C107="xiaohongshu",IF(I107="save",BA107,IF(I107="discussion",BE107,IF(I107="profile_visit",BC107,IF(I107="dm",BD107,IF(OR(I107="product_question",I107="trial_intent"),BF107,""))))),IF(I107="save",BK107,IF(I107="discussion",BH107,IF(OR(I107="profile_visit",I107="dm"),BI107,IF(I107="link_click",BJ107,IF(OR(I107="product_question",I107="trial_intent"),BL107,""))))))</x:f>
      </x:c>
      <x:c r="BU107" s="73" t="str">
        <x:f>IF(C107="xiaohongshu",BF107,BL107)</x:f>
      </x:c>
      <x:c r="BV107" s="65" t="str">
        <x:f>IF(COUNT(BQ107,AV107)&lt;2,"unknown",IF(BQ107/AV107-1&gt;=0.2,"high",IF(BQ107/AV107-1&lt;=-0.2,"low","normal")))</x:f>
        <x:v>unknown</x:v>
      </x:c>
      <x:c r="BW107" s="65" t="str">
        <x:f>IF(COUNT(BR107,AW107)&lt;2,"unknown",IF(BR107/AW107-1&gt;=0.2,"high",IF(BR107/AW107-1&lt;=-0.2,"low","normal")))</x:f>
        <x:v>unknown</x:v>
      </x:c>
      <x:c r="BX107" s="65" t="str">
        <x:f>IF(COUNT(BS107,AX107)&lt;2,"unknown",IF(BS107/AX107-1&gt;=0.2,"high",IF(BS107/AX107-1&lt;=-0.2,"low","normal")))</x:f>
        <x:v>unknown</x:v>
      </x:c>
      <x:c r="BY107" s="65" t="str">
        <x:f>IF(COUNT(BT107,AY107)&lt;2,"unknown",IF(BT107/AY107-1&gt;=0.2,"high",IF(BT107/AY107-1&lt;=-0.2,"low","normal")))</x:f>
        <x:v>unknown</x:v>
      </x:c>
      <x:c r="BZ107" s="65" t="str">
        <x:f>IF(COUNT(BU107,AZ107)&lt;2,"unknown",IF(BU107/AZ107-1&gt;=0.2,"high",IF(BU107/AZ107-1&lt;=-0.2,"low","normal")))</x:f>
        <x:v>unknown</x:v>
      </x:c>
      <x:c r="CA107" s="65" t="str">
        <x:f>IF(T107&lt;&gt;"complete","pending",IF(OR(L107&lt;&gt;"pure",U107="true",COUNT(BM107,AT107)&lt;2,AND(AC107&lt;&gt;"",COUNT(BO107,AU107)&lt;2)),"not_attributable","attributable"))</x:f>
        <x:v>pending</x:v>
      </x:c>
      <x:c r="CB107" s="65" t="str">
        <x:f>IF(T107&lt;&gt;"complete","not_evaluated",IF(COUNT(BM107,AT107)&lt;2,"insufficient_data",IF(AND(AC107&lt;&gt;"",COUNT(BP107)=1,BP107&lt;=-0.2),"guardrail_fail",IF(AND(CA107="not_attributable",OR(BV107="high",BN107&gt;=0.2)),"watchlist",IF(CA107&lt;&gt;"attributable","insufficient_data",IF(BN107&gt;=0.2,"win",IF(BN107&lt;=-0.2,"loss","inconclusive")))))))</x:f>
        <x:v>not_evaluated</x:v>
      </x:c>
      <x:c r="CC107" s="65" t="str">
        <x:f>IF(T107&lt;&gt;"complete","COLLECT_MORE_DATA",IF(COUNT(BM107,AT107)&lt;2,"FIX_TRACKING",IF(CB107="guardrail_fail","STOP_VARIANT_GUARDRAIL",IF(CB107="watchlist","WATCHLIST_ONLY",IF(AND(BV107="high",BY107="low"),"KEEP_HOOK_REWRITE_CTA",IF(AND(BW107="high",BX107="low"),"KEEP_STRUCTURE_CHANGE_DISCUSSION_ANGLE",IF(AND(BX107="high",BZ107="low"),"DOWNWEIGHT_TEMPLATE",IF(CB107="win","RETEST_WINNER",IF(CB107="loss","RETURN_TO_BASELINE","COLLECT_MORE_DATA")))))))))</x:f>
        <x:v>COLLECT_MORE_DATA</x:v>
      </x:c>
      <x:c r="CD107" s="75"/>
    </x:row>
    <x:row r="108">
      <x:c r="A108" s="68"/>
      <x:c r="B108" s="69"/>
      <x:c r="C108" s="68"/>
      <x:c r="D108" s="68"/>
      <x:c r="E108" s="68"/>
      <x:c r="F108" s="68"/>
      <x:c r="G108" s="68"/>
      <x:c r="H108" s="70"/>
      <x:c r="I108" s="68"/>
      <x:c r="J108" s="68"/>
      <x:c r="K108" s="68"/>
      <x:c r="L108" s="71" t="str">
        <x:f>IF(K108="","unknown",IF(K108=0,"baseline",IF(K108=1,"pure","mixed")))</x:f>
        <x:v>unknown</x:v>
      </x:c>
      <x:c r="M108" s="68"/>
      <x:c r="N108" s="68"/>
      <x:c r="O108" s="68"/>
      <x:c r="P108" s="68"/>
      <x:c r="Q108" s="68"/>
      <x:c r="R108" s="68"/>
      <x:c r="S108" s="68"/>
      <x:c r="T108" s="68"/>
      <x:c r="U108" s="68"/>
      <x:c r="V108" s="68"/>
      <x:c r="W108" s="68"/>
      <x:c r="X108" s="68"/>
      <x:c r="Y108" s="68"/>
      <x:c r="Z108" s="68"/>
      <x:c r="AA108" s="68"/>
      <x:c r="AB108" s="68"/>
      <x:c r="AC108" s="68"/>
      <x:c r="AD108" s="70"/>
      <x:c r="AE108" s="70"/>
      <x:c r="AF108" s="70"/>
      <x:c r="AG108" s="70"/>
      <x:c r="AH108" s="70"/>
      <x:c r="AI108" s="70"/>
      <x:c r="AJ108" s="70"/>
      <x:c r="AK108" s="70"/>
      <x:c r="AL108" s="70"/>
      <x:c r="AM108" s="70"/>
      <x:c r="AN108" s="70"/>
      <x:c r="AO108" s="70"/>
      <x:c r="AP108" s="70"/>
      <x:c r="AQ108" s="70"/>
      <x:c r="AR108" s="70"/>
      <x:c r="AS108" s="70"/>
      <x:c r="AT108" s="72"/>
      <x:c r="AU108" s="72"/>
      <x:c r="AV108" s="72"/>
      <x:c r="AW108" s="72"/>
      <x:c r="AX108" s="72"/>
      <x:c r="AY108" s="72"/>
      <x:c r="AZ108" s="72"/>
      <x:c r="BA108" s="73" t="str">
        <x:f>IF(C108="xiaohongshu",IF(COUNT(AF108,AE108)&lt;2,"",IFERROR(AF108/AE108,"")),"")</x:f>
      </x:c>
      <x:c r="BB108" s="73" t="str">
        <x:f>IF(C108="xiaohongshu",IF(COUNT(AG108,AE108)&lt;2,"",IFERROR(AG108/AE108,"")),"")</x:f>
      </x:c>
      <x:c r="BC108" s="73" t="str">
        <x:f>IF(C108="xiaohongshu",IF(COUNT(AN108,AE108)&lt;2,"",IFERROR(AN108/AE108,"")),"")</x:f>
      </x:c>
      <x:c r="BD108" s="73" t="str">
        <x:f>IF(C108="xiaohongshu",IF(COUNT(AQ108,AE108)&lt;2,"",IFERROR(AQ108/AE108,"")),"")</x:f>
      </x:c>
      <x:c r="BE108" s="73" t="str">
        <x:f>IF(C108="xiaohongshu",IF(COUNT(AI108,AE108)&lt;2,"",IFERROR(AI108/AE108,"")),"")</x:f>
      </x:c>
      <x:c r="BF108" s="73" t="str">
        <x:f>IF(C108="xiaohongshu",IF(OR(COUNT(AE108)=0,COUNT(AR108,AS108)=0),"",IFERROR((AR108+AS108)/AE108,"")),"")</x:f>
      </x:c>
      <x:c r="BG108" s="73" t="str">
        <x:f>IF(C108="x",IF(COUNT(AD108)=0,"",IF(COUNT(AM108)=1,IFERROR(AM108/AD108,""),IF(COUNT(AH108,AI108,AK108,AL108)=0,"",IFERROR(SUM(AH108,AI108,AK108,AL108)/AD108,"")))),"")</x:f>
      </x:c>
      <x:c r="BH108" s="73" t="str">
        <x:f>IF(C108="x",IF(COUNT(AJ108,AD108)&lt;2,"",IFERROR(AJ108/AD108,"")),"")</x:f>
      </x:c>
      <x:c r="BI108" s="73" t="str">
        <x:f>IF(C108="x",IF(COUNT(AO108,AD108)&lt;2,"",IFERROR(AO108/AD108,"")),"")</x:f>
      </x:c>
      <x:c r="BJ108" s="73" t="str">
        <x:f>IF(C108="x",IF(COUNT(AP108,AD108)&lt;2,"",IFERROR(AP108/AD108,"")),"")</x:f>
      </x:c>
      <x:c r="BK108" s="73" t="str">
        <x:f>IF(C108="x",IF(COUNT(AL108,AD108)&lt;2,"",IFERROR(AL108/AD108,"")),"")</x:f>
      </x:c>
      <x:c r="BL108" s="73" t="str">
        <x:f>IF(C108="x",IF(OR(COUNT(AD108)=0,COUNT(AR108,AS108)=0),"",IFERROR((AR108+AS108)/AD108,"")),"")</x:f>
      </x:c>
      <x:c r="BM108" s="73" t="str">
        <x:f>IF(AB108="xhs_save_rate",BA108,IF(AB108="xhs_completion_rate",BB108,IF(AB108="xhs_profile_visit_rate",BC108,IF(AB108="xhs_dm_intent_rate",BD108,IF(AB108="xhs_discussion_rate",BE108,IF(AB108="xhs_product_relevance_rate",BF108,IF(AB108="x_first_screen_engaged_rate_proxy",BG108,IF(AB108="x_qualified_reply_rate",BH108,IF(AB108="x_profile_click_rate",BI108,IF(AB108="x_link_intent_rate",BJ108,IF(AB108="x_bookmark_rate",BK108,IF(AB108="x_product_relevance_rate",BL108,""))))))))))))</x:f>
      </x:c>
      <x:c r="BN108" s="73" t="str">
        <x:f>IFERROR(BM108/AT108-1,"")</x:f>
      </x:c>
      <x:c r="BO108" s="73" t="str">
        <x:f>IF(AC108="","",IF(AC108="xhs_save_rate",BA108,IF(AC108="xhs_completion_rate",BB108,IF(AC108="xhs_profile_visit_rate",BC108,IF(AC108="xhs_dm_intent_rate",BD108,IF(AC108="xhs_discussion_rate",BE108,IF(AC108="xhs_product_relevance_rate",BF108,IF(AC108="x_first_screen_engaged_rate_proxy",BG108,IF(AC108="x_qualified_reply_rate",BH108,IF(AC108="x_profile_click_rate",BI108,IF(AC108="x_link_intent_rate",BJ108,IF(AC108="x_bookmark_rate",BK108,IF(AC108="x_product_relevance_rate",BL108,"")))))))))))))</x:f>
      </x:c>
      <x:c r="BP108" s="73" t="str">
        <x:f>IFERROR(BO108/AU108-1,"")</x:f>
      </x:c>
      <x:c r="BQ108" s="74" t="str">
        <x:f>IF(COUNT(AD108)=0,"",AD108)</x:f>
      </x:c>
      <x:c r="BR108" s="73" t="str">
        <x:f>IF(C108="xiaohongshu",IF(COUNT(BA108,BB108)=2,AVERAGE(BA108,BB108),IF(COUNT(BA108)=1,BA108,BB108)),BK108)</x:f>
      </x:c>
      <x:c r="BS108" s="73" t="str">
        <x:f>IF(C108="xiaohongshu",BE108,BH108)</x:f>
      </x:c>
      <x:c r="BT108" s="73" t="str">
        <x:f>IF(C108="xiaohongshu",IF(I108="save",BA108,IF(I108="discussion",BE108,IF(I108="profile_visit",BC108,IF(I108="dm",BD108,IF(OR(I108="product_question",I108="trial_intent"),BF108,""))))),IF(I108="save",BK108,IF(I108="discussion",BH108,IF(OR(I108="profile_visit",I108="dm"),BI108,IF(I108="link_click",BJ108,IF(OR(I108="product_question",I108="trial_intent"),BL108,""))))))</x:f>
      </x:c>
      <x:c r="BU108" s="73" t="str">
        <x:f>IF(C108="xiaohongshu",BF108,BL108)</x:f>
      </x:c>
      <x:c r="BV108" s="65" t="str">
        <x:f>IF(COUNT(BQ108,AV108)&lt;2,"unknown",IF(BQ108/AV108-1&gt;=0.2,"high",IF(BQ108/AV108-1&lt;=-0.2,"low","normal")))</x:f>
        <x:v>unknown</x:v>
      </x:c>
      <x:c r="BW108" s="65" t="str">
        <x:f>IF(COUNT(BR108,AW108)&lt;2,"unknown",IF(BR108/AW108-1&gt;=0.2,"high",IF(BR108/AW108-1&lt;=-0.2,"low","normal")))</x:f>
        <x:v>unknown</x:v>
      </x:c>
      <x:c r="BX108" s="65" t="str">
        <x:f>IF(COUNT(BS108,AX108)&lt;2,"unknown",IF(BS108/AX108-1&gt;=0.2,"high",IF(BS108/AX108-1&lt;=-0.2,"low","normal")))</x:f>
        <x:v>unknown</x:v>
      </x:c>
      <x:c r="BY108" s="65" t="str">
        <x:f>IF(COUNT(BT108,AY108)&lt;2,"unknown",IF(BT108/AY108-1&gt;=0.2,"high",IF(BT108/AY108-1&lt;=-0.2,"low","normal")))</x:f>
        <x:v>unknown</x:v>
      </x:c>
      <x:c r="BZ108" s="65" t="str">
        <x:f>IF(COUNT(BU108,AZ108)&lt;2,"unknown",IF(BU108/AZ108-1&gt;=0.2,"high",IF(BU108/AZ108-1&lt;=-0.2,"low","normal")))</x:f>
        <x:v>unknown</x:v>
      </x:c>
      <x:c r="CA108" s="65" t="str">
        <x:f>IF(T108&lt;&gt;"complete","pending",IF(OR(L108&lt;&gt;"pure",U108="true",COUNT(BM108,AT108)&lt;2,AND(AC108&lt;&gt;"",COUNT(BO108,AU108)&lt;2)),"not_attributable","attributable"))</x:f>
        <x:v>pending</x:v>
      </x:c>
      <x:c r="CB108" s="65" t="str">
        <x:f>IF(T108&lt;&gt;"complete","not_evaluated",IF(COUNT(BM108,AT108)&lt;2,"insufficient_data",IF(AND(AC108&lt;&gt;"",COUNT(BP108)=1,BP108&lt;=-0.2),"guardrail_fail",IF(AND(CA108="not_attributable",OR(BV108="high",BN108&gt;=0.2)),"watchlist",IF(CA108&lt;&gt;"attributable","insufficient_data",IF(BN108&gt;=0.2,"win",IF(BN108&lt;=-0.2,"loss","inconclusive")))))))</x:f>
        <x:v>not_evaluated</x:v>
      </x:c>
      <x:c r="CC108" s="65" t="str">
        <x:f>IF(T108&lt;&gt;"complete","COLLECT_MORE_DATA",IF(COUNT(BM108,AT108)&lt;2,"FIX_TRACKING",IF(CB108="guardrail_fail","STOP_VARIANT_GUARDRAIL",IF(CB108="watchlist","WATCHLIST_ONLY",IF(AND(BV108="high",BY108="low"),"KEEP_HOOK_REWRITE_CTA",IF(AND(BW108="high",BX108="low"),"KEEP_STRUCTURE_CHANGE_DISCUSSION_ANGLE",IF(AND(BX108="high",BZ108="low"),"DOWNWEIGHT_TEMPLATE",IF(CB108="win","RETEST_WINNER",IF(CB108="loss","RETURN_TO_BASELINE","COLLECT_MORE_DATA")))))))))</x:f>
        <x:v>COLLECT_MORE_DATA</x:v>
      </x:c>
      <x:c r="CD108" s="75"/>
    </x:row>
    <x:row r="109">
      <x:c r="A109" s="68"/>
      <x:c r="B109" s="69"/>
      <x:c r="C109" s="68"/>
      <x:c r="D109" s="68"/>
      <x:c r="E109" s="68"/>
      <x:c r="F109" s="68"/>
      <x:c r="G109" s="68"/>
      <x:c r="H109" s="70"/>
      <x:c r="I109" s="68"/>
      <x:c r="J109" s="68"/>
      <x:c r="K109" s="68"/>
      <x:c r="L109" s="71" t="str">
        <x:f>IF(K109="","unknown",IF(K109=0,"baseline",IF(K109=1,"pure","mixed")))</x:f>
        <x:v>unknown</x:v>
      </x:c>
      <x:c r="M109" s="68"/>
      <x:c r="N109" s="68"/>
      <x:c r="O109" s="68"/>
      <x:c r="P109" s="68"/>
      <x:c r="Q109" s="68"/>
      <x:c r="R109" s="68"/>
      <x:c r="S109" s="68"/>
      <x:c r="T109" s="68"/>
      <x:c r="U109" s="68"/>
      <x:c r="V109" s="68"/>
      <x:c r="W109" s="68"/>
      <x:c r="X109" s="68"/>
      <x:c r="Y109" s="68"/>
      <x:c r="Z109" s="68"/>
      <x:c r="AA109" s="68"/>
      <x:c r="AB109" s="68"/>
      <x:c r="AC109" s="68"/>
      <x:c r="AD109" s="70"/>
      <x:c r="AE109" s="70"/>
      <x:c r="AF109" s="70"/>
      <x:c r="AG109" s="70"/>
      <x:c r="AH109" s="70"/>
      <x:c r="AI109" s="70"/>
      <x:c r="AJ109" s="70"/>
      <x:c r="AK109" s="70"/>
      <x:c r="AL109" s="70"/>
      <x:c r="AM109" s="70"/>
      <x:c r="AN109" s="70"/>
      <x:c r="AO109" s="70"/>
      <x:c r="AP109" s="70"/>
      <x:c r="AQ109" s="70"/>
      <x:c r="AR109" s="70"/>
      <x:c r="AS109" s="70"/>
      <x:c r="AT109" s="72"/>
      <x:c r="AU109" s="72"/>
      <x:c r="AV109" s="72"/>
      <x:c r="AW109" s="72"/>
      <x:c r="AX109" s="72"/>
      <x:c r="AY109" s="72"/>
      <x:c r="AZ109" s="72"/>
      <x:c r="BA109" s="73" t="str">
        <x:f>IF(C109="xiaohongshu",IF(COUNT(AF109,AE109)&lt;2,"",IFERROR(AF109/AE109,"")),"")</x:f>
      </x:c>
      <x:c r="BB109" s="73" t="str">
        <x:f>IF(C109="xiaohongshu",IF(COUNT(AG109,AE109)&lt;2,"",IFERROR(AG109/AE109,"")),"")</x:f>
      </x:c>
      <x:c r="BC109" s="73" t="str">
        <x:f>IF(C109="xiaohongshu",IF(COUNT(AN109,AE109)&lt;2,"",IFERROR(AN109/AE109,"")),"")</x:f>
      </x:c>
      <x:c r="BD109" s="73" t="str">
        <x:f>IF(C109="xiaohongshu",IF(COUNT(AQ109,AE109)&lt;2,"",IFERROR(AQ109/AE109,"")),"")</x:f>
      </x:c>
      <x:c r="BE109" s="73" t="str">
        <x:f>IF(C109="xiaohongshu",IF(COUNT(AI109,AE109)&lt;2,"",IFERROR(AI109/AE109,"")),"")</x:f>
      </x:c>
      <x:c r="BF109" s="73" t="str">
        <x:f>IF(C109="xiaohongshu",IF(OR(COUNT(AE109)=0,COUNT(AR109,AS109)=0),"",IFERROR((AR109+AS109)/AE109,"")),"")</x:f>
      </x:c>
      <x:c r="BG109" s="73" t="str">
        <x:f>IF(C109="x",IF(COUNT(AD109)=0,"",IF(COUNT(AM109)=1,IFERROR(AM109/AD109,""),IF(COUNT(AH109,AI109,AK109,AL109)=0,"",IFERROR(SUM(AH109,AI109,AK109,AL109)/AD109,"")))),"")</x:f>
      </x:c>
      <x:c r="BH109" s="73" t="str">
        <x:f>IF(C109="x",IF(COUNT(AJ109,AD109)&lt;2,"",IFERROR(AJ109/AD109,"")),"")</x:f>
      </x:c>
      <x:c r="BI109" s="73" t="str">
        <x:f>IF(C109="x",IF(COUNT(AO109,AD109)&lt;2,"",IFERROR(AO109/AD109,"")),"")</x:f>
      </x:c>
      <x:c r="BJ109" s="73" t="str">
        <x:f>IF(C109="x",IF(COUNT(AP109,AD109)&lt;2,"",IFERROR(AP109/AD109,"")),"")</x:f>
      </x:c>
      <x:c r="BK109" s="73" t="str">
        <x:f>IF(C109="x",IF(COUNT(AL109,AD109)&lt;2,"",IFERROR(AL109/AD109,"")),"")</x:f>
      </x:c>
      <x:c r="BL109" s="73" t="str">
        <x:f>IF(C109="x",IF(OR(COUNT(AD109)=0,COUNT(AR109,AS109)=0),"",IFERROR((AR109+AS109)/AD109,"")),"")</x:f>
      </x:c>
      <x:c r="BM109" s="73" t="str">
        <x:f>IF(AB109="xhs_save_rate",BA109,IF(AB109="xhs_completion_rate",BB109,IF(AB109="xhs_profile_visit_rate",BC109,IF(AB109="xhs_dm_intent_rate",BD109,IF(AB109="xhs_discussion_rate",BE109,IF(AB109="xhs_product_relevance_rate",BF109,IF(AB109="x_first_screen_engaged_rate_proxy",BG109,IF(AB109="x_qualified_reply_rate",BH109,IF(AB109="x_profile_click_rate",BI109,IF(AB109="x_link_intent_rate",BJ109,IF(AB109="x_bookmark_rate",BK109,IF(AB109="x_product_relevance_rate",BL109,""))))))))))))</x:f>
      </x:c>
      <x:c r="BN109" s="73" t="str">
        <x:f>IFERROR(BM109/AT109-1,"")</x:f>
      </x:c>
      <x:c r="BO109" s="73" t="str">
        <x:f>IF(AC109="","",IF(AC109="xhs_save_rate",BA109,IF(AC109="xhs_completion_rate",BB109,IF(AC109="xhs_profile_visit_rate",BC109,IF(AC109="xhs_dm_intent_rate",BD109,IF(AC109="xhs_discussion_rate",BE109,IF(AC109="xhs_product_relevance_rate",BF109,IF(AC109="x_first_screen_engaged_rate_proxy",BG109,IF(AC109="x_qualified_reply_rate",BH109,IF(AC109="x_profile_click_rate",BI109,IF(AC109="x_link_intent_rate",BJ109,IF(AC109="x_bookmark_rate",BK109,IF(AC109="x_product_relevance_rate",BL109,"")))))))))))))</x:f>
      </x:c>
      <x:c r="BP109" s="73" t="str">
        <x:f>IFERROR(BO109/AU109-1,"")</x:f>
      </x:c>
      <x:c r="BQ109" s="74" t="str">
        <x:f>IF(COUNT(AD109)=0,"",AD109)</x:f>
      </x:c>
      <x:c r="BR109" s="73" t="str">
        <x:f>IF(C109="xiaohongshu",IF(COUNT(BA109,BB109)=2,AVERAGE(BA109,BB109),IF(COUNT(BA109)=1,BA109,BB109)),BK109)</x:f>
      </x:c>
      <x:c r="BS109" s="73" t="str">
        <x:f>IF(C109="xiaohongshu",BE109,BH109)</x:f>
      </x:c>
      <x:c r="BT109" s="73" t="str">
        <x:f>IF(C109="xiaohongshu",IF(I109="save",BA109,IF(I109="discussion",BE109,IF(I109="profile_visit",BC109,IF(I109="dm",BD109,IF(OR(I109="product_question",I109="trial_intent"),BF109,""))))),IF(I109="save",BK109,IF(I109="discussion",BH109,IF(OR(I109="profile_visit",I109="dm"),BI109,IF(I109="link_click",BJ109,IF(OR(I109="product_question",I109="trial_intent"),BL109,""))))))</x:f>
      </x:c>
      <x:c r="BU109" s="73" t="str">
        <x:f>IF(C109="xiaohongshu",BF109,BL109)</x:f>
      </x:c>
      <x:c r="BV109" s="65" t="str">
        <x:f>IF(COUNT(BQ109,AV109)&lt;2,"unknown",IF(BQ109/AV109-1&gt;=0.2,"high",IF(BQ109/AV109-1&lt;=-0.2,"low","normal")))</x:f>
        <x:v>unknown</x:v>
      </x:c>
      <x:c r="BW109" s="65" t="str">
        <x:f>IF(COUNT(BR109,AW109)&lt;2,"unknown",IF(BR109/AW109-1&gt;=0.2,"high",IF(BR109/AW109-1&lt;=-0.2,"low","normal")))</x:f>
        <x:v>unknown</x:v>
      </x:c>
      <x:c r="BX109" s="65" t="str">
        <x:f>IF(COUNT(BS109,AX109)&lt;2,"unknown",IF(BS109/AX109-1&gt;=0.2,"high",IF(BS109/AX109-1&lt;=-0.2,"low","normal")))</x:f>
        <x:v>unknown</x:v>
      </x:c>
      <x:c r="BY109" s="65" t="str">
        <x:f>IF(COUNT(BT109,AY109)&lt;2,"unknown",IF(BT109/AY109-1&gt;=0.2,"high",IF(BT109/AY109-1&lt;=-0.2,"low","normal")))</x:f>
        <x:v>unknown</x:v>
      </x:c>
      <x:c r="BZ109" s="65" t="str">
        <x:f>IF(COUNT(BU109,AZ109)&lt;2,"unknown",IF(BU109/AZ109-1&gt;=0.2,"high",IF(BU109/AZ109-1&lt;=-0.2,"low","normal")))</x:f>
        <x:v>unknown</x:v>
      </x:c>
      <x:c r="CA109" s="65" t="str">
        <x:f>IF(T109&lt;&gt;"complete","pending",IF(OR(L109&lt;&gt;"pure",U109="true",COUNT(BM109,AT109)&lt;2,AND(AC109&lt;&gt;"",COUNT(BO109,AU109)&lt;2)),"not_attributable","attributable"))</x:f>
        <x:v>pending</x:v>
      </x:c>
      <x:c r="CB109" s="65" t="str">
        <x:f>IF(T109&lt;&gt;"complete","not_evaluated",IF(COUNT(BM109,AT109)&lt;2,"insufficient_data",IF(AND(AC109&lt;&gt;"",COUNT(BP109)=1,BP109&lt;=-0.2),"guardrail_fail",IF(AND(CA109="not_attributable",OR(BV109="high",BN109&gt;=0.2)),"watchlist",IF(CA109&lt;&gt;"attributable","insufficient_data",IF(BN109&gt;=0.2,"win",IF(BN109&lt;=-0.2,"loss","inconclusive")))))))</x:f>
        <x:v>not_evaluated</x:v>
      </x:c>
      <x:c r="CC109" s="65" t="str">
        <x:f>IF(T109&lt;&gt;"complete","COLLECT_MORE_DATA",IF(COUNT(BM109,AT109)&lt;2,"FIX_TRACKING",IF(CB109="guardrail_fail","STOP_VARIANT_GUARDRAIL",IF(CB109="watchlist","WATCHLIST_ONLY",IF(AND(BV109="high",BY109="low"),"KEEP_HOOK_REWRITE_CTA",IF(AND(BW109="high",BX109="low"),"KEEP_STRUCTURE_CHANGE_DISCUSSION_ANGLE",IF(AND(BX109="high",BZ109="low"),"DOWNWEIGHT_TEMPLATE",IF(CB109="win","RETEST_WINNER",IF(CB109="loss","RETURN_TO_BASELINE","COLLECT_MORE_DATA")))))))))</x:f>
        <x:v>COLLECT_MORE_DATA</x:v>
      </x:c>
      <x:c r="CD109" s="75"/>
    </x:row>
    <x:row r="110">
      <x:c r="A110" s="68"/>
      <x:c r="B110" s="69"/>
      <x:c r="C110" s="68"/>
      <x:c r="D110" s="68"/>
      <x:c r="E110" s="68"/>
      <x:c r="F110" s="68"/>
      <x:c r="G110" s="68"/>
      <x:c r="H110" s="70"/>
      <x:c r="I110" s="68"/>
      <x:c r="J110" s="68"/>
      <x:c r="K110" s="68"/>
      <x:c r="L110" s="71" t="str">
        <x:f>IF(K110="","unknown",IF(K110=0,"baseline",IF(K110=1,"pure","mixed")))</x:f>
        <x:v>unknown</x:v>
      </x:c>
      <x:c r="M110" s="68"/>
      <x:c r="N110" s="68"/>
      <x:c r="O110" s="68"/>
      <x:c r="P110" s="68"/>
      <x:c r="Q110" s="68"/>
      <x:c r="R110" s="68"/>
      <x:c r="S110" s="68"/>
      <x:c r="T110" s="68"/>
      <x:c r="U110" s="68"/>
      <x:c r="V110" s="68"/>
      <x:c r="W110" s="68"/>
      <x:c r="X110" s="68"/>
      <x:c r="Y110" s="68"/>
      <x:c r="Z110" s="68"/>
      <x:c r="AA110" s="68"/>
      <x:c r="AB110" s="68"/>
      <x:c r="AC110" s="68"/>
      <x:c r="AD110" s="70"/>
      <x:c r="AE110" s="70"/>
      <x:c r="AF110" s="70"/>
      <x:c r="AG110" s="70"/>
      <x:c r="AH110" s="70"/>
      <x:c r="AI110" s="70"/>
      <x:c r="AJ110" s="70"/>
      <x:c r="AK110" s="70"/>
      <x:c r="AL110" s="70"/>
      <x:c r="AM110" s="70"/>
      <x:c r="AN110" s="70"/>
      <x:c r="AO110" s="70"/>
      <x:c r="AP110" s="70"/>
      <x:c r="AQ110" s="70"/>
      <x:c r="AR110" s="70"/>
      <x:c r="AS110" s="70"/>
      <x:c r="AT110" s="72"/>
      <x:c r="AU110" s="72"/>
      <x:c r="AV110" s="72"/>
      <x:c r="AW110" s="72"/>
      <x:c r="AX110" s="72"/>
      <x:c r="AY110" s="72"/>
      <x:c r="AZ110" s="72"/>
      <x:c r="BA110" s="73" t="str">
        <x:f>IF(C110="xiaohongshu",IF(COUNT(AF110,AE110)&lt;2,"",IFERROR(AF110/AE110,"")),"")</x:f>
      </x:c>
      <x:c r="BB110" s="73" t="str">
        <x:f>IF(C110="xiaohongshu",IF(COUNT(AG110,AE110)&lt;2,"",IFERROR(AG110/AE110,"")),"")</x:f>
      </x:c>
      <x:c r="BC110" s="73" t="str">
        <x:f>IF(C110="xiaohongshu",IF(COUNT(AN110,AE110)&lt;2,"",IFERROR(AN110/AE110,"")),"")</x:f>
      </x:c>
      <x:c r="BD110" s="73" t="str">
        <x:f>IF(C110="xiaohongshu",IF(COUNT(AQ110,AE110)&lt;2,"",IFERROR(AQ110/AE110,"")),"")</x:f>
      </x:c>
      <x:c r="BE110" s="73" t="str">
        <x:f>IF(C110="xiaohongshu",IF(COUNT(AI110,AE110)&lt;2,"",IFERROR(AI110/AE110,"")),"")</x:f>
      </x:c>
      <x:c r="BF110" s="73" t="str">
        <x:f>IF(C110="xiaohongshu",IF(OR(COUNT(AE110)=0,COUNT(AR110,AS110)=0),"",IFERROR((AR110+AS110)/AE110,"")),"")</x:f>
      </x:c>
      <x:c r="BG110" s="73" t="str">
        <x:f>IF(C110="x",IF(COUNT(AD110)=0,"",IF(COUNT(AM110)=1,IFERROR(AM110/AD110,""),IF(COUNT(AH110,AI110,AK110,AL110)=0,"",IFERROR(SUM(AH110,AI110,AK110,AL110)/AD110,"")))),"")</x:f>
      </x:c>
      <x:c r="BH110" s="73" t="str">
        <x:f>IF(C110="x",IF(COUNT(AJ110,AD110)&lt;2,"",IFERROR(AJ110/AD110,"")),"")</x:f>
      </x:c>
      <x:c r="BI110" s="73" t="str">
        <x:f>IF(C110="x",IF(COUNT(AO110,AD110)&lt;2,"",IFERROR(AO110/AD110,"")),"")</x:f>
      </x:c>
      <x:c r="BJ110" s="73" t="str">
        <x:f>IF(C110="x",IF(COUNT(AP110,AD110)&lt;2,"",IFERROR(AP110/AD110,"")),"")</x:f>
      </x:c>
      <x:c r="BK110" s="73" t="str">
        <x:f>IF(C110="x",IF(COUNT(AL110,AD110)&lt;2,"",IFERROR(AL110/AD110,"")),"")</x:f>
      </x:c>
      <x:c r="BL110" s="73" t="str">
        <x:f>IF(C110="x",IF(OR(COUNT(AD110)=0,COUNT(AR110,AS110)=0),"",IFERROR((AR110+AS110)/AD110,"")),"")</x:f>
      </x:c>
      <x:c r="BM110" s="73" t="str">
        <x:f>IF(AB110="xhs_save_rate",BA110,IF(AB110="xhs_completion_rate",BB110,IF(AB110="xhs_profile_visit_rate",BC110,IF(AB110="xhs_dm_intent_rate",BD110,IF(AB110="xhs_discussion_rate",BE110,IF(AB110="xhs_product_relevance_rate",BF110,IF(AB110="x_first_screen_engaged_rate_proxy",BG110,IF(AB110="x_qualified_reply_rate",BH110,IF(AB110="x_profile_click_rate",BI110,IF(AB110="x_link_intent_rate",BJ110,IF(AB110="x_bookmark_rate",BK110,IF(AB110="x_product_relevance_rate",BL110,""))))))))))))</x:f>
      </x:c>
      <x:c r="BN110" s="73" t="str">
        <x:f>IFERROR(BM110/AT110-1,"")</x:f>
      </x:c>
      <x:c r="BO110" s="73" t="str">
        <x:f>IF(AC110="","",IF(AC110="xhs_save_rate",BA110,IF(AC110="xhs_completion_rate",BB110,IF(AC110="xhs_profile_visit_rate",BC110,IF(AC110="xhs_dm_intent_rate",BD110,IF(AC110="xhs_discussion_rate",BE110,IF(AC110="xhs_product_relevance_rate",BF110,IF(AC110="x_first_screen_engaged_rate_proxy",BG110,IF(AC110="x_qualified_reply_rate",BH110,IF(AC110="x_profile_click_rate",BI110,IF(AC110="x_link_intent_rate",BJ110,IF(AC110="x_bookmark_rate",BK110,IF(AC110="x_product_relevance_rate",BL110,"")))))))))))))</x:f>
      </x:c>
      <x:c r="BP110" s="73" t="str">
        <x:f>IFERROR(BO110/AU110-1,"")</x:f>
      </x:c>
      <x:c r="BQ110" s="74" t="str">
        <x:f>IF(COUNT(AD110)=0,"",AD110)</x:f>
      </x:c>
      <x:c r="BR110" s="73" t="str">
        <x:f>IF(C110="xiaohongshu",IF(COUNT(BA110,BB110)=2,AVERAGE(BA110,BB110),IF(COUNT(BA110)=1,BA110,BB110)),BK110)</x:f>
      </x:c>
      <x:c r="BS110" s="73" t="str">
        <x:f>IF(C110="xiaohongshu",BE110,BH110)</x:f>
      </x:c>
      <x:c r="BT110" s="73" t="str">
        <x:f>IF(C110="xiaohongshu",IF(I110="save",BA110,IF(I110="discussion",BE110,IF(I110="profile_visit",BC110,IF(I110="dm",BD110,IF(OR(I110="product_question",I110="trial_intent"),BF110,""))))),IF(I110="save",BK110,IF(I110="discussion",BH110,IF(OR(I110="profile_visit",I110="dm"),BI110,IF(I110="link_click",BJ110,IF(OR(I110="product_question",I110="trial_intent"),BL110,""))))))</x:f>
      </x:c>
      <x:c r="BU110" s="73" t="str">
        <x:f>IF(C110="xiaohongshu",BF110,BL110)</x:f>
      </x:c>
      <x:c r="BV110" s="65" t="str">
        <x:f>IF(COUNT(BQ110,AV110)&lt;2,"unknown",IF(BQ110/AV110-1&gt;=0.2,"high",IF(BQ110/AV110-1&lt;=-0.2,"low","normal")))</x:f>
        <x:v>unknown</x:v>
      </x:c>
      <x:c r="BW110" s="65" t="str">
        <x:f>IF(COUNT(BR110,AW110)&lt;2,"unknown",IF(BR110/AW110-1&gt;=0.2,"high",IF(BR110/AW110-1&lt;=-0.2,"low","normal")))</x:f>
        <x:v>unknown</x:v>
      </x:c>
      <x:c r="BX110" s="65" t="str">
        <x:f>IF(COUNT(BS110,AX110)&lt;2,"unknown",IF(BS110/AX110-1&gt;=0.2,"high",IF(BS110/AX110-1&lt;=-0.2,"low","normal")))</x:f>
        <x:v>unknown</x:v>
      </x:c>
      <x:c r="BY110" s="65" t="str">
        <x:f>IF(COUNT(BT110,AY110)&lt;2,"unknown",IF(BT110/AY110-1&gt;=0.2,"high",IF(BT110/AY110-1&lt;=-0.2,"low","normal")))</x:f>
        <x:v>unknown</x:v>
      </x:c>
      <x:c r="BZ110" s="65" t="str">
        <x:f>IF(COUNT(BU110,AZ110)&lt;2,"unknown",IF(BU110/AZ110-1&gt;=0.2,"high",IF(BU110/AZ110-1&lt;=-0.2,"low","normal")))</x:f>
        <x:v>unknown</x:v>
      </x:c>
      <x:c r="CA110" s="65" t="str">
        <x:f>IF(T110&lt;&gt;"complete","pending",IF(OR(L110&lt;&gt;"pure",U110="true",COUNT(BM110,AT110)&lt;2,AND(AC110&lt;&gt;"",COUNT(BO110,AU110)&lt;2)),"not_attributable","attributable"))</x:f>
        <x:v>pending</x:v>
      </x:c>
      <x:c r="CB110" s="65" t="str">
        <x:f>IF(T110&lt;&gt;"complete","not_evaluated",IF(COUNT(BM110,AT110)&lt;2,"insufficient_data",IF(AND(AC110&lt;&gt;"",COUNT(BP110)=1,BP110&lt;=-0.2),"guardrail_fail",IF(AND(CA110="not_attributable",OR(BV110="high",BN110&gt;=0.2)),"watchlist",IF(CA110&lt;&gt;"attributable","insufficient_data",IF(BN110&gt;=0.2,"win",IF(BN110&lt;=-0.2,"loss","inconclusive")))))))</x:f>
        <x:v>not_evaluated</x:v>
      </x:c>
      <x:c r="CC110" s="65" t="str">
        <x:f>IF(T110&lt;&gt;"complete","COLLECT_MORE_DATA",IF(COUNT(BM110,AT110)&lt;2,"FIX_TRACKING",IF(CB110="guardrail_fail","STOP_VARIANT_GUARDRAIL",IF(CB110="watchlist","WATCHLIST_ONLY",IF(AND(BV110="high",BY110="low"),"KEEP_HOOK_REWRITE_CTA",IF(AND(BW110="high",BX110="low"),"KEEP_STRUCTURE_CHANGE_DISCUSSION_ANGLE",IF(AND(BX110="high",BZ110="low"),"DOWNWEIGHT_TEMPLATE",IF(CB110="win","RETEST_WINNER",IF(CB110="loss","RETURN_TO_BASELINE","COLLECT_MORE_DATA")))))))))</x:f>
        <x:v>COLLECT_MORE_DATA</x:v>
      </x:c>
      <x:c r="CD110" s="75"/>
    </x:row>
    <x:row r="111">
      <x:c r="A111" s="68"/>
      <x:c r="B111" s="69"/>
      <x:c r="C111" s="68"/>
      <x:c r="D111" s="68"/>
      <x:c r="E111" s="68"/>
      <x:c r="F111" s="68"/>
      <x:c r="G111" s="68"/>
      <x:c r="H111" s="70"/>
      <x:c r="I111" s="68"/>
      <x:c r="J111" s="68"/>
      <x:c r="K111" s="68"/>
      <x:c r="L111" s="71" t="str">
        <x:f>IF(K111="","unknown",IF(K111=0,"baseline",IF(K111=1,"pure","mixed")))</x:f>
        <x:v>unknown</x:v>
      </x:c>
      <x:c r="M111" s="68"/>
      <x:c r="N111" s="68"/>
      <x:c r="O111" s="68"/>
      <x:c r="P111" s="68"/>
      <x:c r="Q111" s="68"/>
      <x:c r="R111" s="68"/>
      <x:c r="S111" s="68"/>
      <x:c r="T111" s="68"/>
      <x:c r="U111" s="68"/>
      <x:c r="V111" s="68"/>
      <x:c r="W111" s="68"/>
      <x:c r="X111" s="68"/>
      <x:c r="Y111" s="68"/>
      <x:c r="Z111" s="68"/>
      <x:c r="AA111" s="68"/>
      <x:c r="AB111" s="68"/>
      <x:c r="AC111" s="68"/>
      <x:c r="AD111" s="70"/>
      <x:c r="AE111" s="70"/>
      <x:c r="AF111" s="70"/>
      <x:c r="AG111" s="70"/>
      <x:c r="AH111" s="70"/>
      <x:c r="AI111" s="70"/>
      <x:c r="AJ111" s="70"/>
      <x:c r="AK111" s="70"/>
      <x:c r="AL111" s="70"/>
      <x:c r="AM111" s="70"/>
      <x:c r="AN111" s="70"/>
      <x:c r="AO111" s="70"/>
      <x:c r="AP111" s="70"/>
      <x:c r="AQ111" s="70"/>
      <x:c r="AR111" s="70"/>
      <x:c r="AS111" s="70"/>
      <x:c r="AT111" s="72"/>
      <x:c r="AU111" s="72"/>
      <x:c r="AV111" s="72"/>
      <x:c r="AW111" s="72"/>
      <x:c r="AX111" s="72"/>
      <x:c r="AY111" s="72"/>
      <x:c r="AZ111" s="72"/>
      <x:c r="BA111" s="73" t="str">
        <x:f>IF(C111="xiaohongshu",IF(COUNT(AF111,AE111)&lt;2,"",IFERROR(AF111/AE111,"")),"")</x:f>
      </x:c>
      <x:c r="BB111" s="73" t="str">
        <x:f>IF(C111="xiaohongshu",IF(COUNT(AG111,AE111)&lt;2,"",IFERROR(AG111/AE111,"")),"")</x:f>
      </x:c>
      <x:c r="BC111" s="73" t="str">
        <x:f>IF(C111="xiaohongshu",IF(COUNT(AN111,AE111)&lt;2,"",IFERROR(AN111/AE111,"")),"")</x:f>
      </x:c>
      <x:c r="BD111" s="73" t="str">
        <x:f>IF(C111="xiaohongshu",IF(COUNT(AQ111,AE111)&lt;2,"",IFERROR(AQ111/AE111,"")),"")</x:f>
      </x:c>
      <x:c r="BE111" s="73" t="str">
        <x:f>IF(C111="xiaohongshu",IF(COUNT(AI111,AE111)&lt;2,"",IFERROR(AI111/AE111,"")),"")</x:f>
      </x:c>
      <x:c r="BF111" s="73" t="str">
        <x:f>IF(C111="xiaohongshu",IF(OR(COUNT(AE111)=0,COUNT(AR111,AS111)=0),"",IFERROR((AR111+AS111)/AE111,"")),"")</x:f>
      </x:c>
      <x:c r="BG111" s="73" t="str">
        <x:f>IF(C111="x",IF(COUNT(AD111)=0,"",IF(COUNT(AM111)=1,IFERROR(AM111/AD111,""),IF(COUNT(AH111,AI111,AK111,AL111)=0,"",IFERROR(SUM(AH111,AI111,AK111,AL111)/AD111,"")))),"")</x:f>
      </x:c>
      <x:c r="BH111" s="73" t="str">
        <x:f>IF(C111="x",IF(COUNT(AJ111,AD111)&lt;2,"",IFERROR(AJ111/AD111,"")),"")</x:f>
      </x:c>
      <x:c r="BI111" s="73" t="str">
        <x:f>IF(C111="x",IF(COUNT(AO111,AD111)&lt;2,"",IFERROR(AO111/AD111,"")),"")</x:f>
      </x:c>
      <x:c r="BJ111" s="73" t="str">
        <x:f>IF(C111="x",IF(COUNT(AP111,AD111)&lt;2,"",IFERROR(AP111/AD111,"")),"")</x:f>
      </x:c>
      <x:c r="BK111" s="73" t="str">
        <x:f>IF(C111="x",IF(COUNT(AL111,AD111)&lt;2,"",IFERROR(AL111/AD111,"")),"")</x:f>
      </x:c>
      <x:c r="BL111" s="73" t="str">
        <x:f>IF(C111="x",IF(OR(COUNT(AD111)=0,COUNT(AR111,AS111)=0),"",IFERROR((AR111+AS111)/AD111,"")),"")</x:f>
      </x:c>
      <x:c r="BM111" s="73" t="str">
        <x:f>IF(AB111="xhs_save_rate",BA111,IF(AB111="xhs_completion_rate",BB111,IF(AB111="xhs_profile_visit_rate",BC111,IF(AB111="xhs_dm_intent_rate",BD111,IF(AB111="xhs_discussion_rate",BE111,IF(AB111="xhs_product_relevance_rate",BF111,IF(AB111="x_first_screen_engaged_rate_proxy",BG111,IF(AB111="x_qualified_reply_rate",BH111,IF(AB111="x_profile_click_rate",BI111,IF(AB111="x_link_intent_rate",BJ111,IF(AB111="x_bookmark_rate",BK111,IF(AB111="x_product_relevance_rate",BL111,""))))))))))))</x:f>
      </x:c>
      <x:c r="BN111" s="73" t="str">
        <x:f>IFERROR(BM111/AT111-1,"")</x:f>
      </x:c>
      <x:c r="BO111" s="73" t="str">
        <x:f>IF(AC111="","",IF(AC111="xhs_save_rate",BA111,IF(AC111="xhs_completion_rate",BB111,IF(AC111="xhs_profile_visit_rate",BC111,IF(AC111="xhs_dm_intent_rate",BD111,IF(AC111="xhs_discussion_rate",BE111,IF(AC111="xhs_product_relevance_rate",BF111,IF(AC111="x_first_screen_engaged_rate_proxy",BG111,IF(AC111="x_qualified_reply_rate",BH111,IF(AC111="x_profile_click_rate",BI111,IF(AC111="x_link_intent_rate",BJ111,IF(AC111="x_bookmark_rate",BK111,IF(AC111="x_product_relevance_rate",BL111,"")))))))))))))</x:f>
      </x:c>
      <x:c r="BP111" s="73" t="str">
        <x:f>IFERROR(BO111/AU111-1,"")</x:f>
      </x:c>
      <x:c r="BQ111" s="74" t="str">
        <x:f>IF(COUNT(AD111)=0,"",AD111)</x:f>
      </x:c>
      <x:c r="BR111" s="73" t="str">
        <x:f>IF(C111="xiaohongshu",IF(COUNT(BA111,BB111)=2,AVERAGE(BA111,BB111),IF(COUNT(BA111)=1,BA111,BB111)),BK111)</x:f>
      </x:c>
      <x:c r="BS111" s="73" t="str">
        <x:f>IF(C111="xiaohongshu",BE111,BH111)</x:f>
      </x:c>
      <x:c r="BT111" s="73" t="str">
        <x:f>IF(C111="xiaohongshu",IF(I111="save",BA111,IF(I111="discussion",BE111,IF(I111="profile_visit",BC111,IF(I111="dm",BD111,IF(OR(I111="product_question",I111="trial_intent"),BF111,""))))),IF(I111="save",BK111,IF(I111="discussion",BH111,IF(OR(I111="profile_visit",I111="dm"),BI111,IF(I111="link_click",BJ111,IF(OR(I111="product_question",I111="trial_intent"),BL111,""))))))</x:f>
      </x:c>
      <x:c r="BU111" s="73" t="str">
        <x:f>IF(C111="xiaohongshu",BF111,BL111)</x:f>
      </x:c>
      <x:c r="BV111" s="65" t="str">
        <x:f>IF(COUNT(BQ111,AV111)&lt;2,"unknown",IF(BQ111/AV111-1&gt;=0.2,"high",IF(BQ111/AV111-1&lt;=-0.2,"low","normal")))</x:f>
        <x:v>unknown</x:v>
      </x:c>
      <x:c r="BW111" s="65" t="str">
        <x:f>IF(COUNT(BR111,AW111)&lt;2,"unknown",IF(BR111/AW111-1&gt;=0.2,"high",IF(BR111/AW111-1&lt;=-0.2,"low","normal")))</x:f>
        <x:v>unknown</x:v>
      </x:c>
      <x:c r="BX111" s="65" t="str">
        <x:f>IF(COUNT(BS111,AX111)&lt;2,"unknown",IF(BS111/AX111-1&gt;=0.2,"high",IF(BS111/AX111-1&lt;=-0.2,"low","normal")))</x:f>
        <x:v>unknown</x:v>
      </x:c>
      <x:c r="BY111" s="65" t="str">
        <x:f>IF(COUNT(BT111,AY111)&lt;2,"unknown",IF(BT111/AY111-1&gt;=0.2,"high",IF(BT111/AY111-1&lt;=-0.2,"low","normal")))</x:f>
        <x:v>unknown</x:v>
      </x:c>
      <x:c r="BZ111" s="65" t="str">
        <x:f>IF(COUNT(BU111,AZ111)&lt;2,"unknown",IF(BU111/AZ111-1&gt;=0.2,"high",IF(BU111/AZ111-1&lt;=-0.2,"low","normal")))</x:f>
        <x:v>unknown</x:v>
      </x:c>
      <x:c r="CA111" s="65" t="str">
        <x:f>IF(T111&lt;&gt;"complete","pending",IF(OR(L111&lt;&gt;"pure",U111="true",COUNT(BM111,AT111)&lt;2,AND(AC111&lt;&gt;"",COUNT(BO111,AU111)&lt;2)),"not_attributable","attributable"))</x:f>
        <x:v>pending</x:v>
      </x:c>
      <x:c r="CB111" s="65" t="str">
        <x:f>IF(T111&lt;&gt;"complete","not_evaluated",IF(COUNT(BM111,AT111)&lt;2,"insufficient_data",IF(AND(AC111&lt;&gt;"",COUNT(BP111)=1,BP111&lt;=-0.2),"guardrail_fail",IF(AND(CA111="not_attributable",OR(BV111="high",BN111&gt;=0.2)),"watchlist",IF(CA111&lt;&gt;"attributable","insufficient_data",IF(BN111&gt;=0.2,"win",IF(BN111&lt;=-0.2,"loss","inconclusive")))))))</x:f>
        <x:v>not_evaluated</x:v>
      </x:c>
      <x:c r="CC111" s="65" t="str">
        <x:f>IF(T111&lt;&gt;"complete","COLLECT_MORE_DATA",IF(COUNT(BM111,AT111)&lt;2,"FIX_TRACKING",IF(CB111="guardrail_fail","STOP_VARIANT_GUARDRAIL",IF(CB111="watchlist","WATCHLIST_ONLY",IF(AND(BV111="high",BY111="low"),"KEEP_HOOK_REWRITE_CTA",IF(AND(BW111="high",BX111="low"),"KEEP_STRUCTURE_CHANGE_DISCUSSION_ANGLE",IF(AND(BX111="high",BZ111="low"),"DOWNWEIGHT_TEMPLATE",IF(CB111="win","RETEST_WINNER",IF(CB111="loss","RETURN_TO_BASELINE","COLLECT_MORE_DATA")))))))))</x:f>
        <x:v>COLLECT_MORE_DATA</x:v>
      </x:c>
      <x:c r="CD111" s="75"/>
    </x:row>
    <x:row r="112">
      <x:c r="A112" s="68"/>
      <x:c r="B112" s="69"/>
      <x:c r="C112" s="68"/>
      <x:c r="D112" s="68"/>
      <x:c r="E112" s="68"/>
      <x:c r="F112" s="68"/>
      <x:c r="G112" s="68"/>
      <x:c r="H112" s="70"/>
      <x:c r="I112" s="68"/>
      <x:c r="J112" s="68"/>
      <x:c r="K112" s="68"/>
      <x:c r="L112" s="71" t="str">
        <x:f>IF(K112="","unknown",IF(K112=0,"baseline",IF(K112=1,"pure","mixed")))</x:f>
        <x:v>unknown</x:v>
      </x:c>
      <x:c r="M112" s="68"/>
      <x:c r="N112" s="68"/>
      <x:c r="O112" s="68"/>
      <x:c r="P112" s="68"/>
      <x:c r="Q112" s="68"/>
      <x:c r="R112" s="68"/>
      <x:c r="S112" s="68"/>
      <x:c r="T112" s="68"/>
      <x:c r="U112" s="68"/>
      <x:c r="V112" s="68"/>
      <x:c r="W112" s="68"/>
      <x:c r="X112" s="68"/>
      <x:c r="Y112" s="68"/>
      <x:c r="Z112" s="68"/>
      <x:c r="AA112" s="68"/>
      <x:c r="AB112" s="68"/>
      <x:c r="AC112" s="68"/>
      <x:c r="AD112" s="70"/>
      <x:c r="AE112" s="70"/>
      <x:c r="AF112" s="70"/>
      <x:c r="AG112" s="70"/>
      <x:c r="AH112" s="70"/>
      <x:c r="AI112" s="70"/>
      <x:c r="AJ112" s="70"/>
      <x:c r="AK112" s="70"/>
      <x:c r="AL112" s="70"/>
      <x:c r="AM112" s="70"/>
      <x:c r="AN112" s="70"/>
      <x:c r="AO112" s="70"/>
      <x:c r="AP112" s="70"/>
      <x:c r="AQ112" s="70"/>
      <x:c r="AR112" s="70"/>
      <x:c r="AS112" s="70"/>
      <x:c r="AT112" s="72"/>
      <x:c r="AU112" s="72"/>
      <x:c r="AV112" s="72"/>
      <x:c r="AW112" s="72"/>
      <x:c r="AX112" s="72"/>
      <x:c r="AY112" s="72"/>
      <x:c r="AZ112" s="72"/>
      <x:c r="BA112" s="73" t="str">
        <x:f>IF(C112="xiaohongshu",IF(COUNT(AF112,AE112)&lt;2,"",IFERROR(AF112/AE112,"")),"")</x:f>
      </x:c>
      <x:c r="BB112" s="73" t="str">
        <x:f>IF(C112="xiaohongshu",IF(COUNT(AG112,AE112)&lt;2,"",IFERROR(AG112/AE112,"")),"")</x:f>
      </x:c>
      <x:c r="BC112" s="73" t="str">
        <x:f>IF(C112="xiaohongshu",IF(COUNT(AN112,AE112)&lt;2,"",IFERROR(AN112/AE112,"")),"")</x:f>
      </x:c>
      <x:c r="BD112" s="73" t="str">
        <x:f>IF(C112="xiaohongshu",IF(COUNT(AQ112,AE112)&lt;2,"",IFERROR(AQ112/AE112,"")),"")</x:f>
      </x:c>
      <x:c r="BE112" s="73" t="str">
        <x:f>IF(C112="xiaohongshu",IF(COUNT(AI112,AE112)&lt;2,"",IFERROR(AI112/AE112,"")),"")</x:f>
      </x:c>
      <x:c r="BF112" s="73" t="str">
        <x:f>IF(C112="xiaohongshu",IF(OR(COUNT(AE112)=0,COUNT(AR112,AS112)=0),"",IFERROR((AR112+AS112)/AE112,"")),"")</x:f>
      </x:c>
      <x:c r="BG112" s="73" t="str">
        <x:f>IF(C112="x",IF(COUNT(AD112)=0,"",IF(COUNT(AM112)=1,IFERROR(AM112/AD112,""),IF(COUNT(AH112,AI112,AK112,AL112)=0,"",IFERROR(SUM(AH112,AI112,AK112,AL112)/AD112,"")))),"")</x:f>
      </x:c>
      <x:c r="BH112" s="73" t="str">
        <x:f>IF(C112="x",IF(COUNT(AJ112,AD112)&lt;2,"",IFERROR(AJ112/AD112,"")),"")</x:f>
      </x:c>
      <x:c r="BI112" s="73" t="str">
        <x:f>IF(C112="x",IF(COUNT(AO112,AD112)&lt;2,"",IFERROR(AO112/AD112,"")),"")</x:f>
      </x:c>
      <x:c r="BJ112" s="73" t="str">
        <x:f>IF(C112="x",IF(COUNT(AP112,AD112)&lt;2,"",IFERROR(AP112/AD112,"")),"")</x:f>
      </x:c>
      <x:c r="BK112" s="73" t="str">
        <x:f>IF(C112="x",IF(COUNT(AL112,AD112)&lt;2,"",IFERROR(AL112/AD112,"")),"")</x:f>
      </x:c>
      <x:c r="BL112" s="73" t="str">
        <x:f>IF(C112="x",IF(OR(COUNT(AD112)=0,COUNT(AR112,AS112)=0),"",IFERROR((AR112+AS112)/AD112,"")),"")</x:f>
      </x:c>
      <x:c r="BM112" s="73" t="str">
        <x:f>IF(AB112="xhs_save_rate",BA112,IF(AB112="xhs_completion_rate",BB112,IF(AB112="xhs_profile_visit_rate",BC112,IF(AB112="xhs_dm_intent_rate",BD112,IF(AB112="xhs_discussion_rate",BE112,IF(AB112="xhs_product_relevance_rate",BF112,IF(AB112="x_first_screen_engaged_rate_proxy",BG112,IF(AB112="x_qualified_reply_rate",BH112,IF(AB112="x_profile_click_rate",BI112,IF(AB112="x_link_intent_rate",BJ112,IF(AB112="x_bookmark_rate",BK112,IF(AB112="x_product_relevance_rate",BL112,""))))))))))))</x:f>
      </x:c>
      <x:c r="BN112" s="73" t="str">
        <x:f>IFERROR(BM112/AT112-1,"")</x:f>
      </x:c>
      <x:c r="BO112" s="73" t="str">
        <x:f>IF(AC112="","",IF(AC112="xhs_save_rate",BA112,IF(AC112="xhs_completion_rate",BB112,IF(AC112="xhs_profile_visit_rate",BC112,IF(AC112="xhs_dm_intent_rate",BD112,IF(AC112="xhs_discussion_rate",BE112,IF(AC112="xhs_product_relevance_rate",BF112,IF(AC112="x_first_screen_engaged_rate_proxy",BG112,IF(AC112="x_qualified_reply_rate",BH112,IF(AC112="x_profile_click_rate",BI112,IF(AC112="x_link_intent_rate",BJ112,IF(AC112="x_bookmark_rate",BK112,IF(AC112="x_product_relevance_rate",BL112,"")))))))))))))</x:f>
      </x:c>
      <x:c r="BP112" s="73" t="str">
        <x:f>IFERROR(BO112/AU112-1,"")</x:f>
      </x:c>
      <x:c r="BQ112" s="74" t="str">
        <x:f>IF(COUNT(AD112)=0,"",AD112)</x:f>
      </x:c>
      <x:c r="BR112" s="73" t="str">
        <x:f>IF(C112="xiaohongshu",IF(COUNT(BA112,BB112)=2,AVERAGE(BA112,BB112),IF(COUNT(BA112)=1,BA112,BB112)),BK112)</x:f>
      </x:c>
      <x:c r="BS112" s="73" t="str">
        <x:f>IF(C112="xiaohongshu",BE112,BH112)</x:f>
      </x:c>
      <x:c r="BT112" s="73" t="str">
        <x:f>IF(C112="xiaohongshu",IF(I112="save",BA112,IF(I112="discussion",BE112,IF(I112="profile_visit",BC112,IF(I112="dm",BD112,IF(OR(I112="product_question",I112="trial_intent"),BF112,""))))),IF(I112="save",BK112,IF(I112="discussion",BH112,IF(OR(I112="profile_visit",I112="dm"),BI112,IF(I112="link_click",BJ112,IF(OR(I112="product_question",I112="trial_intent"),BL112,""))))))</x:f>
      </x:c>
      <x:c r="BU112" s="73" t="str">
        <x:f>IF(C112="xiaohongshu",BF112,BL112)</x:f>
      </x:c>
      <x:c r="BV112" s="65" t="str">
        <x:f>IF(COUNT(BQ112,AV112)&lt;2,"unknown",IF(BQ112/AV112-1&gt;=0.2,"high",IF(BQ112/AV112-1&lt;=-0.2,"low","normal")))</x:f>
        <x:v>unknown</x:v>
      </x:c>
      <x:c r="BW112" s="65" t="str">
        <x:f>IF(COUNT(BR112,AW112)&lt;2,"unknown",IF(BR112/AW112-1&gt;=0.2,"high",IF(BR112/AW112-1&lt;=-0.2,"low","normal")))</x:f>
        <x:v>unknown</x:v>
      </x:c>
      <x:c r="BX112" s="65" t="str">
        <x:f>IF(COUNT(BS112,AX112)&lt;2,"unknown",IF(BS112/AX112-1&gt;=0.2,"high",IF(BS112/AX112-1&lt;=-0.2,"low","normal")))</x:f>
        <x:v>unknown</x:v>
      </x:c>
      <x:c r="BY112" s="65" t="str">
        <x:f>IF(COUNT(BT112,AY112)&lt;2,"unknown",IF(BT112/AY112-1&gt;=0.2,"high",IF(BT112/AY112-1&lt;=-0.2,"low","normal")))</x:f>
        <x:v>unknown</x:v>
      </x:c>
      <x:c r="BZ112" s="65" t="str">
        <x:f>IF(COUNT(BU112,AZ112)&lt;2,"unknown",IF(BU112/AZ112-1&gt;=0.2,"high",IF(BU112/AZ112-1&lt;=-0.2,"low","normal")))</x:f>
        <x:v>unknown</x:v>
      </x:c>
      <x:c r="CA112" s="65" t="str">
        <x:f>IF(T112&lt;&gt;"complete","pending",IF(OR(L112&lt;&gt;"pure",U112="true",COUNT(BM112,AT112)&lt;2,AND(AC112&lt;&gt;"",COUNT(BO112,AU112)&lt;2)),"not_attributable","attributable"))</x:f>
        <x:v>pending</x:v>
      </x:c>
      <x:c r="CB112" s="65" t="str">
        <x:f>IF(T112&lt;&gt;"complete","not_evaluated",IF(COUNT(BM112,AT112)&lt;2,"insufficient_data",IF(AND(AC112&lt;&gt;"",COUNT(BP112)=1,BP112&lt;=-0.2),"guardrail_fail",IF(AND(CA112="not_attributable",OR(BV112="high",BN112&gt;=0.2)),"watchlist",IF(CA112&lt;&gt;"attributable","insufficient_data",IF(BN112&gt;=0.2,"win",IF(BN112&lt;=-0.2,"loss","inconclusive")))))))</x:f>
        <x:v>not_evaluated</x:v>
      </x:c>
      <x:c r="CC112" s="65" t="str">
        <x:f>IF(T112&lt;&gt;"complete","COLLECT_MORE_DATA",IF(COUNT(BM112,AT112)&lt;2,"FIX_TRACKING",IF(CB112="guardrail_fail","STOP_VARIANT_GUARDRAIL",IF(CB112="watchlist","WATCHLIST_ONLY",IF(AND(BV112="high",BY112="low"),"KEEP_HOOK_REWRITE_CTA",IF(AND(BW112="high",BX112="low"),"KEEP_STRUCTURE_CHANGE_DISCUSSION_ANGLE",IF(AND(BX112="high",BZ112="low"),"DOWNWEIGHT_TEMPLATE",IF(CB112="win","RETEST_WINNER",IF(CB112="loss","RETURN_TO_BASELINE","COLLECT_MORE_DATA")))))))))</x:f>
        <x:v>COLLECT_MORE_DATA</x:v>
      </x:c>
      <x:c r="CD112" s="75"/>
    </x:row>
    <x:row r="113">
      <x:c r="A113" s="68"/>
      <x:c r="B113" s="69"/>
      <x:c r="C113" s="68"/>
      <x:c r="D113" s="68"/>
      <x:c r="E113" s="68"/>
      <x:c r="F113" s="68"/>
      <x:c r="G113" s="68"/>
      <x:c r="H113" s="70"/>
      <x:c r="I113" s="68"/>
      <x:c r="J113" s="68"/>
      <x:c r="K113" s="68"/>
      <x:c r="L113" s="71" t="str">
        <x:f>IF(K113="","unknown",IF(K113=0,"baseline",IF(K113=1,"pure","mixed")))</x:f>
        <x:v>unknown</x:v>
      </x:c>
      <x:c r="M113" s="68"/>
      <x:c r="N113" s="68"/>
      <x:c r="O113" s="68"/>
      <x:c r="P113" s="68"/>
      <x:c r="Q113" s="68"/>
      <x:c r="R113" s="68"/>
      <x:c r="S113" s="68"/>
      <x:c r="T113" s="68"/>
      <x:c r="U113" s="68"/>
      <x:c r="V113" s="68"/>
      <x:c r="W113" s="68"/>
      <x:c r="X113" s="68"/>
      <x:c r="Y113" s="68"/>
      <x:c r="Z113" s="68"/>
      <x:c r="AA113" s="68"/>
      <x:c r="AB113" s="68"/>
      <x:c r="AC113" s="68"/>
      <x:c r="AD113" s="70"/>
      <x:c r="AE113" s="70"/>
      <x:c r="AF113" s="70"/>
      <x:c r="AG113" s="70"/>
      <x:c r="AH113" s="70"/>
      <x:c r="AI113" s="70"/>
      <x:c r="AJ113" s="70"/>
      <x:c r="AK113" s="70"/>
      <x:c r="AL113" s="70"/>
      <x:c r="AM113" s="70"/>
      <x:c r="AN113" s="70"/>
      <x:c r="AO113" s="70"/>
      <x:c r="AP113" s="70"/>
      <x:c r="AQ113" s="70"/>
      <x:c r="AR113" s="70"/>
      <x:c r="AS113" s="70"/>
      <x:c r="AT113" s="72"/>
      <x:c r="AU113" s="72"/>
      <x:c r="AV113" s="72"/>
      <x:c r="AW113" s="72"/>
      <x:c r="AX113" s="72"/>
      <x:c r="AY113" s="72"/>
      <x:c r="AZ113" s="72"/>
      <x:c r="BA113" s="73" t="str">
        <x:f>IF(C113="xiaohongshu",IF(COUNT(AF113,AE113)&lt;2,"",IFERROR(AF113/AE113,"")),"")</x:f>
      </x:c>
      <x:c r="BB113" s="73" t="str">
        <x:f>IF(C113="xiaohongshu",IF(COUNT(AG113,AE113)&lt;2,"",IFERROR(AG113/AE113,"")),"")</x:f>
      </x:c>
      <x:c r="BC113" s="73" t="str">
        <x:f>IF(C113="xiaohongshu",IF(COUNT(AN113,AE113)&lt;2,"",IFERROR(AN113/AE113,"")),"")</x:f>
      </x:c>
      <x:c r="BD113" s="73" t="str">
        <x:f>IF(C113="xiaohongshu",IF(COUNT(AQ113,AE113)&lt;2,"",IFERROR(AQ113/AE113,"")),"")</x:f>
      </x:c>
      <x:c r="BE113" s="73" t="str">
        <x:f>IF(C113="xiaohongshu",IF(COUNT(AI113,AE113)&lt;2,"",IFERROR(AI113/AE113,"")),"")</x:f>
      </x:c>
      <x:c r="BF113" s="73" t="str">
        <x:f>IF(C113="xiaohongshu",IF(OR(COUNT(AE113)=0,COUNT(AR113,AS113)=0),"",IFERROR((AR113+AS113)/AE113,"")),"")</x:f>
      </x:c>
      <x:c r="BG113" s="73" t="str">
        <x:f>IF(C113="x",IF(COUNT(AD113)=0,"",IF(COUNT(AM113)=1,IFERROR(AM113/AD113,""),IF(COUNT(AH113,AI113,AK113,AL113)=0,"",IFERROR(SUM(AH113,AI113,AK113,AL113)/AD113,"")))),"")</x:f>
      </x:c>
      <x:c r="BH113" s="73" t="str">
        <x:f>IF(C113="x",IF(COUNT(AJ113,AD113)&lt;2,"",IFERROR(AJ113/AD113,"")),"")</x:f>
      </x:c>
      <x:c r="BI113" s="73" t="str">
        <x:f>IF(C113="x",IF(COUNT(AO113,AD113)&lt;2,"",IFERROR(AO113/AD113,"")),"")</x:f>
      </x:c>
      <x:c r="BJ113" s="73" t="str">
        <x:f>IF(C113="x",IF(COUNT(AP113,AD113)&lt;2,"",IFERROR(AP113/AD113,"")),"")</x:f>
      </x:c>
      <x:c r="BK113" s="73" t="str">
        <x:f>IF(C113="x",IF(COUNT(AL113,AD113)&lt;2,"",IFERROR(AL113/AD113,"")),"")</x:f>
      </x:c>
      <x:c r="BL113" s="73" t="str">
        <x:f>IF(C113="x",IF(OR(COUNT(AD113)=0,COUNT(AR113,AS113)=0),"",IFERROR((AR113+AS113)/AD113,"")),"")</x:f>
      </x:c>
      <x:c r="BM113" s="73" t="str">
        <x:f>IF(AB113="xhs_save_rate",BA113,IF(AB113="xhs_completion_rate",BB113,IF(AB113="xhs_profile_visit_rate",BC113,IF(AB113="xhs_dm_intent_rate",BD113,IF(AB113="xhs_discussion_rate",BE113,IF(AB113="xhs_product_relevance_rate",BF113,IF(AB113="x_first_screen_engaged_rate_proxy",BG113,IF(AB113="x_qualified_reply_rate",BH113,IF(AB113="x_profile_click_rate",BI113,IF(AB113="x_link_intent_rate",BJ113,IF(AB113="x_bookmark_rate",BK113,IF(AB113="x_product_relevance_rate",BL113,""))))))))))))</x:f>
      </x:c>
      <x:c r="BN113" s="73" t="str">
        <x:f>IFERROR(BM113/AT113-1,"")</x:f>
      </x:c>
      <x:c r="BO113" s="73" t="str">
        <x:f>IF(AC113="","",IF(AC113="xhs_save_rate",BA113,IF(AC113="xhs_completion_rate",BB113,IF(AC113="xhs_profile_visit_rate",BC113,IF(AC113="xhs_dm_intent_rate",BD113,IF(AC113="xhs_discussion_rate",BE113,IF(AC113="xhs_product_relevance_rate",BF113,IF(AC113="x_first_screen_engaged_rate_proxy",BG113,IF(AC113="x_qualified_reply_rate",BH113,IF(AC113="x_profile_click_rate",BI113,IF(AC113="x_link_intent_rate",BJ113,IF(AC113="x_bookmark_rate",BK113,IF(AC113="x_product_relevance_rate",BL113,"")))))))))))))</x:f>
      </x:c>
      <x:c r="BP113" s="73" t="str">
        <x:f>IFERROR(BO113/AU113-1,"")</x:f>
      </x:c>
      <x:c r="BQ113" s="74" t="str">
        <x:f>IF(COUNT(AD113)=0,"",AD113)</x:f>
      </x:c>
      <x:c r="BR113" s="73" t="str">
        <x:f>IF(C113="xiaohongshu",IF(COUNT(BA113,BB113)=2,AVERAGE(BA113,BB113),IF(COUNT(BA113)=1,BA113,BB113)),BK113)</x:f>
      </x:c>
      <x:c r="BS113" s="73" t="str">
        <x:f>IF(C113="xiaohongshu",BE113,BH113)</x:f>
      </x:c>
      <x:c r="BT113" s="73" t="str">
        <x:f>IF(C113="xiaohongshu",IF(I113="save",BA113,IF(I113="discussion",BE113,IF(I113="profile_visit",BC113,IF(I113="dm",BD113,IF(OR(I113="product_question",I113="trial_intent"),BF113,""))))),IF(I113="save",BK113,IF(I113="discussion",BH113,IF(OR(I113="profile_visit",I113="dm"),BI113,IF(I113="link_click",BJ113,IF(OR(I113="product_question",I113="trial_intent"),BL113,""))))))</x:f>
      </x:c>
      <x:c r="BU113" s="73" t="str">
        <x:f>IF(C113="xiaohongshu",BF113,BL113)</x:f>
      </x:c>
      <x:c r="BV113" s="65" t="str">
        <x:f>IF(COUNT(BQ113,AV113)&lt;2,"unknown",IF(BQ113/AV113-1&gt;=0.2,"high",IF(BQ113/AV113-1&lt;=-0.2,"low","normal")))</x:f>
        <x:v>unknown</x:v>
      </x:c>
      <x:c r="BW113" s="65" t="str">
        <x:f>IF(COUNT(BR113,AW113)&lt;2,"unknown",IF(BR113/AW113-1&gt;=0.2,"high",IF(BR113/AW113-1&lt;=-0.2,"low","normal")))</x:f>
        <x:v>unknown</x:v>
      </x:c>
      <x:c r="BX113" s="65" t="str">
        <x:f>IF(COUNT(BS113,AX113)&lt;2,"unknown",IF(BS113/AX113-1&gt;=0.2,"high",IF(BS113/AX113-1&lt;=-0.2,"low","normal")))</x:f>
        <x:v>unknown</x:v>
      </x:c>
      <x:c r="BY113" s="65" t="str">
        <x:f>IF(COUNT(BT113,AY113)&lt;2,"unknown",IF(BT113/AY113-1&gt;=0.2,"high",IF(BT113/AY113-1&lt;=-0.2,"low","normal")))</x:f>
        <x:v>unknown</x:v>
      </x:c>
      <x:c r="BZ113" s="65" t="str">
        <x:f>IF(COUNT(BU113,AZ113)&lt;2,"unknown",IF(BU113/AZ113-1&gt;=0.2,"high",IF(BU113/AZ113-1&lt;=-0.2,"low","normal")))</x:f>
        <x:v>unknown</x:v>
      </x:c>
      <x:c r="CA113" s="65" t="str">
        <x:f>IF(T113&lt;&gt;"complete","pending",IF(OR(L113&lt;&gt;"pure",U113="true",COUNT(BM113,AT113)&lt;2,AND(AC113&lt;&gt;"",COUNT(BO113,AU113)&lt;2)),"not_attributable","attributable"))</x:f>
        <x:v>pending</x:v>
      </x:c>
      <x:c r="CB113" s="65" t="str">
        <x:f>IF(T113&lt;&gt;"complete","not_evaluated",IF(COUNT(BM113,AT113)&lt;2,"insufficient_data",IF(AND(AC113&lt;&gt;"",COUNT(BP113)=1,BP113&lt;=-0.2),"guardrail_fail",IF(AND(CA113="not_attributable",OR(BV113="high",BN113&gt;=0.2)),"watchlist",IF(CA113&lt;&gt;"attributable","insufficient_data",IF(BN113&gt;=0.2,"win",IF(BN113&lt;=-0.2,"loss","inconclusive")))))))</x:f>
        <x:v>not_evaluated</x:v>
      </x:c>
      <x:c r="CC113" s="65" t="str">
        <x:f>IF(T113&lt;&gt;"complete","COLLECT_MORE_DATA",IF(COUNT(BM113,AT113)&lt;2,"FIX_TRACKING",IF(CB113="guardrail_fail","STOP_VARIANT_GUARDRAIL",IF(CB113="watchlist","WATCHLIST_ONLY",IF(AND(BV113="high",BY113="low"),"KEEP_HOOK_REWRITE_CTA",IF(AND(BW113="high",BX113="low"),"KEEP_STRUCTURE_CHANGE_DISCUSSION_ANGLE",IF(AND(BX113="high",BZ113="low"),"DOWNWEIGHT_TEMPLATE",IF(CB113="win","RETEST_WINNER",IF(CB113="loss","RETURN_TO_BASELINE","COLLECT_MORE_DATA")))))))))</x:f>
        <x:v>COLLECT_MORE_DATA</x:v>
      </x:c>
      <x:c r="CD113" s="75"/>
    </x:row>
    <x:row r="114">
      <x:c r="A114" s="68"/>
      <x:c r="B114" s="69"/>
      <x:c r="C114" s="68"/>
      <x:c r="D114" s="68"/>
      <x:c r="E114" s="68"/>
      <x:c r="F114" s="68"/>
      <x:c r="G114" s="68"/>
      <x:c r="H114" s="70"/>
      <x:c r="I114" s="68"/>
      <x:c r="J114" s="68"/>
      <x:c r="K114" s="68"/>
      <x:c r="L114" s="71" t="str">
        <x:f>IF(K114="","unknown",IF(K114=0,"baseline",IF(K114=1,"pure","mixed")))</x:f>
        <x:v>unknown</x:v>
      </x:c>
      <x:c r="M114" s="68"/>
      <x:c r="N114" s="68"/>
      <x:c r="O114" s="68"/>
      <x:c r="P114" s="68"/>
      <x:c r="Q114" s="68"/>
      <x:c r="R114" s="68"/>
      <x:c r="S114" s="68"/>
      <x:c r="T114" s="68"/>
      <x:c r="U114" s="68"/>
      <x:c r="V114" s="68"/>
      <x:c r="W114" s="68"/>
      <x:c r="X114" s="68"/>
      <x:c r="Y114" s="68"/>
      <x:c r="Z114" s="68"/>
      <x:c r="AA114" s="68"/>
      <x:c r="AB114" s="68"/>
      <x:c r="AC114" s="68"/>
      <x:c r="AD114" s="70"/>
      <x:c r="AE114" s="70"/>
      <x:c r="AF114" s="70"/>
      <x:c r="AG114" s="70"/>
      <x:c r="AH114" s="70"/>
      <x:c r="AI114" s="70"/>
      <x:c r="AJ114" s="70"/>
      <x:c r="AK114" s="70"/>
      <x:c r="AL114" s="70"/>
      <x:c r="AM114" s="70"/>
      <x:c r="AN114" s="70"/>
      <x:c r="AO114" s="70"/>
      <x:c r="AP114" s="70"/>
      <x:c r="AQ114" s="70"/>
      <x:c r="AR114" s="70"/>
      <x:c r="AS114" s="70"/>
      <x:c r="AT114" s="72"/>
      <x:c r="AU114" s="72"/>
      <x:c r="AV114" s="72"/>
      <x:c r="AW114" s="72"/>
      <x:c r="AX114" s="72"/>
      <x:c r="AY114" s="72"/>
      <x:c r="AZ114" s="72"/>
      <x:c r="BA114" s="73" t="str">
        <x:f>IF(C114="xiaohongshu",IF(COUNT(AF114,AE114)&lt;2,"",IFERROR(AF114/AE114,"")),"")</x:f>
      </x:c>
      <x:c r="BB114" s="73" t="str">
        <x:f>IF(C114="xiaohongshu",IF(COUNT(AG114,AE114)&lt;2,"",IFERROR(AG114/AE114,"")),"")</x:f>
      </x:c>
      <x:c r="BC114" s="73" t="str">
        <x:f>IF(C114="xiaohongshu",IF(COUNT(AN114,AE114)&lt;2,"",IFERROR(AN114/AE114,"")),"")</x:f>
      </x:c>
      <x:c r="BD114" s="73" t="str">
        <x:f>IF(C114="xiaohongshu",IF(COUNT(AQ114,AE114)&lt;2,"",IFERROR(AQ114/AE114,"")),"")</x:f>
      </x:c>
      <x:c r="BE114" s="73" t="str">
        <x:f>IF(C114="xiaohongshu",IF(COUNT(AI114,AE114)&lt;2,"",IFERROR(AI114/AE114,"")),"")</x:f>
      </x:c>
      <x:c r="BF114" s="73" t="str">
        <x:f>IF(C114="xiaohongshu",IF(OR(COUNT(AE114)=0,COUNT(AR114,AS114)=0),"",IFERROR((AR114+AS114)/AE114,"")),"")</x:f>
      </x:c>
      <x:c r="BG114" s="73" t="str">
        <x:f>IF(C114="x",IF(COUNT(AD114)=0,"",IF(COUNT(AM114)=1,IFERROR(AM114/AD114,""),IF(COUNT(AH114,AI114,AK114,AL114)=0,"",IFERROR(SUM(AH114,AI114,AK114,AL114)/AD114,"")))),"")</x:f>
      </x:c>
      <x:c r="BH114" s="73" t="str">
        <x:f>IF(C114="x",IF(COUNT(AJ114,AD114)&lt;2,"",IFERROR(AJ114/AD114,"")),"")</x:f>
      </x:c>
      <x:c r="BI114" s="73" t="str">
        <x:f>IF(C114="x",IF(COUNT(AO114,AD114)&lt;2,"",IFERROR(AO114/AD114,"")),"")</x:f>
      </x:c>
      <x:c r="BJ114" s="73" t="str">
        <x:f>IF(C114="x",IF(COUNT(AP114,AD114)&lt;2,"",IFERROR(AP114/AD114,"")),"")</x:f>
      </x:c>
      <x:c r="BK114" s="73" t="str">
        <x:f>IF(C114="x",IF(COUNT(AL114,AD114)&lt;2,"",IFERROR(AL114/AD114,"")),"")</x:f>
      </x:c>
      <x:c r="BL114" s="73" t="str">
        <x:f>IF(C114="x",IF(OR(COUNT(AD114)=0,COUNT(AR114,AS114)=0),"",IFERROR((AR114+AS114)/AD114,"")),"")</x:f>
      </x:c>
      <x:c r="BM114" s="73" t="str">
        <x:f>IF(AB114="xhs_save_rate",BA114,IF(AB114="xhs_completion_rate",BB114,IF(AB114="xhs_profile_visit_rate",BC114,IF(AB114="xhs_dm_intent_rate",BD114,IF(AB114="xhs_discussion_rate",BE114,IF(AB114="xhs_product_relevance_rate",BF114,IF(AB114="x_first_screen_engaged_rate_proxy",BG114,IF(AB114="x_qualified_reply_rate",BH114,IF(AB114="x_profile_click_rate",BI114,IF(AB114="x_link_intent_rate",BJ114,IF(AB114="x_bookmark_rate",BK114,IF(AB114="x_product_relevance_rate",BL114,""))))))))))))</x:f>
      </x:c>
      <x:c r="BN114" s="73" t="str">
        <x:f>IFERROR(BM114/AT114-1,"")</x:f>
      </x:c>
      <x:c r="BO114" s="73" t="str">
        <x:f>IF(AC114="","",IF(AC114="xhs_save_rate",BA114,IF(AC114="xhs_completion_rate",BB114,IF(AC114="xhs_profile_visit_rate",BC114,IF(AC114="xhs_dm_intent_rate",BD114,IF(AC114="xhs_discussion_rate",BE114,IF(AC114="xhs_product_relevance_rate",BF114,IF(AC114="x_first_screen_engaged_rate_proxy",BG114,IF(AC114="x_qualified_reply_rate",BH114,IF(AC114="x_profile_click_rate",BI114,IF(AC114="x_link_intent_rate",BJ114,IF(AC114="x_bookmark_rate",BK114,IF(AC114="x_product_relevance_rate",BL114,"")))))))))))))</x:f>
      </x:c>
      <x:c r="BP114" s="73" t="str">
        <x:f>IFERROR(BO114/AU114-1,"")</x:f>
      </x:c>
      <x:c r="BQ114" s="74" t="str">
        <x:f>IF(COUNT(AD114)=0,"",AD114)</x:f>
      </x:c>
      <x:c r="BR114" s="73" t="str">
        <x:f>IF(C114="xiaohongshu",IF(COUNT(BA114,BB114)=2,AVERAGE(BA114,BB114),IF(COUNT(BA114)=1,BA114,BB114)),BK114)</x:f>
      </x:c>
      <x:c r="BS114" s="73" t="str">
        <x:f>IF(C114="xiaohongshu",BE114,BH114)</x:f>
      </x:c>
      <x:c r="BT114" s="73" t="str">
        <x:f>IF(C114="xiaohongshu",IF(I114="save",BA114,IF(I114="discussion",BE114,IF(I114="profile_visit",BC114,IF(I114="dm",BD114,IF(OR(I114="product_question",I114="trial_intent"),BF114,""))))),IF(I114="save",BK114,IF(I114="discussion",BH114,IF(OR(I114="profile_visit",I114="dm"),BI114,IF(I114="link_click",BJ114,IF(OR(I114="product_question",I114="trial_intent"),BL114,""))))))</x:f>
      </x:c>
      <x:c r="BU114" s="73" t="str">
        <x:f>IF(C114="xiaohongshu",BF114,BL114)</x:f>
      </x:c>
      <x:c r="BV114" s="65" t="str">
        <x:f>IF(COUNT(BQ114,AV114)&lt;2,"unknown",IF(BQ114/AV114-1&gt;=0.2,"high",IF(BQ114/AV114-1&lt;=-0.2,"low","normal")))</x:f>
        <x:v>unknown</x:v>
      </x:c>
      <x:c r="BW114" s="65" t="str">
        <x:f>IF(COUNT(BR114,AW114)&lt;2,"unknown",IF(BR114/AW114-1&gt;=0.2,"high",IF(BR114/AW114-1&lt;=-0.2,"low","normal")))</x:f>
        <x:v>unknown</x:v>
      </x:c>
      <x:c r="BX114" s="65" t="str">
        <x:f>IF(COUNT(BS114,AX114)&lt;2,"unknown",IF(BS114/AX114-1&gt;=0.2,"high",IF(BS114/AX114-1&lt;=-0.2,"low","normal")))</x:f>
        <x:v>unknown</x:v>
      </x:c>
      <x:c r="BY114" s="65" t="str">
        <x:f>IF(COUNT(BT114,AY114)&lt;2,"unknown",IF(BT114/AY114-1&gt;=0.2,"high",IF(BT114/AY114-1&lt;=-0.2,"low","normal")))</x:f>
        <x:v>unknown</x:v>
      </x:c>
      <x:c r="BZ114" s="65" t="str">
        <x:f>IF(COUNT(BU114,AZ114)&lt;2,"unknown",IF(BU114/AZ114-1&gt;=0.2,"high",IF(BU114/AZ114-1&lt;=-0.2,"low","normal")))</x:f>
        <x:v>unknown</x:v>
      </x:c>
      <x:c r="CA114" s="65" t="str">
        <x:f>IF(T114&lt;&gt;"complete","pending",IF(OR(L114&lt;&gt;"pure",U114="true",COUNT(BM114,AT114)&lt;2,AND(AC114&lt;&gt;"",COUNT(BO114,AU114)&lt;2)),"not_attributable","attributable"))</x:f>
        <x:v>pending</x:v>
      </x:c>
      <x:c r="CB114" s="65" t="str">
        <x:f>IF(T114&lt;&gt;"complete","not_evaluated",IF(COUNT(BM114,AT114)&lt;2,"insufficient_data",IF(AND(AC114&lt;&gt;"",COUNT(BP114)=1,BP114&lt;=-0.2),"guardrail_fail",IF(AND(CA114="not_attributable",OR(BV114="high",BN114&gt;=0.2)),"watchlist",IF(CA114&lt;&gt;"attributable","insufficient_data",IF(BN114&gt;=0.2,"win",IF(BN114&lt;=-0.2,"loss","inconclusive")))))))</x:f>
        <x:v>not_evaluated</x:v>
      </x:c>
      <x:c r="CC114" s="65" t="str">
        <x:f>IF(T114&lt;&gt;"complete","COLLECT_MORE_DATA",IF(COUNT(BM114,AT114)&lt;2,"FIX_TRACKING",IF(CB114="guardrail_fail","STOP_VARIANT_GUARDRAIL",IF(CB114="watchlist","WATCHLIST_ONLY",IF(AND(BV114="high",BY114="low"),"KEEP_HOOK_REWRITE_CTA",IF(AND(BW114="high",BX114="low"),"KEEP_STRUCTURE_CHANGE_DISCUSSION_ANGLE",IF(AND(BX114="high",BZ114="low"),"DOWNWEIGHT_TEMPLATE",IF(CB114="win","RETEST_WINNER",IF(CB114="loss","RETURN_TO_BASELINE","COLLECT_MORE_DATA")))))))))</x:f>
        <x:v>COLLECT_MORE_DATA</x:v>
      </x:c>
      <x:c r="CD114" s="75"/>
    </x:row>
    <x:row r="115">
      <x:c r="A115" s="68"/>
      <x:c r="B115" s="69"/>
      <x:c r="C115" s="68"/>
      <x:c r="D115" s="68"/>
      <x:c r="E115" s="68"/>
      <x:c r="F115" s="68"/>
      <x:c r="G115" s="68"/>
      <x:c r="H115" s="70"/>
      <x:c r="I115" s="68"/>
      <x:c r="J115" s="68"/>
      <x:c r="K115" s="68"/>
      <x:c r="L115" s="71" t="str">
        <x:f>IF(K115="","unknown",IF(K115=0,"baseline",IF(K115=1,"pure","mixed")))</x:f>
        <x:v>unknown</x:v>
      </x:c>
      <x:c r="M115" s="68"/>
      <x:c r="N115" s="68"/>
      <x:c r="O115" s="68"/>
      <x:c r="P115" s="68"/>
      <x:c r="Q115" s="68"/>
      <x:c r="R115" s="68"/>
      <x:c r="S115" s="68"/>
      <x:c r="T115" s="68"/>
      <x:c r="U115" s="68"/>
      <x:c r="V115" s="68"/>
      <x:c r="W115" s="68"/>
      <x:c r="X115" s="68"/>
      <x:c r="Y115" s="68"/>
      <x:c r="Z115" s="68"/>
      <x:c r="AA115" s="68"/>
      <x:c r="AB115" s="68"/>
      <x:c r="AC115" s="68"/>
      <x:c r="AD115" s="70"/>
      <x:c r="AE115" s="70"/>
      <x:c r="AF115" s="70"/>
      <x:c r="AG115" s="70"/>
      <x:c r="AH115" s="70"/>
      <x:c r="AI115" s="70"/>
      <x:c r="AJ115" s="70"/>
      <x:c r="AK115" s="70"/>
      <x:c r="AL115" s="70"/>
      <x:c r="AM115" s="70"/>
      <x:c r="AN115" s="70"/>
      <x:c r="AO115" s="70"/>
      <x:c r="AP115" s="70"/>
      <x:c r="AQ115" s="70"/>
      <x:c r="AR115" s="70"/>
      <x:c r="AS115" s="70"/>
      <x:c r="AT115" s="72"/>
      <x:c r="AU115" s="72"/>
      <x:c r="AV115" s="72"/>
      <x:c r="AW115" s="72"/>
      <x:c r="AX115" s="72"/>
      <x:c r="AY115" s="72"/>
      <x:c r="AZ115" s="72"/>
      <x:c r="BA115" s="73" t="str">
        <x:f>IF(C115="xiaohongshu",IF(COUNT(AF115,AE115)&lt;2,"",IFERROR(AF115/AE115,"")),"")</x:f>
      </x:c>
      <x:c r="BB115" s="73" t="str">
        <x:f>IF(C115="xiaohongshu",IF(COUNT(AG115,AE115)&lt;2,"",IFERROR(AG115/AE115,"")),"")</x:f>
      </x:c>
      <x:c r="BC115" s="73" t="str">
        <x:f>IF(C115="xiaohongshu",IF(COUNT(AN115,AE115)&lt;2,"",IFERROR(AN115/AE115,"")),"")</x:f>
      </x:c>
      <x:c r="BD115" s="73" t="str">
        <x:f>IF(C115="xiaohongshu",IF(COUNT(AQ115,AE115)&lt;2,"",IFERROR(AQ115/AE115,"")),"")</x:f>
      </x:c>
      <x:c r="BE115" s="73" t="str">
        <x:f>IF(C115="xiaohongshu",IF(COUNT(AI115,AE115)&lt;2,"",IFERROR(AI115/AE115,"")),"")</x:f>
      </x:c>
      <x:c r="BF115" s="73" t="str">
        <x:f>IF(C115="xiaohongshu",IF(OR(COUNT(AE115)=0,COUNT(AR115,AS115)=0),"",IFERROR((AR115+AS115)/AE115,"")),"")</x:f>
      </x:c>
      <x:c r="BG115" s="73" t="str">
        <x:f>IF(C115="x",IF(COUNT(AD115)=0,"",IF(COUNT(AM115)=1,IFERROR(AM115/AD115,""),IF(COUNT(AH115,AI115,AK115,AL115)=0,"",IFERROR(SUM(AH115,AI115,AK115,AL115)/AD115,"")))),"")</x:f>
      </x:c>
      <x:c r="BH115" s="73" t="str">
        <x:f>IF(C115="x",IF(COUNT(AJ115,AD115)&lt;2,"",IFERROR(AJ115/AD115,"")),"")</x:f>
      </x:c>
      <x:c r="BI115" s="73" t="str">
        <x:f>IF(C115="x",IF(COUNT(AO115,AD115)&lt;2,"",IFERROR(AO115/AD115,"")),"")</x:f>
      </x:c>
      <x:c r="BJ115" s="73" t="str">
        <x:f>IF(C115="x",IF(COUNT(AP115,AD115)&lt;2,"",IFERROR(AP115/AD115,"")),"")</x:f>
      </x:c>
      <x:c r="BK115" s="73" t="str">
        <x:f>IF(C115="x",IF(COUNT(AL115,AD115)&lt;2,"",IFERROR(AL115/AD115,"")),"")</x:f>
      </x:c>
      <x:c r="BL115" s="73" t="str">
        <x:f>IF(C115="x",IF(OR(COUNT(AD115)=0,COUNT(AR115,AS115)=0),"",IFERROR((AR115+AS115)/AD115,"")),"")</x:f>
      </x:c>
      <x:c r="BM115" s="73" t="str">
        <x:f>IF(AB115="xhs_save_rate",BA115,IF(AB115="xhs_completion_rate",BB115,IF(AB115="xhs_profile_visit_rate",BC115,IF(AB115="xhs_dm_intent_rate",BD115,IF(AB115="xhs_discussion_rate",BE115,IF(AB115="xhs_product_relevance_rate",BF115,IF(AB115="x_first_screen_engaged_rate_proxy",BG115,IF(AB115="x_qualified_reply_rate",BH115,IF(AB115="x_profile_click_rate",BI115,IF(AB115="x_link_intent_rate",BJ115,IF(AB115="x_bookmark_rate",BK115,IF(AB115="x_product_relevance_rate",BL115,""))))))))))))</x:f>
      </x:c>
      <x:c r="BN115" s="73" t="str">
        <x:f>IFERROR(BM115/AT115-1,"")</x:f>
      </x:c>
      <x:c r="BO115" s="73" t="str">
        <x:f>IF(AC115="","",IF(AC115="xhs_save_rate",BA115,IF(AC115="xhs_completion_rate",BB115,IF(AC115="xhs_profile_visit_rate",BC115,IF(AC115="xhs_dm_intent_rate",BD115,IF(AC115="xhs_discussion_rate",BE115,IF(AC115="xhs_product_relevance_rate",BF115,IF(AC115="x_first_screen_engaged_rate_proxy",BG115,IF(AC115="x_qualified_reply_rate",BH115,IF(AC115="x_profile_click_rate",BI115,IF(AC115="x_link_intent_rate",BJ115,IF(AC115="x_bookmark_rate",BK115,IF(AC115="x_product_relevance_rate",BL115,"")))))))))))))</x:f>
      </x:c>
      <x:c r="BP115" s="73" t="str">
        <x:f>IFERROR(BO115/AU115-1,"")</x:f>
      </x:c>
      <x:c r="BQ115" s="74" t="str">
        <x:f>IF(COUNT(AD115)=0,"",AD115)</x:f>
      </x:c>
      <x:c r="BR115" s="73" t="str">
        <x:f>IF(C115="xiaohongshu",IF(COUNT(BA115,BB115)=2,AVERAGE(BA115,BB115),IF(COUNT(BA115)=1,BA115,BB115)),BK115)</x:f>
      </x:c>
      <x:c r="BS115" s="73" t="str">
        <x:f>IF(C115="xiaohongshu",BE115,BH115)</x:f>
      </x:c>
      <x:c r="BT115" s="73" t="str">
        <x:f>IF(C115="xiaohongshu",IF(I115="save",BA115,IF(I115="discussion",BE115,IF(I115="profile_visit",BC115,IF(I115="dm",BD115,IF(OR(I115="product_question",I115="trial_intent"),BF115,""))))),IF(I115="save",BK115,IF(I115="discussion",BH115,IF(OR(I115="profile_visit",I115="dm"),BI115,IF(I115="link_click",BJ115,IF(OR(I115="product_question",I115="trial_intent"),BL115,""))))))</x:f>
      </x:c>
      <x:c r="BU115" s="73" t="str">
        <x:f>IF(C115="xiaohongshu",BF115,BL115)</x:f>
      </x:c>
      <x:c r="BV115" s="65" t="str">
        <x:f>IF(COUNT(BQ115,AV115)&lt;2,"unknown",IF(BQ115/AV115-1&gt;=0.2,"high",IF(BQ115/AV115-1&lt;=-0.2,"low","normal")))</x:f>
        <x:v>unknown</x:v>
      </x:c>
      <x:c r="BW115" s="65" t="str">
        <x:f>IF(COUNT(BR115,AW115)&lt;2,"unknown",IF(BR115/AW115-1&gt;=0.2,"high",IF(BR115/AW115-1&lt;=-0.2,"low","normal")))</x:f>
        <x:v>unknown</x:v>
      </x:c>
      <x:c r="BX115" s="65" t="str">
        <x:f>IF(COUNT(BS115,AX115)&lt;2,"unknown",IF(BS115/AX115-1&gt;=0.2,"high",IF(BS115/AX115-1&lt;=-0.2,"low","normal")))</x:f>
        <x:v>unknown</x:v>
      </x:c>
      <x:c r="BY115" s="65" t="str">
        <x:f>IF(COUNT(BT115,AY115)&lt;2,"unknown",IF(BT115/AY115-1&gt;=0.2,"high",IF(BT115/AY115-1&lt;=-0.2,"low","normal")))</x:f>
        <x:v>unknown</x:v>
      </x:c>
      <x:c r="BZ115" s="65" t="str">
        <x:f>IF(COUNT(BU115,AZ115)&lt;2,"unknown",IF(BU115/AZ115-1&gt;=0.2,"high",IF(BU115/AZ115-1&lt;=-0.2,"low","normal")))</x:f>
        <x:v>unknown</x:v>
      </x:c>
      <x:c r="CA115" s="65" t="str">
        <x:f>IF(T115&lt;&gt;"complete","pending",IF(OR(L115&lt;&gt;"pure",U115="true",COUNT(BM115,AT115)&lt;2,AND(AC115&lt;&gt;"",COUNT(BO115,AU115)&lt;2)),"not_attributable","attributable"))</x:f>
        <x:v>pending</x:v>
      </x:c>
      <x:c r="CB115" s="65" t="str">
        <x:f>IF(T115&lt;&gt;"complete","not_evaluated",IF(COUNT(BM115,AT115)&lt;2,"insufficient_data",IF(AND(AC115&lt;&gt;"",COUNT(BP115)=1,BP115&lt;=-0.2),"guardrail_fail",IF(AND(CA115="not_attributable",OR(BV115="high",BN115&gt;=0.2)),"watchlist",IF(CA115&lt;&gt;"attributable","insufficient_data",IF(BN115&gt;=0.2,"win",IF(BN115&lt;=-0.2,"loss","inconclusive")))))))</x:f>
        <x:v>not_evaluated</x:v>
      </x:c>
      <x:c r="CC115" s="65" t="str">
        <x:f>IF(T115&lt;&gt;"complete","COLLECT_MORE_DATA",IF(COUNT(BM115,AT115)&lt;2,"FIX_TRACKING",IF(CB115="guardrail_fail","STOP_VARIANT_GUARDRAIL",IF(CB115="watchlist","WATCHLIST_ONLY",IF(AND(BV115="high",BY115="low"),"KEEP_HOOK_REWRITE_CTA",IF(AND(BW115="high",BX115="low"),"KEEP_STRUCTURE_CHANGE_DISCUSSION_ANGLE",IF(AND(BX115="high",BZ115="low"),"DOWNWEIGHT_TEMPLATE",IF(CB115="win","RETEST_WINNER",IF(CB115="loss","RETURN_TO_BASELINE","COLLECT_MORE_DATA")))))))))</x:f>
        <x:v>COLLECT_MORE_DATA</x:v>
      </x:c>
      <x:c r="CD115" s="75"/>
    </x:row>
    <x:row r="116">
      <x:c r="A116" s="68"/>
      <x:c r="B116" s="69"/>
      <x:c r="C116" s="68"/>
      <x:c r="D116" s="68"/>
      <x:c r="E116" s="68"/>
      <x:c r="F116" s="68"/>
      <x:c r="G116" s="68"/>
      <x:c r="H116" s="70"/>
      <x:c r="I116" s="68"/>
      <x:c r="J116" s="68"/>
      <x:c r="K116" s="68"/>
      <x:c r="L116" s="71" t="str">
        <x:f>IF(K116="","unknown",IF(K116=0,"baseline",IF(K116=1,"pure","mixed")))</x:f>
        <x:v>unknown</x:v>
      </x:c>
      <x:c r="M116" s="68"/>
      <x:c r="N116" s="68"/>
      <x:c r="O116" s="68"/>
      <x:c r="P116" s="68"/>
      <x:c r="Q116" s="68"/>
      <x:c r="R116" s="68"/>
      <x:c r="S116" s="68"/>
      <x:c r="T116" s="68"/>
      <x:c r="U116" s="68"/>
      <x:c r="V116" s="68"/>
      <x:c r="W116" s="68"/>
      <x:c r="X116" s="68"/>
      <x:c r="Y116" s="68"/>
      <x:c r="Z116" s="68"/>
      <x:c r="AA116" s="68"/>
      <x:c r="AB116" s="68"/>
      <x:c r="AC116" s="68"/>
      <x:c r="AD116" s="70"/>
      <x:c r="AE116" s="70"/>
      <x:c r="AF116" s="70"/>
      <x:c r="AG116" s="70"/>
      <x:c r="AH116" s="70"/>
      <x:c r="AI116" s="70"/>
      <x:c r="AJ116" s="70"/>
      <x:c r="AK116" s="70"/>
      <x:c r="AL116" s="70"/>
      <x:c r="AM116" s="70"/>
      <x:c r="AN116" s="70"/>
      <x:c r="AO116" s="70"/>
      <x:c r="AP116" s="70"/>
      <x:c r="AQ116" s="70"/>
      <x:c r="AR116" s="70"/>
      <x:c r="AS116" s="70"/>
      <x:c r="AT116" s="72"/>
      <x:c r="AU116" s="72"/>
      <x:c r="AV116" s="72"/>
      <x:c r="AW116" s="72"/>
      <x:c r="AX116" s="72"/>
      <x:c r="AY116" s="72"/>
      <x:c r="AZ116" s="72"/>
      <x:c r="BA116" s="73" t="str">
        <x:f>IF(C116="xiaohongshu",IF(COUNT(AF116,AE116)&lt;2,"",IFERROR(AF116/AE116,"")),"")</x:f>
      </x:c>
      <x:c r="BB116" s="73" t="str">
        <x:f>IF(C116="xiaohongshu",IF(COUNT(AG116,AE116)&lt;2,"",IFERROR(AG116/AE116,"")),"")</x:f>
      </x:c>
      <x:c r="BC116" s="73" t="str">
        <x:f>IF(C116="xiaohongshu",IF(COUNT(AN116,AE116)&lt;2,"",IFERROR(AN116/AE116,"")),"")</x:f>
      </x:c>
      <x:c r="BD116" s="73" t="str">
        <x:f>IF(C116="xiaohongshu",IF(COUNT(AQ116,AE116)&lt;2,"",IFERROR(AQ116/AE116,"")),"")</x:f>
      </x:c>
      <x:c r="BE116" s="73" t="str">
        <x:f>IF(C116="xiaohongshu",IF(COUNT(AI116,AE116)&lt;2,"",IFERROR(AI116/AE116,"")),"")</x:f>
      </x:c>
      <x:c r="BF116" s="73" t="str">
        <x:f>IF(C116="xiaohongshu",IF(OR(COUNT(AE116)=0,COUNT(AR116,AS116)=0),"",IFERROR((AR116+AS116)/AE116,"")),"")</x:f>
      </x:c>
      <x:c r="BG116" s="73" t="str">
        <x:f>IF(C116="x",IF(COUNT(AD116)=0,"",IF(COUNT(AM116)=1,IFERROR(AM116/AD116,""),IF(COUNT(AH116,AI116,AK116,AL116)=0,"",IFERROR(SUM(AH116,AI116,AK116,AL116)/AD116,"")))),"")</x:f>
      </x:c>
      <x:c r="BH116" s="73" t="str">
        <x:f>IF(C116="x",IF(COUNT(AJ116,AD116)&lt;2,"",IFERROR(AJ116/AD116,"")),"")</x:f>
      </x:c>
      <x:c r="BI116" s="73" t="str">
        <x:f>IF(C116="x",IF(COUNT(AO116,AD116)&lt;2,"",IFERROR(AO116/AD116,"")),"")</x:f>
      </x:c>
      <x:c r="BJ116" s="73" t="str">
        <x:f>IF(C116="x",IF(COUNT(AP116,AD116)&lt;2,"",IFERROR(AP116/AD116,"")),"")</x:f>
      </x:c>
      <x:c r="BK116" s="73" t="str">
        <x:f>IF(C116="x",IF(COUNT(AL116,AD116)&lt;2,"",IFERROR(AL116/AD116,"")),"")</x:f>
      </x:c>
      <x:c r="BL116" s="73" t="str">
        <x:f>IF(C116="x",IF(OR(COUNT(AD116)=0,COUNT(AR116,AS116)=0),"",IFERROR((AR116+AS116)/AD116,"")),"")</x:f>
      </x:c>
      <x:c r="BM116" s="73" t="str">
        <x:f>IF(AB116="xhs_save_rate",BA116,IF(AB116="xhs_completion_rate",BB116,IF(AB116="xhs_profile_visit_rate",BC116,IF(AB116="xhs_dm_intent_rate",BD116,IF(AB116="xhs_discussion_rate",BE116,IF(AB116="xhs_product_relevance_rate",BF116,IF(AB116="x_first_screen_engaged_rate_proxy",BG116,IF(AB116="x_qualified_reply_rate",BH116,IF(AB116="x_profile_click_rate",BI116,IF(AB116="x_link_intent_rate",BJ116,IF(AB116="x_bookmark_rate",BK116,IF(AB116="x_product_relevance_rate",BL116,""))))))))))))</x:f>
      </x:c>
      <x:c r="BN116" s="73" t="str">
        <x:f>IFERROR(BM116/AT116-1,"")</x:f>
      </x:c>
      <x:c r="BO116" s="73" t="str">
        <x:f>IF(AC116="","",IF(AC116="xhs_save_rate",BA116,IF(AC116="xhs_completion_rate",BB116,IF(AC116="xhs_profile_visit_rate",BC116,IF(AC116="xhs_dm_intent_rate",BD116,IF(AC116="xhs_discussion_rate",BE116,IF(AC116="xhs_product_relevance_rate",BF116,IF(AC116="x_first_screen_engaged_rate_proxy",BG116,IF(AC116="x_qualified_reply_rate",BH116,IF(AC116="x_profile_click_rate",BI116,IF(AC116="x_link_intent_rate",BJ116,IF(AC116="x_bookmark_rate",BK116,IF(AC116="x_product_relevance_rate",BL116,"")))))))))))))</x:f>
      </x:c>
      <x:c r="BP116" s="73" t="str">
        <x:f>IFERROR(BO116/AU116-1,"")</x:f>
      </x:c>
      <x:c r="BQ116" s="74" t="str">
        <x:f>IF(COUNT(AD116)=0,"",AD116)</x:f>
      </x:c>
      <x:c r="BR116" s="73" t="str">
        <x:f>IF(C116="xiaohongshu",IF(COUNT(BA116,BB116)=2,AVERAGE(BA116,BB116),IF(COUNT(BA116)=1,BA116,BB116)),BK116)</x:f>
      </x:c>
      <x:c r="BS116" s="73" t="str">
        <x:f>IF(C116="xiaohongshu",BE116,BH116)</x:f>
      </x:c>
      <x:c r="BT116" s="73" t="str">
        <x:f>IF(C116="xiaohongshu",IF(I116="save",BA116,IF(I116="discussion",BE116,IF(I116="profile_visit",BC116,IF(I116="dm",BD116,IF(OR(I116="product_question",I116="trial_intent"),BF116,""))))),IF(I116="save",BK116,IF(I116="discussion",BH116,IF(OR(I116="profile_visit",I116="dm"),BI116,IF(I116="link_click",BJ116,IF(OR(I116="product_question",I116="trial_intent"),BL116,""))))))</x:f>
      </x:c>
      <x:c r="BU116" s="73" t="str">
        <x:f>IF(C116="xiaohongshu",BF116,BL116)</x:f>
      </x:c>
      <x:c r="BV116" s="65" t="str">
        <x:f>IF(COUNT(BQ116,AV116)&lt;2,"unknown",IF(BQ116/AV116-1&gt;=0.2,"high",IF(BQ116/AV116-1&lt;=-0.2,"low","normal")))</x:f>
        <x:v>unknown</x:v>
      </x:c>
      <x:c r="BW116" s="65" t="str">
        <x:f>IF(COUNT(BR116,AW116)&lt;2,"unknown",IF(BR116/AW116-1&gt;=0.2,"high",IF(BR116/AW116-1&lt;=-0.2,"low","normal")))</x:f>
        <x:v>unknown</x:v>
      </x:c>
      <x:c r="BX116" s="65" t="str">
        <x:f>IF(COUNT(BS116,AX116)&lt;2,"unknown",IF(BS116/AX116-1&gt;=0.2,"high",IF(BS116/AX116-1&lt;=-0.2,"low","normal")))</x:f>
        <x:v>unknown</x:v>
      </x:c>
      <x:c r="BY116" s="65" t="str">
        <x:f>IF(COUNT(BT116,AY116)&lt;2,"unknown",IF(BT116/AY116-1&gt;=0.2,"high",IF(BT116/AY116-1&lt;=-0.2,"low","normal")))</x:f>
        <x:v>unknown</x:v>
      </x:c>
      <x:c r="BZ116" s="65" t="str">
        <x:f>IF(COUNT(BU116,AZ116)&lt;2,"unknown",IF(BU116/AZ116-1&gt;=0.2,"high",IF(BU116/AZ116-1&lt;=-0.2,"low","normal")))</x:f>
        <x:v>unknown</x:v>
      </x:c>
      <x:c r="CA116" s="65" t="str">
        <x:f>IF(T116&lt;&gt;"complete","pending",IF(OR(L116&lt;&gt;"pure",U116="true",COUNT(BM116,AT116)&lt;2,AND(AC116&lt;&gt;"",COUNT(BO116,AU116)&lt;2)),"not_attributable","attributable"))</x:f>
        <x:v>pending</x:v>
      </x:c>
      <x:c r="CB116" s="65" t="str">
        <x:f>IF(T116&lt;&gt;"complete","not_evaluated",IF(COUNT(BM116,AT116)&lt;2,"insufficient_data",IF(AND(AC116&lt;&gt;"",COUNT(BP116)=1,BP116&lt;=-0.2),"guardrail_fail",IF(AND(CA116="not_attributable",OR(BV116="high",BN116&gt;=0.2)),"watchlist",IF(CA116&lt;&gt;"attributable","insufficient_data",IF(BN116&gt;=0.2,"win",IF(BN116&lt;=-0.2,"loss","inconclusive")))))))</x:f>
        <x:v>not_evaluated</x:v>
      </x:c>
      <x:c r="CC116" s="65" t="str">
        <x:f>IF(T116&lt;&gt;"complete","COLLECT_MORE_DATA",IF(COUNT(BM116,AT116)&lt;2,"FIX_TRACKING",IF(CB116="guardrail_fail","STOP_VARIANT_GUARDRAIL",IF(CB116="watchlist","WATCHLIST_ONLY",IF(AND(BV116="high",BY116="low"),"KEEP_HOOK_REWRITE_CTA",IF(AND(BW116="high",BX116="low"),"KEEP_STRUCTURE_CHANGE_DISCUSSION_ANGLE",IF(AND(BX116="high",BZ116="low"),"DOWNWEIGHT_TEMPLATE",IF(CB116="win","RETEST_WINNER",IF(CB116="loss","RETURN_TO_BASELINE","COLLECT_MORE_DATA")))))))))</x:f>
        <x:v>COLLECT_MORE_DATA</x:v>
      </x:c>
      <x:c r="CD116" s="75"/>
    </x:row>
    <x:row r="117">
      <x:c r="A117" s="68"/>
      <x:c r="B117" s="69"/>
      <x:c r="C117" s="68"/>
      <x:c r="D117" s="68"/>
      <x:c r="E117" s="68"/>
      <x:c r="F117" s="68"/>
      <x:c r="G117" s="68"/>
      <x:c r="H117" s="70"/>
      <x:c r="I117" s="68"/>
      <x:c r="J117" s="68"/>
      <x:c r="K117" s="68"/>
      <x:c r="L117" s="71" t="str">
        <x:f>IF(K117="","unknown",IF(K117=0,"baseline",IF(K117=1,"pure","mixed")))</x:f>
        <x:v>unknown</x:v>
      </x:c>
      <x:c r="M117" s="68"/>
      <x:c r="N117" s="68"/>
      <x:c r="O117" s="68"/>
      <x:c r="P117" s="68"/>
      <x:c r="Q117" s="68"/>
      <x:c r="R117" s="68"/>
      <x:c r="S117" s="68"/>
      <x:c r="T117" s="68"/>
      <x:c r="U117" s="68"/>
      <x:c r="V117" s="68"/>
      <x:c r="W117" s="68"/>
      <x:c r="X117" s="68"/>
      <x:c r="Y117" s="68"/>
      <x:c r="Z117" s="68"/>
      <x:c r="AA117" s="68"/>
      <x:c r="AB117" s="68"/>
      <x:c r="AC117" s="68"/>
      <x:c r="AD117" s="70"/>
      <x:c r="AE117" s="70"/>
      <x:c r="AF117" s="70"/>
      <x:c r="AG117" s="70"/>
      <x:c r="AH117" s="70"/>
      <x:c r="AI117" s="70"/>
      <x:c r="AJ117" s="70"/>
      <x:c r="AK117" s="70"/>
      <x:c r="AL117" s="70"/>
      <x:c r="AM117" s="70"/>
      <x:c r="AN117" s="70"/>
      <x:c r="AO117" s="70"/>
      <x:c r="AP117" s="70"/>
      <x:c r="AQ117" s="70"/>
      <x:c r="AR117" s="70"/>
      <x:c r="AS117" s="70"/>
      <x:c r="AT117" s="72"/>
      <x:c r="AU117" s="72"/>
      <x:c r="AV117" s="72"/>
      <x:c r="AW117" s="72"/>
      <x:c r="AX117" s="72"/>
      <x:c r="AY117" s="72"/>
      <x:c r="AZ117" s="72"/>
      <x:c r="BA117" s="73" t="str">
        <x:f>IF(C117="xiaohongshu",IF(COUNT(AF117,AE117)&lt;2,"",IFERROR(AF117/AE117,"")),"")</x:f>
      </x:c>
      <x:c r="BB117" s="73" t="str">
        <x:f>IF(C117="xiaohongshu",IF(COUNT(AG117,AE117)&lt;2,"",IFERROR(AG117/AE117,"")),"")</x:f>
      </x:c>
      <x:c r="BC117" s="73" t="str">
        <x:f>IF(C117="xiaohongshu",IF(COUNT(AN117,AE117)&lt;2,"",IFERROR(AN117/AE117,"")),"")</x:f>
      </x:c>
      <x:c r="BD117" s="73" t="str">
        <x:f>IF(C117="xiaohongshu",IF(COUNT(AQ117,AE117)&lt;2,"",IFERROR(AQ117/AE117,"")),"")</x:f>
      </x:c>
      <x:c r="BE117" s="73" t="str">
        <x:f>IF(C117="xiaohongshu",IF(COUNT(AI117,AE117)&lt;2,"",IFERROR(AI117/AE117,"")),"")</x:f>
      </x:c>
      <x:c r="BF117" s="73" t="str">
        <x:f>IF(C117="xiaohongshu",IF(OR(COUNT(AE117)=0,COUNT(AR117,AS117)=0),"",IFERROR((AR117+AS117)/AE117,"")),"")</x:f>
      </x:c>
      <x:c r="BG117" s="73" t="str">
        <x:f>IF(C117="x",IF(COUNT(AD117)=0,"",IF(COUNT(AM117)=1,IFERROR(AM117/AD117,""),IF(COUNT(AH117,AI117,AK117,AL117)=0,"",IFERROR(SUM(AH117,AI117,AK117,AL117)/AD117,"")))),"")</x:f>
      </x:c>
      <x:c r="BH117" s="73" t="str">
        <x:f>IF(C117="x",IF(COUNT(AJ117,AD117)&lt;2,"",IFERROR(AJ117/AD117,"")),"")</x:f>
      </x:c>
      <x:c r="BI117" s="73" t="str">
        <x:f>IF(C117="x",IF(COUNT(AO117,AD117)&lt;2,"",IFERROR(AO117/AD117,"")),"")</x:f>
      </x:c>
      <x:c r="BJ117" s="73" t="str">
        <x:f>IF(C117="x",IF(COUNT(AP117,AD117)&lt;2,"",IFERROR(AP117/AD117,"")),"")</x:f>
      </x:c>
      <x:c r="BK117" s="73" t="str">
        <x:f>IF(C117="x",IF(COUNT(AL117,AD117)&lt;2,"",IFERROR(AL117/AD117,"")),"")</x:f>
      </x:c>
      <x:c r="BL117" s="73" t="str">
        <x:f>IF(C117="x",IF(OR(COUNT(AD117)=0,COUNT(AR117,AS117)=0),"",IFERROR((AR117+AS117)/AD117,"")),"")</x:f>
      </x:c>
      <x:c r="BM117" s="73" t="str">
        <x:f>IF(AB117="xhs_save_rate",BA117,IF(AB117="xhs_completion_rate",BB117,IF(AB117="xhs_profile_visit_rate",BC117,IF(AB117="xhs_dm_intent_rate",BD117,IF(AB117="xhs_discussion_rate",BE117,IF(AB117="xhs_product_relevance_rate",BF117,IF(AB117="x_first_screen_engaged_rate_proxy",BG117,IF(AB117="x_qualified_reply_rate",BH117,IF(AB117="x_profile_click_rate",BI117,IF(AB117="x_link_intent_rate",BJ117,IF(AB117="x_bookmark_rate",BK117,IF(AB117="x_product_relevance_rate",BL117,""))))))))))))</x:f>
      </x:c>
      <x:c r="BN117" s="73" t="str">
        <x:f>IFERROR(BM117/AT117-1,"")</x:f>
      </x:c>
      <x:c r="BO117" s="73" t="str">
        <x:f>IF(AC117="","",IF(AC117="xhs_save_rate",BA117,IF(AC117="xhs_completion_rate",BB117,IF(AC117="xhs_profile_visit_rate",BC117,IF(AC117="xhs_dm_intent_rate",BD117,IF(AC117="xhs_discussion_rate",BE117,IF(AC117="xhs_product_relevance_rate",BF117,IF(AC117="x_first_screen_engaged_rate_proxy",BG117,IF(AC117="x_qualified_reply_rate",BH117,IF(AC117="x_profile_click_rate",BI117,IF(AC117="x_link_intent_rate",BJ117,IF(AC117="x_bookmark_rate",BK117,IF(AC117="x_product_relevance_rate",BL117,"")))))))))))))</x:f>
      </x:c>
      <x:c r="BP117" s="73" t="str">
        <x:f>IFERROR(BO117/AU117-1,"")</x:f>
      </x:c>
      <x:c r="BQ117" s="74" t="str">
        <x:f>IF(COUNT(AD117)=0,"",AD117)</x:f>
      </x:c>
      <x:c r="BR117" s="73" t="str">
        <x:f>IF(C117="xiaohongshu",IF(COUNT(BA117,BB117)=2,AVERAGE(BA117,BB117),IF(COUNT(BA117)=1,BA117,BB117)),BK117)</x:f>
      </x:c>
      <x:c r="BS117" s="73" t="str">
        <x:f>IF(C117="xiaohongshu",BE117,BH117)</x:f>
      </x:c>
      <x:c r="BT117" s="73" t="str">
        <x:f>IF(C117="xiaohongshu",IF(I117="save",BA117,IF(I117="discussion",BE117,IF(I117="profile_visit",BC117,IF(I117="dm",BD117,IF(OR(I117="product_question",I117="trial_intent"),BF117,""))))),IF(I117="save",BK117,IF(I117="discussion",BH117,IF(OR(I117="profile_visit",I117="dm"),BI117,IF(I117="link_click",BJ117,IF(OR(I117="product_question",I117="trial_intent"),BL117,""))))))</x:f>
      </x:c>
      <x:c r="BU117" s="73" t="str">
        <x:f>IF(C117="xiaohongshu",BF117,BL117)</x:f>
      </x:c>
      <x:c r="BV117" s="65" t="str">
        <x:f>IF(COUNT(BQ117,AV117)&lt;2,"unknown",IF(BQ117/AV117-1&gt;=0.2,"high",IF(BQ117/AV117-1&lt;=-0.2,"low","normal")))</x:f>
        <x:v>unknown</x:v>
      </x:c>
      <x:c r="BW117" s="65" t="str">
        <x:f>IF(COUNT(BR117,AW117)&lt;2,"unknown",IF(BR117/AW117-1&gt;=0.2,"high",IF(BR117/AW117-1&lt;=-0.2,"low","normal")))</x:f>
        <x:v>unknown</x:v>
      </x:c>
      <x:c r="BX117" s="65" t="str">
        <x:f>IF(COUNT(BS117,AX117)&lt;2,"unknown",IF(BS117/AX117-1&gt;=0.2,"high",IF(BS117/AX117-1&lt;=-0.2,"low","normal")))</x:f>
        <x:v>unknown</x:v>
      </x:c>
      <x:c r="BY117" s="65" t="str">
        <x:f>IF(COUNT(BT117,AY117)&lt;2,"unknown",IF(BT117/AY117-1&gt;=0.2,"high",IF(BT117/AY117-1&lt;=-0.2,"low","normal")))</x:f>
        <x:v>unknown</x:v>
      </x:c>
      <x:c r="BZ117" s="65" t="str">
        <x:f>IF(COUNT(BU117,AZ117)&lt;2,"unknown",IF(BU117/AZ117-1&gt;=0.2,"high",IF(BU117/AZ117-1&lt;=-0.2,"low","normal")))</x:f>
        <x:v>unknown</x:v>
      </x:c>
      <x:c r="CA117" s="65" t="str">
        <x:f>IF(T117&lt;&gt;"complete","pending",IF(OR(L117&lt;&gt;"pure",U117="true",COUNT(BM117,AT117)&lt;2,AND(AC117&lt;&gt;"",COUNT(BO117,AU117)&lt;2)),"not_attributable","attributable"))</x:f>
        <x:v>pending</x:v>
      </x:c>
      <x:c r="CB117" s="65" t="str">
        <x:f>IF(T117&lt;&gt;"complete","not_evaluated",IF(COUNT(BM117,AT117)&lt;2,"insufficient_data",IF(AND(AC117&lt;&gt;"",COUNT(BP117)=1,BP117&lt;=-0.2),"guardrail_fail",IF(AND(CA117="not_attributable",OR(BV117="high",BN117&gt;=0.2)),"watchlist",IF(CA117&lt;&gt;"attributable","insufficient_data",IF(BN117&gt;=0.2,"win",IF(BN117&lt;=-0.2,"loss","inconclusive")))))))</x:f>
        <x:v>not_evaluated</x:v>
      </x:c>
      <x:c r="CC117" s="65" t="str">
        <x:f>IF(T117&lt;&gt;"complete","COLLECT_MORE_DATA",IF(COUNT(BM117,AT117)&lt;2,"FIX_TRACKING",IF(CB117="guardrail_fail","STOP_VARIANT_GUARDRAIL",IF(CB117="watchlist","WATCHLIST_ONLY",IF(AND(BV117="high",BY117="low"),"KEEP_HOOK_REWRITE_CTA",IF(AND(BW117="high",BX117="low"),"KEEP_STRUCTURE_CHANGE_DISCUSSION_ANGLE",IF(AND(BX117="high",BZ117="low"),"DOWNWEIGHT_TEMPLATE",IF(CB117="win","RETEST_WINNER",IF(CB117="loss","RETURN_TO_BASELINE","COLLECT_MORE_DATA")))))))))</x:f>
        <x:v>COLLECT_MORE_DATA</x:v>
      </x:c>
      <x:c r="CD117" s="75"/>
    </x:row>
    <x:row r="118">
      <x:c r="A118" s="68"/>
      <x:c r="B118" s="69"/>
      <x:c r="C118" s="68"/>
      <x:c r="D118" s="68"/>
      <x:c r="E118" s="68"/>
      <x:c r="F118" s="68"/>
      <x:c r="G118" s="68"/>
      <x:c r="H118" s="70"/>
      <x:c r="I118" s="68"/>
      <x:c r="J118" s="68"/>
      <x:c r="K118" s="68"/>
      <x:c r="L118" s="71" t="str">
        <x:f>IF(K118="","unknown",IF(K118=0,"baseline",IF(K118=1,"pure","mixed")))</x:f>
        <x:v>unknown</x:v>
      </x:c>
      <x:c r="M118" s="68"/>
      <x:c r="N118" s="68"/>
      <x:c r="O118" s="68"/>
      <x:c r="P118" s="68"/>
      <x:c r="Q118" s="68"/>
      <x:c r="R118" s="68"/>
      <x:c r="S118" s="68"/>
      <x:c r="T118" s="68"/>
      <x:c r="U118" s="68"/>
      <x:c r="V118" s="68"/>
      <x:c r="W118" s="68"/>
      <x:c r="X118" s="68"/>
      <x:c r="Y118" s="68"/>
      <x:c r="Z118" s="68"/>
      <x:c r="AA118" s="68"/>
      <x:c r="AB118" s="68"/>
      <x:c r="AC118" s="68"/>
      <x:c r="AD118" s="70"/>
      <x:c r="AE118" s="70"/>
      <x:c r="AF118" s="70"/>
      <x:c r="AG118" s="70"/>
      <x:c r="AH118" s="70"/>
      <x:c r="AI118" s="70"/>
      <x:c r="AJ118" s="70"/>
      <x:c r="AK118" s="70"/>
      <x:c r="AL118" s="70"/>
      <x:c r="AM118" s="70"/>
      <x:c r="AN118" s="70"/>
      <x:c r="AO118" s="70"/>
      <x:c r="AP118" s="70"/>
      <x:c r="AQ118" s="70"/>
      <x:c r="AR118" s="70"/>
      <x:c r="AS118" s="70"/>
      <x:c r="AT118" s="72"/>
      <x:c r="AU118" s="72"/>
      <x:c r="AV118" s="72"/>
      <x:c r="AW118" s="72"/>
      <x:c r="AX118" s="72"/>
      <x:c r="AY118" s="72"/>
      <x:c r="AZ118" s="72"/>
      <x:c r="BA118" s="73" t="str">
        <x:f>IF(C118="xiaohongshu",IF(COUNT(AF118,AE118)&lt;2,"",IFERROR(AF118/AE118,"")),"")</x:f>
      </x:c>
      <x:c r="BB118" s="73" t="str">
        <x:f>IF(C118="xiaohongshu",IF(COUNT(AG118,AE118)&lt;2,"",IFERROR(AG118/AE118,"")),"")</x:f>
      </x:c>
      <x:c r="BC118" s="73" t="str">
        <x:f>IF(C118="xiaohongshu",IF(COUNT(AN118,AE118)&lt;2,"",IFERROR(AN118/AE118,"")),"")</x:f>
      </x:c>
      <x:c r="BD118" s="73" t="str">
        <x:f>IF(C118="xiaohongshu",IF(COUNT(AQ118,AE118)&lt;2,"",IFERROR(AQ118/AE118,"")),"")</x:f>
      </x:c>
      <x:c r="BE118" s="73" t="str">
        <x:f>IF(C118="xiaohongshu",IF(COUNT(AI118,AE118)&lt;2,"",IFERROR(AI118/AE118,"")),"")</x:f>
      </x:c>
      <x:c r="BF118" s="73" t="str">
        <x:f>IF(C118="xiaohongshu",IF(OR(COUNT(AE118)=0,COUNT(AR118,AS118)=0),"",IFERROR((AR118+AS118)/AE118,"")),"")</x:f>
      </x:c>
      <x:c r="BG118" s="73" t="str">
        <x:f>IF(C118="x",IF(COUNT(AD118)=0,"",IF(COUNT(AM118)=1,IFERROR(AM118/AD118,""),IF(COUNT(AH118,AI118,AK118,AL118)=0,"",IFERROR(SUM(AH118,AI118,AK118,AL118)/AD118,"")))),"")</x:f>
      </x:c>
      <x:c r="BH118" s="73" t="str">
        <x:f>IF(C118="x",IF(COUNT(AJ118,AD118)&lt;2,"",IFERROR(AJ118/AD118,"")),"")</x:f>
      </x:c>
      <x:c r="BI118" s="73" t="str">
        <x:f>IF(C118="x",IF(COUNT(AO118,AD118)&lt;2,"",IFERROR(AO118/AD118,"")),"")</x:f>
      </x:c>
      <x:c r="BJ118" s="73" t="str">
        <x:f>IF(C118="x",IF(COUNT(AP118,AD118)&lt;2,"",IFERROR(AP118/AD118,"")),"")</x:f>
      </x:c>
      <x:c r="BK118" s="73" t="str">
        <x:f>IF(C118="x",IF(COUNT(AL118,AD118)&lt;2,"",IFERROR(AL118/AD118,"")),"")</x:f>
      </x:c>
      <x:c r="BL118" s="73" t="str">
        <x:f>IF(C118="x",IF(OR(COUNT(AD118)=0,COUNT(AR118,AS118)=0),"",IFERROR((AR118+AS118)/AD118,"")),"")</x:f>
      </x:c>
      <x:c r="BM118" s="73" t="str">
        <x:f>IF(AB118="xhs_save_rate",BA118,IF(AB118="xhs_completion_rate",BB118,IF(AB118="xhs_profile_visit_rate",BC118,IF(AB118="xhs_dm_intent_rate",BD118,IF(AB118="xhs_discussion_rate",BE118,IF(AB118="xhs_product_relevance_rate",BF118,IF(AB118="x_first_screen_engaged_rate_proxy",BG118,IF(AB118="x_qualified_reply_rate",BH118,IF(AB118="x_profile_click_rate",BI118,IF(AB118="x_link_intent_rate",BJ118,IF(AB118="x_bookmark_rate",BK118,IF(AB118="x_product_relevance_rate",BL118,""))))))))))))</x:f>
      </x:c>
      <x:c r="BN118" s="73" t="str">
        <x:f>IFERROR(BM118/AT118-1,"")</x:f>
      </x:c>
      <x:c r="BO118" s="73" t="str">
        <x:f>IF(AC118="","",IF(AC118="xhs_save_rate",BA118,IF(AC118="xhs_completion_rate",BB118,IF(AC118="xhs_profile_visit_rate",BC118,IF(AC118="xhs_dm_intent_rate",BD118,IF(AC118="xhs_discussion_rate",BE118,IF(AC118="xhs_product_relevance_rate",BF118,IF(AC118="x_first_screen_engaged_rate_proxy",BG118,IF(AC118="x_qualified_reply_rate",BH118,IF(AC118="x_profile_click_rate",BI118,IF(AC118="x_link_intent_rate",BJ118,IF(AC118="x_bookmark_rate",BK118,IF(AC118="x_product_relevance_rate",BL118,"")))))))))))))</x:f>
      </x:c>
      <x:c r="BP118" s="73" t="str">
        <x:f>IFERROR(BO118/AU118-1,"")</x:f>
      </x:c>
      <x:c r="BQ118" s="74" t="str">
        <x:f>IF(COUNT(AD118)=0,"",AD118)</x:f>
      </x:c>
      <x:c r="BR118" s="73" t="str">
        <x:f>IF(C118="xiaohongshu",IF(COUNT(BA118,BB118)=2,AVERAGE(BA118,BB118),IF(COUNT(BA118)=1,BA118,BB118)),BK118)</x:f>
      </x:c>
      <x:c r="BS118" s="73" t="str">
        <x:f>IF(C118="xiaohongshu",BE118,BH118)</x:f>
      </x:c>
      <x:c r="BT118" s="73" t="str">
        <x:f>IF(C118="xiaohongshu",IF(I118="save",BA118,IF(I118="discussion",BE118,IF(I118="profile_visit",BC118,IF(I118="dm",BD118,IF(OR(I118="product_question",I118="trial_intent"),BF118,""))))),IF(I118="save",BK118,IF(I118="discussion",BH118,IF(OR(I118="profile_visit",I118="dm"),BI118,IF(I118="link_click",BJ118,IF(OR(I118="product_question",I118="trial_intent"),BL118,""))))))</x:f>
      </x:c>
      <x:c r="BU118" s="73" t="str">
        <x:f>IF(C118="xiaohongshu",BF118,BL118)</x:f>
      </x:c>
      <x:c r="BV118" s="65" t="str">
        <x:f>IF(COUNT(BQ118,AV118)&lt;2,"unknown",IF(BQ118/AV118-1&gt;=0.2,"high",IF(BQ118/AV118-1&lt;=-0.2,"low","normal")))</x:f>
        <x:v>unknown</x:v>
      </x:c>
      <x:c r="BW118" s="65" t="str">
        <x:f>IF(COUNT(BR118,AW118)&lt;2,"unknown",IF(BR118/AW118-1&gt;=0.2,"high",IF(BR118/AW118-1&lt;=-0.2,"low","normal")))</x:f>
        <x:v>unknown</x:v>
      </x:c>
      <x:c r="BX118" s="65" t="str">
        <x:f>IF(COUNT(BS118,AX118)&lt;2,"unknown",IF(BS118/AX118-1&gt;=0.2,"high",IF(BS118/AX118-1&lt;=-0.2,"low","normal")))</x:f>
        <x:v>unknown</x:v>
      </x:c>
      <x:c r="BY118" s="65" t="str">
        <x:f>IF(COUNT(BT118,AY118)&lt;2,"unknown",IF(BT118/AY118-1&gt;=0.2,"high",IF(BT118/AY118-1&lt;=-0.2,"low","normal")))</x:f>
        <x:v>unknown</x:v>
      </x:c>
      <x:c r="BZ118" s="65" t="str">
        <x:f>IF(COUNT(BU118,AZ118)&lt;2,"unknown",IF(BU118/AZ118-1&gt;=0.2,"high",IF(BU118/AZ118-1&lt;=-0.2,"low","normal")))</x:f>
        <x:v>unknown</x:v>
      </x:c>
      <x:c r="CA118" s="65" t="str">
        <x:f>IF(T118&lt;&gt;"complete","pending",IF(OR(L118&lt;&gt;"pure",U118="true",COUNT(BM118,AT118)&lt;2,AND(AC118&lt;&gt;"",COUNT(BO118,AU118)&lt;2)),"not_attributable","attributable"))</x:f>
        <x:v>pending</x:v>
      </x:c>
      <x:c r="CB118" s="65" t="str">
        <x:f>IF(T118&lt;&gt;"complete","not_evaluated",IF(COUNT(BM118,AT118)&lt;2,"insufficient_data",IF(AND(AC118&lt;&gt;"",COUNT(BP118)=1,BP118&lt;=-0.2),"guardrail_fail",IF(AND(CA118="not_attributable",OR(BV118="high",BN118&gt;=0.2)),"watchlist",IF(CA118&lt;&gt;"attributable","insufficient_data",IF(BN118&gt;=0.2,"win",IF(BN118&lt;=-0.2,"loss","inconclusive")))))))</x:f>
        <x:v>not_evaluated</x:v>
      </x:c>
      <x:c r="CC118" s="65" t="str">
        <x:f>IF(T118&lt;&gt;"complete","COLLECT_MORE_DATA",IF(COUNT(BM118,AT118)&lt;2,"FIX_TRACKING",IF(CB118="guardrail_fail","STOP_VARIANT_GUARDRAIL",IF(CB118="watchlist","WATCHLIST_ONLY",IF(AND(BV118="high",BY118="low"),"KEEP_HOOK_REWRITE_CTA",IF(AND(BW118="high",BX118="low"),"KEEP_STRUCTURE_CHANGE_DISCUSSION_ANGLE",IF(AND(BX118="high",BZ118="low"),"DOWNWEIGHT_TEMPLATE",IF(CB118="win","RETEST_WINNER",IF(CB118="loss","RETURN_TO_BASELINE","COLLECT_MORE_DATA")))))))))</x:f>
        <x:v>COLLECT_MORE_DATA</x:v>
      </x:c>
      <x:c r="CD118" s="75"/>
    </x:row>
    <x:row r="119">
      <x:c r="A119" s="68"/>
      <x:c r="B119" s="69"/>
      <x:c r="C119" s="68"/>
      <x:c r="D119" s="68"/>
      <x:c r="E119" s="68"/>
      <x:c r="F119" s="68"/>
      <x:c r="G119" s="68"/>
      <x:c r="H119" s="70"/>
      <x:c r="I119" s="68"/>
      <x:c r="J119" s="68"/>
      <x:c r="K119" s="68"/>
      <x:c r="L119" s="71" t="str">
        <x:f>IF(K119="","unknown",IF(K119=0,"baseline",IF(K119=1,"pure","mixed")))</x:f>
        <x:v>unknown</x:v>
      </x:c>
      <x:c r="M119" s="68"/>
      <x:c r="N119" s="68"/>
      <x:c r="O119" s="68"/>
      <x:c r="P119" s="68"/>
      <x:c r="Q119" s="68"/>
      <x:c r="R119" s="68"/>
      <x:c r="S119" s="68"/>
      <x:c r="T119" s="68"/>
      <x:c r="U119" s="68"/>
      <x:c r="V119" s="68"/>
      <x:c r="W119" s="68"/>
      <x:c r="X119" s="68"/>
      <x:c r="Y119" s="68"/>
      <x:c r="Z119" s="68"/>
      <x:c r="AA119" s="68"/>
      <x:c r="AB119" s="68"/>
      <x:c r="AC119" s="68"/>
      <x:c r="AD119" s="70"/>
      <x:c r="AE119" s="70"/>
      <x:c r="AF119" s="70"/>
      <x:c r="AG119" s="70"/>
      <x:c r="AH119" s="70"/>
      <x:c r="AI119" s="70"/>
      <x:c r="AJ119" s="70"/>
      <x:c r="AK119" s="70"/>
      <x:c r="AL119" s="70"/>
      <x:c r="AM119" s="70"/>
      <x:c r="AN119" s="70"/>
      <x:c r="AO119" s="70"/>
      <x:c r="AP119" s="70"/>
      <x:c r="AQ119" s="70"/>
      <x:c r="AR119" s="70"/>
      <x:c r="AS119" s="70"/>
      <x:c r="AT119" s="72"/>
      <x:c r="AU119" s="72"/>
      <x:c r="AV119" s="72"/>
      <x:c r="AW119" s="72"/>
      <x:c r="AX119" s="72"/>
      <x:c r="AY119" s="72"/>
      <x:c r="AZ119" s="72"/>
      <x:c r="BA119" s="73" t="str">
        <x:f>IF(C119="xiaohongshu",IF(COUNT(AF119,AE119)&lt;2,"",IFERROR(AF119/AE119,"")),"")</x:f>
      </x:c>
      <x:c r="BB119" s="73" t="str">
        <x:f>IF(C119="xiaohongshu",IF(COUNT(AG119,AE119)&lt;2,"",IFERROR(AG119/AE119,"")),"")</x:f>
      </x:c>
      <x:c r="BC119" s="73" t="str">
        <x:f>IF(C119="xiaohongshu",IF(COUNT(AN119,AE119)&lt;2,"",IFERROR(AN119/AE119,"")),"")</x:f>
      </x:c>
      <x:c r="BD119" s="73" t="str">
        <x:f>IF(C119="xiaohongshu",IF(COUNT(AQ119,AE119)&lt;2,"",IFERROR(AQ119/AE119,"")),"")</x:f>
      </x:c>
      <x:c r="BE119" s="73" t="str">
        <x:f>IF(C119="xiaohongshu",IF(COUNT(AI119,AE119)&lt;2,"",IFERROR(AI119/AE119,"")),"")</x:f>
      </x:c>
      <x:c r="BF119" s="73" t="str">
        <x:f>IF(C119="xiaohongshu",IF(OR(COUNT(AE119)=0,COUNT(AR119,AS119)=0),"",IFERROR((AR119+AS119)/AE119,"")),"")</x:f>
      </x:c>
      <x:c r="BG119" s="73" t="str">
        <x:f>IF(C119="x",IF(COUNT(AD119)=0,"",IF(COUNT(AM119)=1,IFERROR(AM119/AD119,""),IF(COUNT(AH119,AI119,AK119,AL119)=0,"",IFERROR(SUM(AH119,AI119,AK119,AL119)/AD119,"")))),"")</x:f>
      </x:c>
      <x:c r="BH119" s="73" t="str">
        <x:f>IF(C119="x",IF(COUNT(AJ119,AD119)&lt;2,"",IFERROR(AJ119/AD119,"")),"")</x:f>
      </x:c>
      <x:c r="BI119" s="73" t="str">
        <x:f>IF(C119="x",IF(COUNT(AO119,AD119)&lt;2,"",IFERROR(AO119/AD119,"")),"")</x:f>
      </x:c>
      <x:c r="BJ119" s="73" t="str">
        <x:f>IF(C119="x",IF(COUNT(AP119,AD119)&lt;2,"",IFERROR(AP119/AD119,"")),"")</x:f>
      </x:c>
      <x:c r="BK119" s="73" t="str">
        <x:f>IF(C119="x",IF(COUNT(AL119,AD119)&lt;2,"",IFERROR(AL119/AD119,"")),"")</x:f>
      </x:c>
      <x:c r="BL119" s="73" t="str">
        <x:f>IF(C119="x",IF(OR(COUNT(AD119)=0,COUNT(AR119,AS119)=0),"",IFERROR((AR119+AS119)/AD119,"")),"")</x:f>
      </x:c>
      <x:c r="BM119" s="73" t="str">
        <x:f>IF(AB119="xhs_save_rate",BA119,IF(AB119="xhs_completion_rate",BB119,IF(AB119="xhs_profile_visit_rate",BC119,IF(AB119="xhs_dm_intent_rate",BD119,IF(AB119="xhs_discussion_rate",BE119,IF(AB119="xhs_product_relevance_rate",BF119,IF(AB119="x_first_screen_engaged_rate_proxy",BG119,IF(AB119="x_qualified_reply_rate",BH119,IF(AB119="x_profile_click_rate",BI119,IF(AB119="x_link_intent_rate",BJ119,IF(AB119="x_bookmark_rate",BK119,IF(AB119="x_product_relevance_rate",BL119,""))))))))))))</x:f>
      </x:c>
      <x:c r="BN119" s="73" t="str">
        <x:f>IFERROR(BM119/AT119-1,"")</x:f>
      </x:c>
      <x:c r="BO119" s="73" t="str">
        <x:f>IF(AC119="","",IF(AC119="xhs_save_rate",BA119,IF(AC119="xhs_completion_rate",BB119,IF(AC119="xhs_profile_visit_rate",BC119,IF(AC119="xhs_dm_intent_rate",BD119,IF(AC119="xhs_discussion_rate",BE119,IF(AC119="xhs_product_relevance_rate",BF119,IF(AC119="x_first_screen_engaged_rate_proxy",BG119,IF(AC119="x_qualified_reply_rate",BH119,IF(AC119="x_profile_click_rate",BI119,IF(AC119="x_link_intent_rate",BJ119,IF(AC119="x_bookmark_rate",BK119,IF(AC119="x_product_relevance_rate",BL119,"")))))))))))))</x:f>
      </x:c>
      <x:c r="BP119" s="73" t="str">
        <x:f>IFERROR(BO119/AU119-1,"")</x:f>
      </x:c>
      <x:c r="BQ119" s="74" t="str">
        <x:f>IF(COUNT(AD119)=0,"",AD119)</x:f>
      </x:c>
      <x:c r="BR119" s="73" t="str">
        <x:f>IF(C119="xiaohongshu",IF(COUNT(BA119,BB119)=2,AVERAGE(BA119,BB119),IF(COUNT(BA119)=1,BA119,BB119)),BK119)</x:f>
      </x:c>
      <x:c r="BS119" s="73" t="str">
        <x:f>IF(C119="xiaohongshu",BE119,BH119)</x:f>
      </x:c>
      <x:c r="BT119" s="73" t="str">
        <x:f>IF(C119="xiaohongshu",IF(I119="save",BA119,IF(I119="discussion",BE119,IF(I119="profile_visit",BC119,IF(I119="dm",BD119,IF(OR(I119="product_question",I119="trial_intent"),BF119,""))))),IF(I119="save",BK119,IF(I119="discussion",BH119,IF(OR(I119="profile_visit",I119="dm"),BI119,IF(I119="link_click",BJ119,IF(OR(I119="product_question",I119="trial_intent"),BL119,""))))))</x:f>
      </x:c>
      <x:c r="BU119" s="73" t="str">
        <x:f>IF(C119="xiaohongshu",BF119,BL119)</x:f>
      </x:c>
      <x:c r="BV119" s="65" t="str">
        <x:f>IF(COUNT(BQ119,AV119)&lt;2,"unknown",IF(BQ119/AV119-1&gt;=0.2,"high",IF(BQ119/AV119-1&lt;=-0.2,"low","normal")))</x:f>
        <x:v>unknown</x:v>
      </x:c>
      <x:c r="BW119" s="65" t="str">
        <x:f>IF(COUNT(BR119,AW119)&lt;2,"unknown",IF(BR119/AW119-1&gt;=0.2,"high",IF(BR119/AW119-1&lt;=-0.2,"low","normal")))</x:f>
        <x:v>unknown</x:v>
      </x:c>
      <x:c r="BX119" s="65" t="str">
        <x:f>IF(COUNT(BS119,AX119)&lt;2,"unknown",IF(BS119/AX119-1&gt;=0.2,"high",IF(BS119/AX119-1&lt;=-0.2,"low","normal")))</x:f>
        <x:v>unknown</x:v>
      </x:c>
      <x:c r="BY119" s="65" t="str">
        <x:f>IF(COUNT(BT119,AY119)&lt;2,"unknown",IF(BT119/AY119-1&gt;=0.2,"high",IF(BT119/AY119-1&lt;=-0.2,"low","normal")))</x:f>
        <x:v>unknown</x:v>
      </x:c>
      <x:c r="BZ119" s="65" t="str">
        <x:f>IF(COUNT(BU119,AZ119)&lt;2,"unknown",IF(BU119/AZ119-1&gt;=0.2,"high",IF(BU119/AZ119-1&lt;=-0.2,"low","normal")))</x:f>
        <x:v>unknown</x:v>
      </x:c>
      <x:c r="CA119" s="65" t="str">
        <x:f>IF(T119&lt;&gt;"complete","pending",IF(OR(L119&lt;&gt;"pure",U119="true",COUNT(BM119,AT119)&lt;2,AND(AC119&lt;&gt;"",COUNT(BO119,AU119)&lt;2)),"not_attributable","attributable"))</x:f>
        <x:v>pending</x:v>
      </x:c>
      <x:c r="CB119" s="65" t="str">
        <x:f>IF(T119&lt;&gt;"complete","not_evaluated",IF(COUNT(BM119,AT119)&lt;2,"insufficient_data",IF(AND(AC119&lt;&gt;"",COUNT(BP119)=1,BP119&lt;=-0.2),"guardrail_fail",IF(AND(CA119="not_attributable",OR(BV119="high",BN119&gt;=0.2)),"watchlist",IF(CA119&lt;&gt;"attributable","insufficient_data",IF(BN119&gt;=0.2,"win",IF(BN119&lt;=-0.2,"loss","inconclusive")))))))</x:f>
        <x:v>not_evaluated</x:v>
      </x:c>
      <x:c r="CC119" s="65" t="str">
        <x:f>IF(T119&lt;&gt;"complete","COLLECT_MORE_DATA",IF(COUNT(BM119,AT119)&lt;2,"FIX_TRACKING",IF(CB119="guardrail_fail","STOP_VARIANT_GUARDRAIL",IF(CB119="watchlist","WATCHLIST_ONLY",IF(AND(BV119="high",BY119="low"),"KEEP_HOOK_REWRITE_CTA",IF(AND(BW119="high",BX119="low"),"KEEP_STRUCTURE_CHANGE_DISCUSSION_ANGLE",IF(AND(BX119="high",BZ119="low"),"DOWNWEIGHT_TEMPLATE",IF(CB119="win","RETEST_WINNER",IF(CB119="loss","RETURN_TO_BASELINE","COLLECT_MORE_DATA")))))))))</x:f>
        <x:v>COLLECT_MORE_DATA</x:v>
      </x:c>
      <x:c r="CD119" s="75"/>
    </x:row>
    <x:row r="120">
      <x:c r="A120" s="68"/>
      <x:c r="B120" s="69"/>
      <x:c r="C120" s="68"/>
      <x:c r="D120" s="68"/>
      <x:c r="E120" s="68"/>
      <x:c r="F120" s="68"/>
      <x:c r="G120" s="68"/>
      <x:c r="H120" s="70"/>
      <x:c r="I120" s="68"/>
      <x:c r="J120" s="68"/>
      <x:c r="K120" s="68"/>
      <x:c r="L120" s="71" t="str">
        <x:f>IF(K120="","unknown",IF(K120=0,"baseline",IF(K120=1,"pure","mixed")))</x:f>
        <x:v>unknown</x:v>
      </x:c>
      <x:c r="M120" s="68"/>
      <x:c r="N120" s="68"/>
      <x:c r="O120" s="68"/>
      <x:c r="P120" s="68"/>
      <x:c r="Q120" s="68"/>
      <x:c r="R120" s="68"/>
      <x:c r="S120" s="68"/>
      <x:c r="T120" s="68"/>
      <x:c r="U120" s="68"/>
      <x:c r="V120" s="68"/>
      <x:c r="W120" s="68"/>
      <x:c r="X120" s="68"/>
      <x:c r="Y120" s="68"/>
      <x:c r="Z120" s="68"/>
      <x:c r="AA120" s="68"/>
      <x:c r="AB120" s="68"/>
      <x:c r="AC120" s="68"/>
      <x:c r="AD120" s="70"/>
      <x:c r="AE120" s="70"/>
      <x:c r="AF120" s="70"/>
      <x:c r="AG120" s="70"/>
      <x:c r="AH120" s="70"/>
      <x:c r="AI120" s="70"/>
      <x:c r="AJ120" s="70"/>
      <x:c r="AK120" s="70"/>
      <x:c r="AL120" s="70"/>
      <x:c r="AM120" s="70"/>
      <x:c r="AN120" s="70"/>
      <x:c r="AO120" s="70"/>
      <x:c r="AP120" s="70"/>
      <x:c r="AQ120" s="70"/>
      <x:c r="AR120" s="70"/>
      <x:c r="AS120" s="70"/>
      <x:c r="AT120" s="72"/>
      <x:c r="AU120" s="72"/>
      <x:c r="AV120" s="72"/>
      <x:c r="AW120" s="72"/>
      <x:c r="AX120" s="72"/>
      <x:c r="AY120" s="72"/>
      <x:c r="AZ120" s="72"/>
      <x:c r="BA120" s="73" t="str">
        <x:f>IF(C120="xiaohongshu",IF(COUNT(AF120,AE120)&lt;2,"",IFERROR(AF120/AE120,"")),"")</x:f>
      </x:c>
      <x:c r="BB120" s="73" t="str">
        <x:f>IF(C120="xiaohongshu",IF(COUNT(AG120,AE120)&lt;2,"",IFERROR(AG120/AE120,"")),"")</x:f>
      </x:c>
      <x:c r="BC120" s="73" t="str">
        <x:f>IF(C120="xiaohongshu",IF(COUNT(AN120,AE120)&lt;2,"",IFERROR(AN120/AE120,"")),"")</x:f>
      </x:c>
      <x:c r="BD120" s="73" t="str">
        <x:f>IF(C120="xiaohongshu",IF(COUNT(AQ120,AE120)&lt;2,"",IFERROR(AQ120/AE120,"")),"")</x:f>
      </x:c>
      <x:c r="BE120" s="73" t="str">
        <x:f>IF(C120="xiaohongshu",IF(COUNT(AI120,AE120)&lt;2,"",IFERROR(AI120/AE120,"")),"")</x:f>
      </x:c>
      <x:c r="BF120" s="73" t="str">
        <x:f>IF(C120="xiaohongshu",IF(OR(COUNT(AE120)=0,COUNT(AR120,AS120)=0),"",IFERROR((AR120+AS120)/AE120,"")),"")</x:f>
      </x:c>
      <x:c r="BG120" s="73" t="str">
        <x:f>IF(C120="x",IF(COUNT(AD120)=0,"",IF(COUNT(AM120)=1,IFERROR(AM120/AD120,""),IF(COUNT(AH120,AI120,AK120,AL120)=0,"",IFERROR(SUM(AH120,AI120,AK120,AL120)/AD120,"")))),"")</x:f>
      </x:c>
      <x:c r="BH120" s="73" t="str">
        <x:f>IF(C120="x",IF(COUNT(AJ120,AD120)&lt;2,"",IFERROR(AJ120/AD120,"")),"")</x:f>
      </x:c>
      <x:c r="BI120" s="73" t="str">
        <x:f>IF(C120="x",IF(COUNT(AO120,AD120)&lt;2,"",IFERROR(AO120/AD120,"")),"")</x:f>
      </x:c>
      <x:c r="BJ120" s="73" t="str">
        <x:f>IF(C120="x",IF(COUNT(AP120,AD120)&lt;2,"",IFERROR(AP120/AD120,"")),"")</x:f>
      </x:c>
      <x:c r="BK120" s="73" t="str">
        <x:f>IF(C120="x",IF(COUNT(AL120,AD120)&lt;2,"",IFERROR(AL120/AD120,"")),"")</x:f>
      </x:c>
      <x:c r="BL120" s="73" t="str">
        <x:f>IF(C120="x",IF(OR(COUNT(AD120)=0,COUNT(AR120,AS120)=0),"",IFERROR((AR120+AS120)/AD120,"")),"")</x:f>
      </x:c>
      <x:c r="BM120" s="73" t="str">
        <x:f>IF(AB120="xhs_save_rate",BA120,IF(AB120="xhs_completion_rate",BB120,IF(AB120="xhs_profile_visit_rate",BC120,IF(AB120="xhs_dm_intent_rate",BD120,IF(AB120="xhs_discussion_rate",BE120,IF(AB120="xhs_product_relevance_rate",BF120,IF(AB120="x_first_screen_engaged_rate_proxy",BG120,IF(AB120="x_qualified_reply_rate",BH120,IF(AB120="x_profile_click_rate",BI120,IF(AB120="x_link_intent_rate",BJ120,IF(AB120="x_bookmark_rate",BK120,IF(AB120="x_product_relevance_rate",BL120,""))))))))))))</x:f>
      </x:c>
      <x:c r="BN120" s="73" t="str">
        <x:f>IFERROR(BM120/AT120-1,"")</x:f>
      </x:c>
      <x:c r="BO120" s="73" t="str">
        <x:f>IF(AC120="","",IF(AC120="xhs_save_rate",BA120,IF(AC120="xhs_completion_rate",BB120,IF(AC120="xhs_profile_visit_rate",BC120,IF(AC120="xhs_dm_intent_rate",BD120,IF(AC120="xhs_discussion_rate",BE120,IF(AC120="xhs_product_relevance_rate",BF120,IF(AC120="x_first_screen_engaged_rate_proxy",BG120,IF(AC120="x_qualified_reply_rate",BH120,IF(AC120="x_profile_click_rate",BI120,IF(AC120="x_link_intent_rate",BJ120,IF(AC120="x_bookmark_rate",BK120,IF(AC120="x_product_relevance_rate",BL120,"")))))))))))))</x:f>
      </x:c>
      <x:c r="BP120" s="73" t="str">
        <x:f>IFERROR(BO120/AU120-1,"")</x:f>
      </x:c>
      <x:c r="BQ120" s="74" t="str">
        <x:f>IF(COUNT(AD120)=0,"",AD120)</x:f>
      </x:c>
      <x:c r="BR120" s="73" t="str">
        <x:f>IF(C120="xiaohongshu",IF(COUNT(BA120,BB120)=2,AVERAGE(BA120,BB120),IF(COUNT(BA120)=1,BA120,BB120)),BK120)</x:f>
      </x:c>
      <x:c r="BS120" s="73" t="str">
        <x:f>IF(C120="xiaohongshu",BE120,BH120)</x:f>
      </x:c>
      <x:c r="BT120" s="73" t="str">
        <x:f>IF(C120="xiaohongshu",IF(I120="save",BA120,IF(I120="discussion",BE120,IF(I120="profile_visit",BC120,IF(I120="dm",BD120,IF(OR(I120="product_question",I120="trial_intent"),BF120,""))))),IF(I120="save",BK120,IF(I120="discussion",BH120,IF(OR(I120="profile_visit",I120="dm"),BI120,IF(I120="link_click",BJ120,IF(OR(I120="product_question",I120="trial_intent"),BL120,""))))))</x:f>
      </x:c>
      <x:c r="BU120" s="73" t="str">
        <x:f>IF(C120="xiaohongshu",BF120,BL120)</x:f>
      </x:c>
      <x:c r="BV120" s="65" t="str">
        <x:f>IF(COUNT(BQ120,AV120)&lt;2,"unknown",IF(BQ120/AV120-1&gt;=0.2,"high",IF(BQ120/AV120-1&lt;=-0.2,"low","normal")))</x:f>
        <x:v>unknown</x:v>
      </x:c>
      <x:c r="BW120" s="65" t="str">
        <x:f>IF(COUNT(BR120,AW120)&lt;2,"unknown",IF(BR120/AW120-1&gt;=0.2,"high",IF(BR120/AW120-1&lt;=-0.2,"low","normal")))</x:f>
        <x:v>unknown</x:v>
      </x:c>
      <x:c r="BX120" s="65" t="str">
        <x:f>IF(COUNT(BS120,AX120)&lt;2,"unknown",IF(BS120/AX120-1&gt;=0.2,"high",IF(BS120/AX120-1&lt;=-0.2,"low","normal")))</x:f>
        <x:v>unknown</x:v>
      </x:c>
      <x:c r="BY120" s="65" t="str">
        <x:f>IF(COUNT(BT120,AY120)&lt;2,"unknown",IF(BT120/AY120-1&gt;=0.2,"high",IF(BT120/AY120-1&lt;=-0.2,"low","normal")))</x:f>
        <x:v>unknown</x:v>
      </x:c>
      <x:c r="BZ120" s="65" t="str">
        <x:f>IF(COUNT(BU120,AZ120)&lt;2,"unknown",IF(BU120/AZ120-1&gt;=0.2,"high",IF(BU120/AZ120-1&lt;=-0.2,"low","normal")))</x:f>
        <x:v>unknown</x:v>
      </x:c>
      <x:c r="CA120" s="65" t="str">
        <x:f>IF(T120&lt;&gt;"complete","pending",IF(OR(L120&lt;&gt;"pure",U120="true",COUNT(BM120,AT120)&lt;2,AND(AC120&lt;&gt;"",COUNT(BO120,AU120)&lt;2)),"not_attributable","attributable"))</x:f>
        <x:v>pending</x:v>
      </x:c>
      <x:c r="CB120" s="65" t="str">
        <x:f>IF(T120&lt;&gt;"complete","not_evaluated",IF(COUNT(BM120,AT120)&lt;2,"insufficient_data",IF(AND(AC120&lt;&gt;"",COUNT(BP120)=1,BP120&lt;=-0.2),"guardrail_fail",IF(AND(CA120="not_attributable",OR(BV120="high",BN120&gt;=0.2)),"watchlist",IF(CA120&lt;&gt;"attributable","insufficient_data",IF(BN120&gt;=0.2,"win",IF(BN120&lt;=-0.2,"loss","inconclusive")))))))</x:f>
        <x:v>not_evaluated</x:v>
      </x:c>
      <x:c r="CC120" s="65" t="str">
        <x:f>IF(T120&lt;&gt;"complete","COLLECT_MORE_DATA",IF(COUNT(BM120,AT120)&lt;2,"FIX_TRACKING",IF(CB120="guardrail_fail","STOP_VARIANT_GUARDRAIL",IF(CB120="watchlist","WATCHLIST_ONLY",IF(AND(BV120="high",BY120="low"),"KEEP_HOOK_REWRITE_CTA",IF(AND(BW120="high",BX120="low"),"KEEP_STRUCTURE_CHANGE_DISCUSSION_ANGLE",IF(AND(BX120="high",BZ120="low"),"DOWNWEIGHT_TEMPLATE",IF(CB120="win","RETEST_WINNER",IF(CB120="loss","RETURN_TO_BASELINE","COLLECT_MORE_DATA")))))))))</x:f>
        <x:v>COLLECT_MORE_DATA</x:v>
      </x:c>
      <x:c r="CD120" s="75"/>
    </x:row>
    <x:row r="121">
      <x:c r="A121" s="68"/>
      <x:c r="B121" s="69"/>
      <x:c r="C121" s="68"/>
      <x:c r="D121" s="68"/>
      <x:c r="E121" s="68"/>
      <x:c r="F121" s="68"/>
      <x:c r="G121" s="68"/>
      <x:c r="H121" s="70"/>
      <x:c r="I121" s="68"/>
      <x:c r="J121" s="68"/>
      <x:c r="K121" s="68"/>
      <x:c r="L121" s="71" t="str">
        <x:f>IF(K121="","unknown",IF(K121=0,"baseline",IF(K121=1,"pure","mixed")))</x:f>
        <x:v>unknown</x:v>
      </x:c>
      <x:c r="M121" s="68"/>
      <x:c r="N121" s="68"/>
      <x:c r="O121" s="68"/>
      <x:c r="P121" s="68"/>
      <x:c r="Q121" s="68"/>
      <x:c r="R121" s="68"/>
      <x:c r="S121" s="68"/>
      <x:c r="T121" s="68"/>
      <x:c r="U121" s="68"/>
      <x:c r="V121" s="68"/>
      <x:c r="W121" s="68"/>
      <x:c r="X121" s="68"/>
      <x:c r="Y121" s="68"/>
      <x:c r="Z121" s="68"/>
      <x:c r="AA121" s="68"/>
      <x:c r="AB121" s="68"/>
      <x:c r="AC121" s="68"/>
      <x:c r="AD121" s="70"/>
      <x:c r="AE121" s="70"/>
      <x:c r="AF121" s="70"/>
      <x:c r="AG121" s="70"/>
      <x:c r="AH121" s="70"/>
      <x:c r="AI121" s="70"/>
      <x:c r="AJ121" s="70"/>
      <x:c r="AK121" s="70"/>
      <x:c r="AL121" s="70"/>
      <x:c r="AM121" s="70"/>
      <x:c r="AN121" s="70"/>
      <x:c r="AO121" s="70"/>
      <x:c r="AP121" s="70"/>
      <x:c r="AQ121" s="70"/>
      <x:c r="AR121" s="70"/>
      <x:c r="AS121" s="70"/>
      <x:c r="AT121" s="72"/>
      <x:c r="AU121" s="72"/>
      <x:c r="AV121" s="72"/>
      <x:c r="AW121" s="72"/>
      <x:c r="AX121" s="72"/>
      <x:c r="AY121" s="72"/>
      <x:c r="AZ121" s="72"/>
      <x:c r="BA121" s="73" t="str">
        <x:f>IF(C121="xiaohongshu",IF(COUNT(AF121,AE121)&lt;2,"",IFERROR(AF121/AE121,"")),"")</x:f>
      </x:c>
      <x:c r="BB121" s="73" t="str">
        <x:f>IF(C121="xiaohongshu",IF(COUNT(AG121,AE121)&lt;2,"",IFERROR(AG121/AE121,"")),"")</x:f>
      </x:c>
      <x:c r="BC121" s="73" t="str">
        <x:f>IF(C121="xiaohongshu",IF(COUNT(AN121,AE121)&lt;2,"",IFERROR(AN121/AE121,"")),"")</x:f>
      </x:c>
      <x:c r="BD121" s="73" t="str">
        <x:f>IF(C121="xiaohongshu",IF(COUNT(AQ121,AE121)&lt;2,"",IFERROR(AQ121/AE121,"")),"")</x:f>
      </x:c>
      <x:c r="BE121" s="73" t="str">
        <x:f>IF(C121="xiaohongshu",IF(COUNT(AI121,AE121)&lt;2,"",IFERROR(AI121/AE121,"")),"")</x:f>
      </x:c>
      <x:c r="BF121" s="73" t="str">
        <x:f>IF(C121="xiaohongshu",IF(OR(COUNT(AE121)=0,COUNT(AR121,AS121)=0),"",IFERROR((AR121+AS121)/AE121,"")),"")</x:f>
      </x:c>
      <x:c r="BG121" s="73" t="str">
        <x:f>IF(C121="x",IF(COUNT(AD121)=0,"",IF(COUNT(AM121)=1,IFERROR(AM121/AD121,""),IF(COUNT(AH121,AI121,AK121,AL121)=0,"",IFERROR(SUM(AH121,AI121,AK121,AL121)/AD121,"")))),"")</x:f>
      </x:c>
      <x:c r="BH121" s="73" t="str">
        <x:f>IF(C121="x",IF(COUNT(AJ121,AD121)&lt;2,"",IFERROR(AJ121/AD121,"")),"")</x:f>
      </x:c>
      <x:c r="BI121" s="73" t="str">
        <x:f>IF(C121="x",IF(COUNT(AO121,AD121)&lt;2,"",IFERROR(AO121/AD121,"")),"")</x:f>
      </x:c>
      <x:c r="BJ121" s="73" t="str">
        <x:f>IF(C121="x",IF(COUNT(AP121,AD121)&lt;2,"",IFERROR(AP121/AD121,"")),"")</x:f>
      </x:c>
      <x:c r="BK121" s="73" t="str">
        <x:f>IF(C121="x",IF(COUNT(AL121,AD121)&lt;2,"",IFERROR(AL121/AD121,"")),"")</x:f>
      </x:c>
      <x:c r="BL121" s="73" t="str">
        <x:f>IF(C121="x",IF(OR(COUNT(AD121)=0,COUNT(AR121,AS121)=0),"",IFERROR((AR121+AS121)/AD121,"")),"")</x:f>
      </x:c>
      <x:c r="BM121" s="73" t="str">
        <x:f>IF(AB121="xhs_save_rate",BA121,IF(AB121="xhs_completion_rate",BB121,IF(AB121="xhs_profile_visit_rate",BC121,IF(AB121="xhs_dm_intent_rate",BD121,IF(AB121="xhs_discussion_rate",BE121,IF(AB121="xhs_product_relevance_rate",BF121,IF(AB121="x_first_screen_engaged_rate_proxy",BG121,IF(AB121="x_qualified_reply_rate",BH121,IF(AB121="x_profile_click_rate",BI121,IF(AB121="x_link_intent_rate",BJ121,IF(AB121="x_bookmark_rate",BK121,IF(AB121="x_product_relevance_rate",BL121,""))))))))))))</x:f>
      </x:c>
      <x:c r="BN121" s="73" t="str">
        <x:f>IFERROR(BM121/AT121-1,"")</x:f>
      </x:c>
      <x:c r="BO121" s="73" t="str">
        <x:f>IF(AC121="","",IF(AC121="xhs_save_rate",BA121,IF(AC121="xhs_completion_rate",BB121,IF(AC121="xhs_profile_visit_rate",BC121,IF(AC121="xhs_dm_intent_rate",BD121,IF(AC121="xhs_discussion_rate",BE121,IF(AC121="xhs_product_relevance_rate",BF121,IF(AC121="x_first_screen_engaged_rate_proxy",BG121,IF(AC121="x_qualified_reply_rate",BH121,IF(AC121="x_profile_click_rate",BI121,IF(AC121="x_link_intent_rate",BJ121,IF(AC121="x_bookmark_rate",BK121,IF(AC121="x_product_relevance_rate",BL121,"")))))))))))))</x:f>
      </x:c>
      <x:c r="BP121" s="73" t="str">
        <x:f>IFERROR(BO121/AU121-1,"")</x:f>
      </x:c>
      <x:c r="BQ121" s="74" t="str">
        <x:f>IF(COUNT(AD121)=0,"",AD121)</x:f>
      </x:c>
      <x:c r="BR121" s="73" t="str">
        <x:f>IF(C121="xiaohongshu",IF(COUNT(BA121,BB121)=2,AVERAGE(BA121,BB121),IF(COUNT(BA121)=1,BA121,BB121)),BK121)</x:f>
      </x:c>
      <x:c r="BS121" s="73" t="str">
        <x:f>IF(C121="xiaohongshu",BE121,BH121)</x:f>
      </x:c>
      <x:c r="BT121" s="73" t="str">
        <x:f>IF(C121="xiaohongshu",IF(I121="save",BA121,IF(I121="discussion",BE121,IF(I121="profile_visit",BC121,IF(I121="dm",BD121,IF(OR(I121="product_question",I121="trial_intent"),BF121,""))))),IF(I121="save",BK121,IF(I121="discussion",BH121,IF(OR(I121="profile_visit",I121="dm"),BI121,IF(I121="link_click",BJ121,IF(OR(I121="product_question",I121="trial_intent"),BL121,""))))))</x:f>
      </x:c>
      <x:c r="BU121" s="73" t="str">
        <x:f>IF(C121="xiaohongshu",BF121,BL121)</x:f>
      </x:c>
      <x:c r="BV121" s="65" t="str">
        <x:f>IF(COUNT(BQ121,AV121)&lt;2,"unknown",IF(BQ121/AV121-1&gt;=0.2,"high",IF(BQ121/AV121-1&lt;=-0.2,"low","normal")))</x:f>
        <x:v>unknown</x:v>
      </x:c>
      <x:c r="BW121" s="65" t="str">
        <x:f>IF(COUNT(BR121,AW121)&lt;2,"unknown",IF(BR121/AW121-1&gt;=0.2,"high",IF(BR121/AW121-1&lt;=-0.2,"low","normal")))</x:f>
        <x:v>unknown</x:v>
      </x:c>
      <x:c r="BX121" s="65" t="str">
        <x:f>IF(COUNT(BS121,AX121)&lt;2,"unknown",IF(BS121/AX121-1&gt;=0.2,"high",IF(BS121/AX121-1&lt;=-0.2,"low","normal")))</x:f>
        <x:v>unknown</x:v>
      </x:c>
      <x:c r="BY121" s="65" t="str">
        <x:f>IF(COUNT(BT121,AY121)&lt;2,"unknown",IF(BT121/AY121-1&gt;=0.2,"high",IF(BT121/AY121-1&lt;=-0.2,"low","normal")))</x:f>
        <x:v>unknown</x:v>
      </x:c>
      <x:c r="BZ121" s="65" t="str">
        <x:f>IF(COUNT(BU121,AZ121)&lt;2,"unknown",IF(BU121/AZ121-1&gt;=0.2,"high",IF(BU121/AZ121-1&lt;=-0.2,"low","normal")))</x:f>
        <x:v>unknown</x:v>
      </x:c>
      <x:c r="CA121" s="65" t="str">
        <x:f>IF(T121&lt;&gt;"complete","pending",IF(OR(L121&lt;&gt;"pure",U121="true",COUNT(BM121,AT121)&lt;2,AND(AC121&lt;&gt;"",COUNT(BO121,AU121)&lt;2)),"not_attributable","attributable"))</x:f>
        <x:v>pending</x:v>
      </x:c>
      <x:c r="CB121" s="65" t="str">
        <x:f>IF(T121&lt;&gt;"complete","not_evaluated",IF(COUNT(BM121,AT121)&lt;2,"insufficient_data",IF(AND(AC121&lt;&gt;"",COUNT(BP121)=1,BP121&lt;=-0.2),"guardrail_fail",IF(AND(CA121="not_attributable",OR(BV121="high",BN121&gt;=0.2)),"watchlist",IF(CA121&lt;&gt;"attributable","insufficient_data",IF(BN121&gt;=0.2,"win",IF(BN121&lt;=-0.2,"loss","inconclusive")))))))</x:f>
        <x:v>not_evaluated</x:v>
      </x:c>
      <x:c r="CC121" s="65" t="str">
        <x:f>IF(T121&lt;&gt;"complete","COLLECT_MORE_DATA",IF(COUNT(BM121,AT121)&lt;2,"FIX_TRACKING",IF(CB121="guardrail_fail","STOP_VARIANT_GUARDRAIL",IF(CB121="watchlist","WATCHLIST_ONLY",IF(AND(BV121="high",BY121="low"),"KEEP_HOOK_REWRITE_CTA",IF(AND(BW121="high",BX121="low"),"KEEP_STRUCTURE_CHANGE_DISCUSSION_ANGLE",IF(AND(BX121="high",BZ121="low"),"DOWNWEIGHT_TEMPLATE",IF(CB121="win","RETEST_WINNER",IF(CB121="loss","RETURN_TO_BASELINE","COLLECT_MORE_DATA")))))))))</x:f>
        <x:v>COLLECT_MORE_DATA</x:v>
      </x:c>
      <x:c r="CD121" s="75"/>
    </x:row>
    <x:row r="122">
      <x:c r="A122" s="68"/>
      <x:c r="B122" s="69"/>
      <x:c r="C122" s="68"/>
      <x:c r="D122" s="68"/>
      <x:c r="E122" s="68"/>
      <x:c r="F122" s="68"/>
      <x:c r="G122" s="68"/>
      <x:c r="H122" s="70"/>
      <x:c r="I122" s="68"/>
      <x:c r="J122" s="68"/>
      <x:c r="K122" s="68"/>
      <x:c r="L122" s="71" t="str">
        <x:f>IF(K122="","unknown",IF(K122=0,"baseline",IF(K122=1,"pure","mixed")))</x:f>
        <x:v>unknown</x:v>
      </x:c>
      <x:c r="M122" s="68"/>
      <x:c r="N122" s="68"/>
      <x:c r="O122" s="68"/>
      <x:c r="P122" s="68"/>
      <x:c r="Q122" s="68"/>
      <x:c r="R122" s="68"/>
      <x:c r="S122" s="68"/>
      <x:c r="T122" s="68"/>
      <x:c r="U122" s="68"/>
      <x:c r="V122" s="68"/>
      <x:c r="W122" s="68"/>
      <x:c r="X122" s="68"/>
      <x:c r="Y122" s="68"/>
      <x:c r="Z122" s="68"/>
      <x:c r="AA122" s="68"/>
      <x:c r="AB122" s="68"/>
      <x:c r="AC122" s="68"/>
      <x:c r="AD122" s="70"/>
      <x:c r="AE122" s="70"/>
      <x:c r="AF122" s="70"/>
      <x:c r="AG122" s="70"/>
      <x:c r="AH122" s="70"/>
      <x:c r="AI122" s="70"/>
      <x:c r="AJ122" s="70"/>
      <x:c r="AK122" s="70"/>
      <x:c r="AL122" s="70"/>
      <x:c r="AM122" s="70"/>
      <x:c r="AN122" s="70"/>
      <x:c r="AO122" s="70"/>
      <x:c r="AP122" s="70"/>
      <x:c r="AQ122" s="70"/>
      <x:c r="AR122" s="70"/>
      <x:c r="AS122" s="70"/>
      <x:c r="AT122" s="72"/>
      <x:c r="AU122" s="72"/>
      <x:c r="AV122" s="72"/>
      <x:c r="AW122" s="72"/>
      <x:c r="AX122" s="72"/>
      <x:c r="AY122" s="72"/>
      <x:c r="AZ122" s="72"/>
      <x:c r="BA122" s="73" t="str">
        <x:f>IF(C122="xiaohongshu",IF(COUNT(AF122,AE122)&lt;2,"",IFERROR(AF122/AE122,"")),"")</x:f>
      </x:c>
      <x:c r="BB122" s="73" t="str">
        <x:f>IF(C122="xiaohongshu",IF(COUNT(AG122,AE122)&lt;2,"",IFERROR(AG122/AE122,"")),"")</x:f>
      </x:c>
      <x:c r="BC122" s="73" t="str">
        <x:f>IF(C122="xiaohongshu",IF(COUNT(AN122,AE122)&lt;2,"",IFERROR(AN122/AE122,"")),"")</x:f>
      </x:c>
      <x:c r="BD122" s="73" t="str">
        <x:f>IF(C122="xiaohongshu",IF(COUNT(AQ122,AE122)&lt;2,"",IFERROR(AQ122/AE122,"")),"")</x:f>
      </x:c>
      <x:c r="BE122" s="73" t="str">
        <x:f>IF(C122="xiaohongshu",IF(COUNT(AI122,AE122)&lt;2,"",IFERROR(AI122/AE122,"")),"")</x:f>
      </x:c>
      <x:c r="BF122" s="73" t="str">
        <x:f>IF(C122="xiaohongshu",IF(OR(COUNT(AE122)=0,COUNT(AR122,AS122)=0),"",IFERROR((AR122+AS122)/AE122,"")),"")</x:f>
      </x:c>
      <x:c r="BG122" s="73" t="str">
        <x:f>IF(C122="x",IF(COUNT(AD122)=0,"",IF(COUNT(AM122)=1,IFERROR(AM122/AD122,""),IF(COUNT(AH122,AI122,AK122,AL122)=0,"",IFERROR(SUM(AH122,AI122,AK122,AL122)/AD122,"")))),"")</x:f>
      </x:c>
      <x:c r="BH122" s="73" t="str">
        <x:f>IF(C122="x",IF(COUNT(AJ122,AD122)&lt;2,"",IFERROR(AJ122/AD122,"")),"")</x:f>
      </x:c>
      <x:c r="BI122" s="73" t="str">
        <x:f>IF(C122="x",IF(COUNT(AO122,AD122)&lt;2,"",IFERROR(AO122/AD122,"")),"")</x:f>
      </x:c>
      <x:c r="BJ122" s="73" t="str">
        <x:f>IF(C122="x",IF(COUNT(AP122,AD122)&lt;2,"",IFERROR(AP122/AD122,"")),"")</x:f>
      </x:c>
      <x:c r="BK122" s="73" t="str">
        <x:f>IF(C122="x",IF(COUNT(AL122,AD122)&lt;2,"",IFERROR(AL122/AD122,"")),"")</x:f>
      </x:c>
      <x:c r="BL122" s="73" t="str">
        <x:f>IF(C122="x",IF(OR(COUNT(AD122)=0,COUNT(AR122,AS122)=0),"",IFERROR((AR122+AS122)/AD122,"")),"")</x:f>
      </x:c>
      <x:c r="BM122" s="73" t="str">
        <x:f>IF(AB122="xhs_save_rate",BA122,IF(AB122="xhs_completion_rate",BB122,IF(AB122="xhs_profile_visit_rate",BC122,IF(AB122="xhs_dm_intent_rate",BD122,IF(AB122="xhs_discussion_rate",BE122,IF(AB122="xhs_product_relevance_rate",BF122,IF(AB122="x_first_screen_engaged_rate_proxy",BG122,IF(AB122="x_qualified_reply_rate",BH122,IF(AB122="x_profile_click_rate",BI122,IF(AB122="x_link_intent_rate",BJ122,IF(AB122="x_bookmark_rate",BK122,IF(AB122="x_product_relevance_rate",BL122,""))))))))))))</x:f>
      </x:c>
      <x:c r="BN122" s="73" t="str">
        <x:f>IFERROR(BM122/AT122-1,"")</x:f>
      </x:c>
      <x:c r="BO122" s="73" t="str">
        <x:f>IF(AC122="","",IF(AC122="xhs_save_rate",BA122,IF(AC122="xhs_completion_rate",BB122,IF(AC122="xhs_profile_visit_rate",BC122,IF(AC122="xhs_dm_intent_rate",BD122,IF(AC122="xhs_discussion_rate",BE122,IF(AC122="xhs_product_relevance_rate",BF122,IF(AC122="x_first_screen_engaged_rate_proxy",BG122,IF(AC122="x_qualified_reply_rate",BH122,IF(AC122="x_profile_click_rate",BI122,IF(AC122="x_link_intent_rate",BJ122,IF(AC122="x_bookmark_rate",BK122,IF(AC122="x_product_relevance_rate",BL122,"")))))))))))))</x:f>
      </x:c>
      <x:c r="BP122" s="73" t="str">
        <x:f>IFERROR(BO122/AU122-1,"")</x:f>
      </x:c>
      <x:c r="BQ122" s="74" t="str">
        <x:f>IF(COUNT(AD122)=0,"",AD122)</x:f>
      </x:c>
      <x:c r="BR122" s="73" t="str">
        <x:f>IF(C122="xiaohongshu",IF(COUNT(BA122,BB122)=2,AVERAGE(BA122,BB122),IF(COUNT(BA122)=1,BA122,BB122)),BK122)</x:f>
      </x:c>
      <x:c r="BS122" s="73" t="str">
        <x:f>IF(C122="xiaohongshu",BE122,BH122)</x:f>
      </x:c>
      <x:c r="BT122" s="73" t="str">
        <x:f>IF(C122="xiaohongshu",IF(I122="save",BA122,IF(I122="discussion",BE122,IF(I122="profile_visit",BC122,IF(I122="dm",BD122,IF(OR(I122="product_question",I122="trial_intent"),BF122,""))))),IF(I122="save",BK122,IF(I122="discussion",BH122,IF(OR(I122="profile_visit",I122="dm"),BI122,IF(I122="link_click",BJ122,IF(OR(I122="product_question",I122="trial_intent"),BL122,""))))))</x:f>
      </x:c>
      <x:c r="BU122" s="73" t="str">
        <x:f>IF(C122="xiaohongshu",BF122,BL122)</x:f>
      </x:c>
      <x:c r="BV122" s="65" t="str">
        <x:f>IF(COUNT(BQ122,AV122)&lt;2,"unknown",IF(BQ122/AV122-1&gt;=0.2,"high",IF(BQ122/AV122-1&lt;=-0.2,"low","normal")))</x:f>
        <x:v>unknown</x:v>
      </x:c>
      <x:c r="BW122" s="65" t="str">
        <x:f>IF(COUNT(BR122,AW122)&lt;2,"unknown",IF(BR122/AW122-1&gt;=0.2,"high",IF(BR122/AW122-1&lt;=-0.2,"low","normal")))</x:f>
        <x:v>unknown</x:v>
      </x:c>
      <x:c r="BX122" s="65" t="str">
        <x:f>IF(COUNT(BS122,AX122)&lt;2,"unknown",IF(BS122/AX122-1&gt;=0.2,"high",IF(BS122/AX122-1&lt;=-0.2,"low","normal")))</x:f>
        <x:v>unknown</x:v>
      </x:c>
      <x:c r="BY122" s="65" t="str">
        <x:f>IF(COUNT(BT122,AY122)&lt;2,"unknown",IF(BT122/AY122-1&gt;=0.2,"high",IF(BT122/AY122-1&lt;=-0.2,"low","normal")))</x:f>
        <x:v>unknown</x:v>
      </x:c>
      <x:c r="BZ122" s="65" t="str">
        <x:f>IF(COUNT(BU122,AZ122)&lt;2,"unknown",IF(BU122/AZ122-1&gt;=0.2,"high",IF(BU122/AZ122-1&lt;=-0.2,"low","normal")))</x:f>
        <x:v>unknown</x:v>
      </x:c>
      <x:c r="CA122" s="65" t="str">
        <x:f>IF(T122&lt;&gt;"complete","pending",IF(OR(L122&lt;&gt;"pure",U122="true",COUNT(BM122,AT122)&lt;2,AND(AC122&lt;&gt;"",COUNT(BO122,AU122)&lt;2)),"not_attributable","attributable"))</x:f>
        <x:v>pending</x:v>
      </x:c>
      <x:c r="CB122" s="65" t="str">
        <x:f>IF(T122&lt;&gt;"complete","not_evaluated",IF(COUNT(BM122,AT122)&lt;2,"insufficient_data",IF(AND(AC122&lt;&gt;"",COUNT(BP122)=1,BP122&lt;=-0.2),"guardrail_fail",IF(AND(CA122="not_attributable",OR(BV122="high",BN122&gt;=0.2)),"watchlist",IF(CA122&lt;&gt;"attributable","insufficient_data",IF(BN122&gt;=0.2,"win",IF(BN122&lt;=-0.2,"loss","inconclusive")))))))</x:f>
        <x:v>not_evaluated</x:v>
      </x:c>
      <x:c r="CC122" s="65" t="str">
        <x:f>IF(T122&lt;&gt;"complete","COLLECT_MORE_DATA",IF(COUNT(BM122,AT122)&lt;2,"FIX_TRACKING",IF(CB122="guardrail_fail","STOP_VARIANT_GUARDRAIL",IF(CB122="watchlist","WATCHLIST_ONLY",IF(AND(BV122="high",BY122="low"),"KEEP_HOOK_REWRITE_CTA",IF(AND(BW122="high",BX122="low"),"KEEP_STRUCTURE_CHANGE_DISCUSSION_ANGLE",IF(AND(BX122="high",BZ122="low"),"DOWNWEIGHT_TEMPLATE",IF(CB122="win","RETEST_WINNER",IF(CB122="loss","RETURN_TO_BASELINE","COLLECT_MORE_DATA")))))))))</x:f>
        <x:v>COLLECT_MORE_DATA</x:v>
      </x:c>
      <x:c r="CD122" s="75"/>
    </x:row>
    <x:row r="123">
      <x:c r="A123" s="68"/>
      <x:c r="B123" s="69"/>
      <x:c r="C123" s="68"/>
      <x:c r="D123" s="68"/>
      <x:c r="E123" s="68"/>
      <x:c r="F123" s="68"/>
      <x:c r="G123" s="68"/>
      <x:c r="H123" s="70"/>
      <x:c r="I123" s="68"/>
      <x:c r="J123" s="68"/>
      <x:c r="K123" s="68"/>
      <x:c r="L123" s="71" t="str">
        <x:f>IF(K123="","unknown",IF(K123=0,"baseline",IF(K123=1,"pure","mixed")))</x:f>
        <x:v>unknown</x:v>
      </x:c>
      <x:c r="M123" s="68"/>
      <x:c r="N123" s="68"/>
      <x:c r="O123" s="68"/>
      <x:c r="P123" s="68"/>
      <x:c r="Q123" s="68"/>
      <x:c r="R123" s="68"/>
      <x:c r="S123" s="68"/>
      <x:c r="T123" s="68"/>
      <x:c r="U123" s="68"/>
      <x:c r="V123" s="68"/>
      <x:c r="W123" s="68"/>
      <x:c r="X123" s="68"/>
      <x:c r="Y123" s="68"/>
      <x:c r="Z123" s="68"/>
      <x:c r="AA123" s="68"/>
      <x:c r="AB123" s="68"/>
      <x:c r="AC123" s="68"/>
      <x:c r="AD123" s="70"/>
      <x:c r="AE123" s="70"/>
      <x:c r="AF123" s="70"/>
      <x:c r="AG123" s="70"/>
      <x:c r="AH123" s="70"/>
      <x:c r="AI123" s="70"/>
      <x:c r="AJ123" s="70"/>
      <x:c r="AK123" s="70"/>
      <x:c r="AL123" s="70"/>
      <x:c r="AM123" s="70"/>
      <x:c r="AN123" s="70"/>
      <x:c r="AO123" s="70"/>
      <x:c r="AP123" s="70"/>
      <x:c r="AQ123" s="70"/>
      <x:c r="AR123" s="70"/>
      <x:c r="AS123" s="70"/>
      <x:c r="AT123" s="72"/>
      <x:c r="AU123" s="72"/>
      <x:c r="AV123" s="72"/>
      <x:c r="AW123" s="72"/>
      <x:c r="AX123" s="72"/>
      <x:c r="AY123" s="72"/>
      <x:c r="AZ123" s="72"/>
      <x:c r="BA123" s="73" t="str">
        <x:f>IF(C123="xiaohongshu",IF(COUNT(AF123,AE123)&lt;2,"",IFERROR(AF123/AE123,"")),"")</x:f>
      </x:c>
      <x:c r="BB123" s="73" t="str">
        <x:f>IF(C123="xiaohongshu",IF(COUNT(AG123,AE123)&lt;2,"",IFERROR(AG123/AE123,"")),"")</x:f>
      </x:c>
      <x:c r="BC123" s="73" t="str">
        <x:f>IF(C123="xiaohongshu",IF(COUNT(AN123,AE123)&lt;2,"",IFERROR(AN123/AE123,"")),"")</x:f>
      </x:c>
      <x:c r="BD123" s="73" t="str">
        <x:f>IF(C123="xiaohongshu",IF(COUNT(AQ123,AE123)&lt;2,"",IFERROR(AQ123/AE123,"")),"")</x:f>
      </x:c>
      <x:c r="BE123" s="73" t="str">
        <x:f>IF(C123="xiaohongshu",IF(COUNT(AI123,AE123)&lt;2,"",IFERROR(AI123/AE123,"")),"")</x:f>
      </x:c>
      <x:c r="BF123" s="73" t="str">
        <x:f>IF(C123="xiaohongshu",IF(OR(COUNT(AE123)=0,COUNT(AR123,AS123)=0),"",IFERROR((AR123+AS123)/AE123,"")),"")</x:f>
      </x:c>
      <x:c r="BG123" s="73" t="str">
        <x:f>IF(C123="x",IF(COUNT(AD123)=0,"",IF(COUNT(AM123)=1,IFERROR(AM123/AD123,""),IF(COUNT(AH123,AI123,AK123,AL123)=0,"",IFERROR(SUM(AH123,AI123,AK123,AL123)/AD123,"")))),"")</x:f>
      </x:c>
      <x:c r="BH123" s="73" t="str">
        <x:f>IF(C123="x",IF(COUNT(AJ123,AD123)&lt;2,"",IFERROR(AJ123/AD123,"")),"")</x:f>
      </x:c>
      <x:c r="BI123" s="73" t="str">
        <x:f>IF(C123="x",IF(COUNT(AO123,AD123)&lt;2,"",IFERROR(AO123/AD123,"")),"")</x:f>
      </x:c>
      <x:c r="BJ123" s="73" t="str">
        <x:f>IF(C123="x",IF(COUNT(AP123,AD123)&lt;2,"",IFERROR(AP123/AD123,"")),"")</x:f>
      </x:c>
      <x:c r="BK123" s="73" t="str">
        <x:f>IF(C123="x",IF(COUNT(AL123,AD123)&lt;2,"",IFERROR(AL123/AD123,"")),"")</x:f>
      </x:c>
      <x:c r="BL123" s="73" t="str">
        <x:f>IF(C123="x",IF(OR(COUNT(AD123)=0,COUNT(AR123,AS123)=0),"",IFERROR((AR123+AS123)/AD123,"")),"")</x:f>
      </x:c>
      <x:c r="BM123" s="73" t="str">
        <x:f>IF(AB123="xhs_save_rate",BA123,IF(AB123="xhs_completion_rate",BB123,IF(AB123="xhs_profile_visit_rate",BC123,IF(AB123="xhs_dm_intent_rate",BD123,IF(AB123="xhs_discussion_rate",BE123,IF(AB123="xhs_product_relevance_rate",BF123,IF(AB123="x_first_screen_engaged_rate_proxy",BG123,IF(AB123="x_qualified_reply_rate",BH123,IF(AB123="x_profile_click_rate",BI123,IF(AB123="x_link_intent_rate",BJ123,IF(AB123="x_bookmark_rate",BK123,IF(AB123="x_product_relevance_rate",BL123,""))))))))))))</x:f>
      </x:c>
      <x:c r="BN123" s="73" t="str">
        <x:f>IFERROR(BM123/AT123-1,"")</x:f>
      </x:c>
      <x:c r="BO123" s="73" t="str">
        <x:f>IF(AC123="","",IF(AC123="xhs_save_rate",BA123,IF(AC123="xhs_completion_rate",BB123,IF(AC123="xhs_profile_visit_rate",BC123,IF(AC123="xhs_dm_intent_rate",BD123,IF(AC123="xhs_discussion_rate",BE123,IF(AC123="xhs_product_relevance_rate",BF123,IF(AC123="x_first_screen_engaged_rate_proxy",BG123,IF(AC123="x_qualified_reply_rate",BH123,IF(AC123="x_profile_click_rate",BI123,IF(AC123="x_link_intent_rate",BJ123,IF(AC123="x_bookmark_rate",BK123,IF(AC123="x_product_relevance_rate",BL123,"")))))))))))))</x:f>
      </x:c>
      <x:c r="BP123" s="73" t="str">
        <x:f>IFERROR(BO123/AU123-1,"")</x:f>
      </x:c>
      <x:c r="BQ123" s="74" t="str">
        <x:f>IF(COUNT(AD123)=0,"",AD123)</x:f>
      </x:c>
      <x:c r="BR123" s="73" t="str">
        <x:f>IF(C123="xiaohongshu",IF(COUNT(BA123,BB123)=2,AVERAGE(BA123,BB123),IF(COUNT(BA123)=1,BA123,BB123)),BK123)</x:f>
      </x:c>
      <x:c r="BS123" s="73" t="str">
        <x:f>IF(C123="xiaohongshu",BE123,BH123)</x:f>
      </x:c>
      <x:c r="BT123" s="73" t="str">
        <x:f>IF(C123="xiaohongshu",IF(I123="save",BA123,IF(I123="discussion",BE123,IF(I123="profile_visit",BC123,IF(I123="dm",BD123,IF(OR(I123="product_question",I123="trial_intent"),BF123,""))))),IF(I123="save",BK123,IF(I123="discussion",BH123,IF(OR(I123="profile_visit",I123="dm"),BI123,IF(I123="link_click",BJ123,IF(OR(I123="product_question",I123="trial_intent"),BL123,""))))))</x:f>
      </x:c>
      <x:c r="BU123" s="73" t="str">
        <x:f>IF(C123="xiaohongshu",BF123,BL123)</x:f>
      </x:c>
      <x:c r="BV123" s="65" t="str">
        <x:f>IF(COUNT(BQ123,AV123)&lt;2,"unknown",IF(BQ123/AV123-1&gt;=0.2,"high",IF(BQ123/AV123-1&lt;=-0.2,"low","normal")))</x:f>
        <x:v>unknown</x:v>
      </x:c>
      <x:c r="BW123" s="65" t="str">
        <x:f>IF(COUNT(BR123,AW123)&lt;2,"unknown",IF(BR123/AW123-1&gt;=0.2,"high",IF(BR123/AW123-1&lt;=-0.2,"low","normal")))</x:f>
        <x:v>unknown</x:v>
      </x:c>
      <x:c r="BX123" s="65" t="str">
        <x:f>IF(COUNT(BS123,AX123)&lt;2,"unknown",IF(BS123/AX123-1&gt;=0.2,"high",IF(BS123/AX123-1&lt;=-0.2,"low","normal")))</x:f>
        <x:v>unknown</x:v>
      </x:c>
      <x:c r="BY123" s="65" t="str">
        <x:f>IF(COUNT(BT123,AY123)&lt;2,"unknown",IF(BT123/AY123-1&gt;=0.2,"high",IF(BT123/AY123-1&lt;=-0.2,"low","normal")))</x:f>
        <x:v>unknown</x:v>
      </x:c>
      <x:c r="BZ123" s="65" t="str">
        <x:f>IF(COUNT(BU123,AZ123)&lt;2,"unknown",IF(BU123/AZ123-1&gt;=0.2,"high",IF(BU123/AZ123-1&lt;=-0.2,"low","normal")))</x:f>
        <x:v>unknown</x:v>
      </x:c>
      <x:c r="CA123" s="65" t="str">
        <x:f>IF(T123&lt;&gt;"complete","pending",IF(OR(L123&lt;&gt;"pure",U123="true",COUNT(BM123,AT123)&lt;2,AND(AC123&lt;&gt;"",COUNT(BO123,AU123)&lt;2)),"not_attributable","attributable"))</x:f>
        <x:v>pending</x:v>
      </x:c>
      <x:c r="CB123" s="65" t="str">
        <x:f>IF(T123&lt;&gt;"complete","not_evaluated",IF(COUNT(BM123,AT123)&lt;2,"insufficient_data",IF(AND(AC123&lt;&gt;"",COUNT(BP123)=1,BP123&lt;=-0.2),"guardrail_fail",IF(AND(CA123="not_attributable",OR(BV123="high",BN123&gt;=0.2)),"watchlist",IF(CA123&lt;&gt;"attributable","insufficient_data",IF(BN123&gt;=0.2,"win",IF(BN123&lt;=-0.2,"loss","inconclusive")))))))</x:f>
        <x:v>not_evaluated</x:v>
      </x:c>
      <x:c r="CC123" s="65" t="str">
        <x:f>IF(T123&lt;&gt;"complete","COLLECT_MORE_DATA",IF(COUNT(BM123,AT123)&lt;2,"FIX_TRACKING",IF(CB123="guardrail_fail","STOP_VARIANT_GUARDRAIL",IF(CB123="watchlist","WATCHLIST_ONLY",IF(AND(BV123="high",BY123="low"),"KEEP_HOOK_REWRITE_CTA",IF(AND(BW123="high",BX123="low"),"KEEP_STRUCTURE_CHANGE_DISCUSSION_ANGLE",IF(AND(BX123="high",BZ123="low"),"DOWNWEIGHT_TEMPLATE",IF(CB123="win","RETEST_WINNER",IF(CB123="loss","RETURN_TO_BASELINE","COLLECT_MORE_DATA")))))))))</x:f>
        <x:v>COLLECT_MORE_DATA</x:v>
      </x:c>
      <x:c r="CD123" s="75"/>
    </x:row>
    <x:row r="124">
      <x:c r="A124" s="68"/>
      <x:c r="B124" s="69"/>
      <x:c r="C124" s="68"/>
      <x:c r="D124" s="68"/>
      <x:c r="E124" s="68"/>
      <x:c r="F124" s="68"/>
      <x:c r="G124" s="68"/>
      <x:c r="H124" s="70"/>
      <x:c r="I124" s="68"/>
      <x:c r="J124" s="68"/>
      <x:c r="K124" s="68"/>
      <x:c r="L124" s="71" t="str">
        <x:f>IF(K124="","unknown",IF(K124=0,"baseline",IF(K124=1,"pure","mixed")))</x:f>
        <x:v>unknown</x:v>
      </x:c>
      <x:c r="M124" s="68"/>
      <x:c r="N124" s="68"/>
      <x:c r="O124" s="68"/>
      <x:c r="P124" s="68"/>
      <x:c r="Q124" s="68"/>
      <x:c r="R124" s="68"/>
      <x:c r="S124" s="68"/>
      <x:c r="T124" s="68"/>
      <x:c r="U124" s="68"/>
      <x:c r="V124" s="68"/>
      <x:c r="W124" s="68"/>
      <x:c r="X124" s="68"/>
      <x:c r="Y124" s="68"/>
      <x:c r="Z124" s="68"/>
      <x:c r="AA124" s="68"/>
      <x:c r="AB124" s="68"/>
      <x:c r="AC124" s="68"/>
      <x:c r="AD124" s="70"/>
      <x:c r="AE124" s="70"/>
      <x:c r="AF124" s="70"/>
      <x:c r="AG124" s="70"/>
      <x:c r="AH124" s="70"/>
      <x:c r="AI124" s="70"/>
      <x:c r="AJ124" s="70"/>
      <x:c r="AK124" s="70"/>
      <x:c r="AL124" s="70"/>
      <x:c r="AM124" s="70"/>
      <x:c r="AN124" s="70"/>
      <x:c r="AO124" s="70"/>
      <x:c r="AP124" s="70"/>
      <x:c r="AQ124" s="70"/>
      <x:c r="AR124" s="70"/>
      <x:c r="AS124" s="70"/>
      <x:c r="AT124" s="72"/>
      <x:c r="AU124" s="72"/>
      <x:c r="AV124" s="72"/>
      <x:c r="AW124" s="72"/>
      <x:c r="AX124" s="72"/>
      <x:c r="AY124" s="72"/>
      <x:c r="AZ124" s="72"/>
      <x:c r="BA124" s="73" t="str">
        <x:f>IF(C124="xiaohongshu",IF(COUNT(AF124,AE124)&lt;2,"",IFERROR(AF124/AE124,"")),"")</x:f>
      </x:c>
      <x:c r="BB124" s="73" t="str">
        <x:f>IF(C124="xiaohongshu",IF(COUNT(AG124,AE124)&lt;2,"",IFERROR(AG124/AE124,"")),"")</x:f>
      </x:c>
      <x:c r="BC124" s="73" t="str">
        <x:f>IF(C124="xiaohongshu",IF(COUNT(AN124,AE124)&lt;2,"",IFERROR(AN124/AE124,"")),"")</x:f>
      </x:c>
      <x:c r="BD124" s="73" t="str">
        <x:f>IF(C124="xiaohongshu",IF(COUNT(AQ124,AE124)&lt;2,"",IFERROR(AQ124/AE124,"")),"")</x:f>
      </x:c>
      <x:c r="BE124" s="73" t="str">
        <x:f>IF(C124="xiaohongshu",IF(COUNT(AI124,AE124)&lt;2,"",IFERROR(AI124/AE124,"")),"")</x:f>
      </x:c>
      <x:c r="BF124" s="73" t="str">
        <x:f>IF(C124="xiaohongshu",IF(OR(COUNT(AE124)=0,COUNT(AR124,AS124)=0),"",IFERROR((AR124+AS124)/AE124,"")),"")</x:f>
      </x:c>
      <x:c r="BG124" s="73" t="str">
        <x:f>IF(C124="x",IF(COUNT(AD124)=0,"",IF(COUNT(AM124)=1,IFERROR(AM124/AD124,""),IF(COUNT(AH124,AI124,AK124,AL124)=0,"",IFERROR(SUM(AH124,AI124,AK124,AL124)/AD124,"")))),"")</x:f>
      </x:c>
      <x:c r="BH124" s="73" t="str">
        <x:f>IF(C124="x",IF(COUNT(AJ124,AD124)&lt;2,"",IFERROR(AJ124/AD124,"")),"")</x:f>
      </x:c>
      <x:c r="BI124" s="73" t="str">
        <x:f>IF(C124="x",IF(COUNT(AO124,AD124)&lt;2,"",IFERROR(AO124/AD124,"")),"")</x:f>
      </x:c>
      <x:c r="BJ124" s="73" t="str">
        <x:f>IF(C124="x",IF(COUNT(AP124,AD124)&lt;2,"",IFERROR(AP124/AD124,"")),"")</x:f>
      </x:c>
      <x:c r="BK124" s="73" t="str">
        <x:f>IF(C124="x",IF(COUNT(AL124,AD124)&lt;2,"",IFERROR(AL124/AD124,"")),"")</x:f>
      </x:c>
      <x:c r="BL124" s="73" t="str">
        <x:f>IF(C124="x",IF(OR(COUNT(AD124)=0,COUNT(AR124,AS124)=0),"",IFERROR((AR124+AS124)/AD124,"")),"")</x:f>
      </x:c>
      <x:c r="BM124" s="73" t="str">
        <x:f>IF(AB124="xhs_save_rate",BA124,IF(AB124="xhs_completion_rate",BB124,IF(AB124="xhs_profile_visit_rate",BC124,IF(AB124="xhs_dm_intent_rate",BD124,IF(AB124="xhs_discussion_rate",BE124,IF(AB124="xhs_product_relevance_rate",BF124,IF(AB124="x_first_screen_engaged_rate_proxy",BG124,IF(AB124="x_qualified_reply_rate",BH124,IF(AB124="x_profile_click_rate",BI124,IF(AB124="x_link_intent_rate",BJ124,IF(AB124="x_bookmark_rate",BK124,IF(AB124="x_product_relevance_rate",BL124,""))))))))))))</x:f>
      </x:c>
      <x:c r="BN124" s="73" t="str">
        <x:f>IFERROR(BM124/AT124-1,"")</x:f>
      </x:c>
      <x:c r="BO124" s="73" t="str">
        <x:f>IF(AC124="","",IF(AC124="xhs_save_rate",BA124,IF(AC124="xhs_completion_rate",BB124,IF(AC124="xhs_profile_visit_rate",BC124,IF(AC124="xhs_dm_intent_rate",BD124,IF(AC124="xhs_discussion_rate",BE124,IF(AC124="xhs_product_relevance_rate",BF124,IF(AC124="x_first_screen_engaged_rate_proxy",BG124,IF(AC124="x_qualified_reply_rate",BH124,IF(AC124="x_profile_click_rate",BI124,IF(AC124="x_link_intent_rate",BJ124,IF(AC124="x_bookmark_rate",BK124,IF(AC124="x_product_relevance_rate",BL124,"")))))))))))))</x:f>
      </x:c>
      <x:c r="BP124" s="73" t="str">
        <x:f>IFERROR(BO124/AU124-1,"")</x:f>
      </x:c>
      <x:c r="BQ124" s="74" t="str">
        <x:f>IF(COUNT(AD124)=0,"",AD124)</x:f>
      </x:c>
      <x:c r="BR124" s="73" t="str">
        <x:f>IF(C124="xiaohongshu",IF(COUNT(BA124,BB124)=2,AVERAGE(BA124,BB124),IF(COUNT(BA124)=1,BA124,BB124)),BK124)</x:f>
      </x:c>
      <x:c r="BS124" s="73" t="str">
        <x:f>IF(C124="xiaohongshu",BE124,BH124)</x:f>
      </x:c>
      <x:c r="BT124" s="73" t="str">
        <x:f>IF(C124="xiaohongshu",IF(I124="save",BA124,IF(I124="discussion",BE124,IF(I124="profile_visit",BC124,IF(I124="dm",BD124,IF(OR(I124="product_question",I124="trial_intent"),BF124,""))))),IF(I124="save",BK124,IF(I124="discussion",BH124,IF(OR(I124="profile_visit",I124="dm"),BI124,IF(I124="link_click",BJ124,IF(OR(I124="product_question",I124="trial_intent"),BL124,""))))))</x:f>
      </x:c>
      <x:c r="BU124" s="73" t="str">
        <x:f>IF(C124="xiaohongshu",BF124,BL124)</x:f>
      </x:c>
      <x:c r="BV124" s="65" t="str">
        <x:f>IF(COUNT(BQ124,AV124)&lt;2,"unknown",IF(BQ124/AV124-1&gt;=0.2,"high",IF(BQ124/AV124-1&lt;=-0.2,"low","normal")))</x:f>
        <x:v>unknown</x:v>
      </x:c>
      <x:c r="BW124" s="65" t="str">
        <x:f>IF(COUNT(BR124,AW124)&lt;2,"unknown",IF(BR124/AW124-1&gt;=0.2,"high",IF(BR124/AW124-1&lt;=-0.2,"low","normal")))</x:f>
        <x:v>unknown</x:v>
      </x:c>
      <x:c r="BX124" s="65" t="str">
        <x:f>IF(COUNT(BS124,AX124)&lt;2,"unknown",IF(BS124/AX124-1&gt;=0.2,"high",IF(BS124/AX124-1&lt;=-0.2,"low","normal")))</x:f>
        <x:v>unknown</x:v>
      </x:c>
      <x:c r="BY124" s="65" t="str">
        <x:f>IF(COUNT(BT124,AY124)&lt;2,"unknown",IF(BT124/AY124-1&gt;=0.2,"high",IF(BT124/AY124-1&lt;=-0.2,"low","normal")))</x:f>
        <x:v>unknown</x:v>
      </x:c>
      <x:c r="BZ124" s="65" t="str">
        <x:f>IF(COUNT(BU124,AZ124)&lt;2,"unknown",IF(BU124/AZ124-1&gt;=0.2,"high",IF(BU124/AZ124-1&lt;=-0.2,"low","normal")))</x:f>
        <x:v>unknown</x:v>
      </x:c>
      <x:c r="CA124" s="65" t="str">
        <x:f>IF(T124&lt;&gt;"complete","pending",IF(OR(L124&lt;&gt;"pure",U124="true",COUNT(BM124,AT124)&lt;2,AND(AC124&lt;&gt;"",COUNT(BO124,AU124)&lt;2)),"not_attributable","attributable"))</x:f>
        <x:v>pending</x:v>
      </x:c>
      <x:c r="CB124" s="65" t="str">
        <x:f>IF(T124&lt;&gt;"complete","not_evaluated",IF(COUNT(BM124,AT124)&lt;2,"insufficient_data",IF(AND(AC124&lt;&gt;"",COUNT(BP124)=1,BP124&lt;=-0.2),"guardrail_fail",IF(AND(CA124="not_attributable",OR(BV124="high",BN124&gt;=0.2)),"watchlist",IF(CA124&lt;&gt;"attributable","insufficient_data",IF(BN124&gt;=0.2,"win",IF(BN124&lt;=-0.2,"loss","inconclusive")))))))</x:f>
        <x:v>not_evaluated</x:v>
      </x:c>
      <x:c r="CC124" s="65" t="str">
        <x:f>IF(T124&lt;&gt;"complete","COLLECT_MORE_DATA",IF(COUNT(BM124,AT124)&lt;2,"FIX_TRACKING",IF(CB124="guardrail_fail","STOP_VARIANT_GUARDRAIL",IF(CB124="watchlist","WATCHLIST_ONLY",IF(AND(BV124="high",BY124="low"),"KEEP_HOOK_REWRITE_CTA",IF(AND(BW124="high",BX124="low"),"KEEP_STRUCTURE_CHANGE_DISCUSSION_ANGLE",IF(AND(BX124="high",BZ124="low"),"DOWNWEIGHT_TEMPLATE",IF(CB124="win","RETEST_WINNER",IF(CB124="loss","RETURN_TO_BASELINE","COLLECT_MORE_DATA")))))))))</x:f>
        <x:v>COLLECT_MORE_DATA</x:v>
      </x:c>
      <x:c r="CD124" s="75"/>
    </x:row>
    <x:row r="125">
      <x:c r="A125" s="68"/>
      <x:c r="B125" s="69"/>
      <x:c r="C125" s="68"/>
      <x:c r="D125" s="68"/>
      <x:c r="E125" s="68"/>
      <x:c r="F125" s="68"/>
      <x:c r="G125" s="68"/>
      <x:c r="H125" s="70"/>
      <x:c r="I125" s="68"/>
      <x:c r="J125" s="68"/>
      <x:c r="K125" s="68"/>
      <x:c r="L125" s="71" t="str">
        <x:f>IF(K125="","unknown",IF(K125=0,"baseline",IF(K125=1,"pure","mixed")))</x:f>
        <x:v>unknown</x:v>
      </x:c>
      <x:c r="M125" s="68"/>
      <x:c r="N125" s="68"/>
      <x:c r="O125" s="68"/>
      <x:c r="P125" s="68"/>
      <x:c r="Q125" s="68"/>
      <x:c r="R125" s="68"/>
      <x:c r="S125" s="68"/>
      <x:c r="T125" s="68"/>
      <x:c r="U125" s="68"/>
      <x:c r="V125" s="68"/>
      <x:c r="W125" s="68"/>
      <x:c r="X125" s="68"/>
      <x:c r="Y125" s="68"/>
      <x:c r="Z125" s="68"/>
      <x:c r="AA125" s="68"/>
      <x:c r="AB125" s="68"/>
      <x:c r="AC125" s="68"/>
      <x:c r="AD125" s="70"/>
      <x:c r="AE125" s="70"/>
      <x:c r="AF125" s="70"/>
      <x:c r="AG125" s="70"/>
      <x:c r="AH125" s="70"/>
      <x:c r="AI125" s="70"/>
      <x:c r="AJ125" s="70"/>
      <x:c r="AK125" s="70"/>
      <x:c r="AL125" s="70"/>
      <x:c r="AM125" s="70"/>
      <x:c r="AN125" s="70"/>
      <x:c r="AO125" s="70"/>
      <x:c r="AP125" s="70"/>
      <x:c r="AQ125" s="70"/>
      <x:c r="AR125" s="70"/>
      <x:c r="AS125" s="70"/>
      <x:c r="AT125" s="72"/>
      <x:c r="AU125" s="72"/>
      <x:c r="AV125" s="72"/>
      <x:c r="AW125" s="72"/>
      <x:c r="AX125" s="72"/>
      <x:c r="AY125" s="72"/>
      <x:c r="AZ125" s="72"/>
      <x:c r="BA125" s="73" t="str">
        <x:f>IF(C125="xiaohongshu",IF(COUNT(AF125,AE125)&lt;2,"",IFERROR(AF125/AE125,"")),"")</x:f>
      </x:c>
      <x:c r="BB125" s="73" t="str">
        <x:f>IF(C125="xiaohongshu",IF(COUNT(AG125,AE125)&lt;2,"",IFERROR(AG125/AE125,"")),"")</x:f>
      </x:c>
      <x:c r="BC125" s="73" t="str">
        <x:f>IF(C125="xiaohongshu",IF(COUNT(AN125,AE125)&lt;2,"",IFERROR(AN125/AE125,"")),"")</x:f>
      </x:c>
      <x:c r="BD125" s="73" t="str">
        <x:f>IF(C125="xiaohongshu",IF(COUNT(AQ125,AE125)&lt;2,"",IFERROR(AQ125/AE125,"")),"")</x:f>
      </x:c>
      <x:c r="BE125" s="73" t="str">
        <x:f>IF(C125="xiaohongshu",IF(COUNT(AI125,AE125)&lt;2,"",IFERROR(AI125/AE125,"")),"")</x:f>
      </x:c>
      <x:c r="BF125" s="73" t="str">
        <x:f>IF(C125="xiaohongshu",IF(OR(COUNT(AE125)=0,COUNT(AR125,AS125)=0),"",IFERROR((AR125+AS125)/AE125,"")),"")</x:f>
      </x:c>
      <x:c r="BG125" s="73" t="str">
        <x:f>IF(C125="x",IF(COUNT(AD125)=0,"",IF(COUNT(AM125)=1,IFERROR(AM125/AD125,""),IF(COUNT(AH125,AI125,AK125,AL125)=0,"",IFERROR(SUM(AH125,AI125,AK125,AL125)/AD125,"")))),"")</x:f>
      </x:c>
      <x:c r="BH125" s="73" t="str">
        <x:f>IF(C125="x",IF(COUNT(AJ125,AD125)&lt;2,"",IFERROR(AJ125/AD125,"")),"")</x:f>
      </x:c>
      <x:c r="BI125" s="73" t="str">
        <x:f>IF(C125="x",IF(COUNT(AO125,AD125)&lt;2,"",IFERROR(AO125/AD125,"")),"")</x:f>
      </x:c>
      <x:c r="BJ125" s="73" t="str">
        <x:f>IF(C125="x",IF(COUNT(AP125,AD125)&lt;2,"",IFERROR(AP125/AD125,"")),"")</x:f>
      </x:c>
      <x:c r="BK125" s="73" t="str">
        <x:f>IF(C125="x",IF(COUNT(AL125,AD125)&lt;2,"",IFERROR(AL125/AD125,"")),"")</x:f>
      </x:c>
      <x:c r="BL125" s="73" t="str">
        <x:f>IF(C125="x",IF(OR(COUNT(AD125)=0,COUNT(AR125,AS125)=0),"",IFERROR((AR125+AS125)/AD125,"")),"")</x:f>
      </x:c>
      <x:c r="BM125" s="73" t="str">
        <x:f>IF(AB125="xhs_save_rate",BA125,IF(AB125="xhs_completion_rate",BB125,IF(AB125="xhs_profile_visit_rate",BC125,IF(AB125="xhs_dm_intent_rate",BD125,IF(AB125="xhs_discussion_rate",BE125,IF(AB125="xhs_product_relevance_rate",BF125,IF(AB125="x_first_screen_engaged_rate_proxy",BG125,IF(AB125="x_qualified_reply_rate",BH125,IF(AB125="x_profile_click_rate",BI125,IF(AB125="x_link_intent_rate",BJ125,IF(AB125="x_bookmark_rate",BK125,IF(AB125="x_product_relevance_rate",BL125,""))))))))))))</x:f>
      </x:c>
      <x:c r="BN125" s="73" t="str">
        <x:f>IFERROR(BM125/AT125-1,"")</x:f>
      </x:c>
      <x:c r="BO125" s="73" t="str">
        <x:f>IF(AC125="","",IF(AC125="xhs_save_rate",BA125,IF(AC125="xhs_completion_rate",BB125,IF(AC125="xhs_profile_visit_rate",BC125,IF(AC125="xhs_dm_intent_rate",BD125,IF(AC125="xhs_discussion_rate",BE125,IF(AC125="xhs_product_relevance_rate",BF125,IF(AC125="x_first_screen_engaged_rate_proxy",BG125,IF(AC125="x_qualified_reply_rate",BH125,IF(AC125="x_profile_click_rate",BI125,IF(AC125="x_link_intent_rate",BJ125,IF(AC125="x_bookmark_rate",BK125,IF(AC125="x_product_relevance_rate",BL125,"")))))))))))))</x:f>
      </x:c>
      <x:c r="BP125" s="73" t="str">
        <x:f>IFERROR(BO125/AU125-1,"")</x:f>
      </x:c>
      <x:c r="BQ125" s="74" t="str">
        <x:f>IF(COUNT(AD125)=0,"",AD125)</x:f>
      </x:c>
      <x:c r="BR125" s="73" t="str">
        <x:f>IF(C125="xiaohongshu",IF(COUNT(BA125,BB125)=2,AVERAGE(BA125,BB125),IF(COUNT(BA125)=1,BA125,BB125)),BK125)</x:f>
      </x:c>
      <x:c r="BS125" s="73" t="str">
        <x:f>IF(C125="xiaohongshu",BE125,BH125)</x:f>
      </x:c>
      <x:c r="BT125" s="73" t="str">
        <x:f>IF(C125="xiaohongshu",IF(I125="save",BA125,IF(I125="discussion",BE125,IF(I125="profile_visit",BC125,IF(I125="dm",BD125,IF(OR(I125="product_question",I125="trial_intent"),BF125,""))))),IF(I125="save",BK125,IF(I125="discussion",BH125,IF(OR(I125="profile_visit",I125="dm"),BI125,IF(I125="link_click",BJ125,IF(OR(I125="product_question",I125="trial_intent"),BL125,""))))))</x:f>
      </x:c>
      <x:c r="BU125" s="73" t="str">
        <x:f>IF(C125="xiaohongshu",BF125,BL125)</x:f>
      </x:c>
      <x:c r="BV125" s="65" t="str">
        <x:f>IF(COUNT(BQ125,AV125)&lt;2,"unknown",IF(BQ125/AV125-1&gt;=0.2,"high",IF(BQ125/AV125-1&lt;=-0.2,"low","normal")))</x:f>
        <x:v>unknown</x:v>
      </x:c>
      <x:c r="BW125" s="65" t="str">
        <x:f>IF(COUNT(BR125,AW125)&lt;2,"unknown",IF(BR125/AW125-1&gt;=0.2,"high",IF(BR125/AW125-1&lt;=-0.2,"low","normal")))</x:f>
        <x:v>unknown</x:v>
      </x:c>
      <x:c r="BX125" s="65" t="str">
        <x:f>IF(COUNT(BS125,AX125)&lt;2,"unknown",IF(BS125/AX125-1&gt;=0.2,"high",IF(BS125/AX125-1&lt;=-0.2,"low","normal")))</x:f>
        <x:v>unknown</x:v>
      </x:c>
      <x:c r="BY125" s="65" t="str">
        <x:f>IF(COUNT(BT125,AY125)&lt;2,"unknown",IF(BT125/AY125-1&gt;=0.2,"high",IF(BT125/AY125-1&lt;=-0.2,"low","normal")))</x:f>
        <x:v>unknown</x:v>
      </x:c>
      <x:c r="BZ125" s="65" t="str">
        <x:f>IF(COUNT(BU125,AZ125)&lt;2,"unknown",IF(BU125/AZ125-1&gt;=0.2,"high",IF(BU125/AZ125-1&lt;=-0.2,"low","normal")))</x:f>
        <x:v>unknown</x:v>
      </x:c>
      <x:c r="CA125" s="65" t="str">
        <x:f>IF(T125&lt;&gt;"complete","pending",IF(OR(L125&lt;&gt;"pure",U125="true",COUNT(BM125,AT125)&lt;2,AND(AC125&lt;&gt;"",COUNT(BO125,AU125)&lt;2)),"not_attributable","attributable"))</x:f>
        <x:v>pending</x:v>
      </x:c>
      <x:c r="CB125" s="65" t="str">
        <x:f>IF(T125&lt;&gt;"complete","not_evaluated",IF(COUNT(BM125,AT125)&lt;2,"insufficient_data",IF(AND(AC125&lt;&gt;"",COUNT(BP125)=1,BP125&lt;=-0.2),"guardrail_fail",IF(AND(CA125="not_attributable",OR(BV125="high",BN125&gt;=0.2)),"watchlist",IF(CA125&lt;&gt;"attributable","insufficient_data",IF(BN125&gt;=0.2,"win",IF(BN125&lt;=-0.2,"loss","inconclusive")))))))</x:f>
        <x:v>not_evaluated</x:v>
      </x:c>
      <x:c r="CC125" s="65" t="str">
        <x:f>IF(T125&lt;&gt;"complete","COLLECT_MORE_DATA",IF(COUNT(BM125,AT125)&lt;2,"FIX_TRACKING",IF(CB125="guardrail_fail","STOP_VARIANT_GUARDRAIL",IF(CB125="watchlist","WATCHLIST_ONLY",IF(AND(BV125="high",BY125="low"),"KEEP_HOOK_REWRITE_CTA",IF(AND(BW125="high",BX125="low"),"KEEP_STRUCTURE_CHANGE_DISCUSSION_ANGLE",IF(AND(BX125="high",BZ125="low"),"DOWNWEIGHT_TEMPLATE",IF(CB125="win","RETEST_WINNER",IF(CB125="loss","RETURN_TO_BASELINE","COLLECT_MORE_DATA")))))))))</x:f>
        <x:v>COLLECT_MORE_DATA</x:v>
      </x:c>
      <x:c r="CD125" s="75"/>
    </x:row>
    <x:row r="126">
      <x:c r="A126" s="68"/>
      <x:c r="B126" s="69"/>
      <x:c r="C126" s="68"/>
      <x:c r="D126" s="68"/>
      <x:c r="E126" s="68"/>
      <x:c r="F126" s="68"/>
      <x:c r="G126" s="68"/>
      <x:c r="H126" s="70"/>
      <x:c r="I126" s="68"/>
      <x:c r="J126" s="68"/>
      <x:c r="K126" s="68"/>
      <x:c r="L126" s="71" t="str">
        <x:f>IF(K126="","unknown",IF(K126=0,"baseline",IF(K126=1,"pure","mixed")))</x:f>
        <x:v>unknown</x:v>
      </x:c>
      <x:c r="M126" s="68"/>
      <x:c r="N126" s="68"/>
      <x:c r="O126" s="68"/>
      <x:c r="P126" s="68"/>
      <x:c r="Q126" s="68"/>
      <x:c r="R126" s="68"/>
      <x:c r="S126" s="68"/>
      <x:c r="T126" s="68"/>
      <x:c r="U126" s="68"/>
      <x:c r="V126" s="68"/>
      <x:c r="W126" s="68"/>
      <x:c r="X126" s="68"/>
      <x:c r="Y126" s="68"/>
      <x:c r="Z126" s="68"/>
      <x:c r="AA126" s="68"/>
      <x:c r="AB126" s="68"/>
      <x:c r="AC126" s="68"/>
      <x:c r="AD126" s="70"/>
      <x:c r="AE126" s="70"/>
      <x:c r="AF126" s="70"/>
      <x:c r="AG126" s="70"/>
      <x:c r="AH126" s="70"/>
      <x:c r="AI126" s="70"/>
      <x:c r="AJ126" s="70"/>
      <x:c r="AK126" s="70"/>
      <x:c r="AL126" s="70"/>
      <x:c r="AM126" s="70"/>
      <x:c r="AN126" s="70"/>
      <x:c r="AO126" s="70"/>
      <x:c r="AP126" s="70"/>
      <x:c r="AQ126" s="70"/>
      <x:c r="AR126" s="70"/>
      <x:c r="AS126" s="70"/>
      <x:c r="AT126" s="72"/>
      <x:c r="AU126" s="72"/>
      <x:c r="AV126" s="72"/>
      <x:c r="AW126" s="72"/>
      <x:c r="AX126" s="72"/>
      <x:c r="AY126" s="72"/>
      <x:c r="AZ126" s="72"/>
      <x:c r="BA126" s="73" t="str">
        <x:f>IF(C126="xiaohongshu",IF(COUNT(AF126,AE126)&lt;2,"",IFERROR(AF126/AE126,"")),"")</x:f>
      </x:c>
      <x:c r="BB126" s="73" t="str">
        <x:f>IF(C126="xiaohongshu",IF(COUNT(AG126,AE126)&lt;2,"",IFERROR(AG126/AE126,"")),"")</x:f>
      </x:c>
      <x:c r="BC126" s="73" t="str">
        <x:f>IF(C126="xiaohongshu",IF(COUNT(AN126,AE126)&lt;2,"",IFERROR(AN126/AE126,"")),"")</x:f>
      </x:c>
      <x:c r="BD126" s="73" t="str">
        <x:f>IF(C126="xiaohongshu",IF(COUNT(AQ126,AE126)&lt;2,"",IFERROR(AQ126/AE126,"")),"")</x:f>
      </x:c>
      <x:c r="BE126" s="73" t="str">
        <x:f>IF(C126="xiaohongshu",IF(COUNT(AI126,AE126)&lt;2,"",IFERROR(AI126/AE126,"")),"")</x:f>
      </x:c>
      <x:c r="BF126" s="73" t="str">
        <x:f>IF(C126="xiaohongshu",IF(OR(COUNT(AE126)=0,COUNT(AR126,AS126)=0),"",IFERROR((AR126+AS126)/AE126,"")),"")</x:f>
      </x:c>
      <x:c r="BG126" s="73" t="str">
        <x:f>IF(C126="x",IF(COUNT(AD126)=0,"",IF(COUNT(AM126)=1,IFERROR(AM126/AD126,""),IF(COUNT(AH126,AI126,AK126,AL126)=0,"",IFERROR(SUM(AH126,AI126,AK126,AL126)/AD126,"")))),"")</x:f>
      </x:c>
      <x:c r="BH126" s="73" t="str">
        <x:f>IF(C126="x",IF(COUNT(AJ126,AD126)&lt;2,"",IFERROR(AJ126/AD126,"")),"")</x:f>
      </x:c>
      <x:c r="BI126" s="73" t="str">
        <x:f>IF(C126="x",IF(COUNT(AO126,AD126)&lt;2,"",IFERROR(AO126/AD126,"")),"")</x:f>
      </x:c>
      <x:c r="BJ126" s="73" t="str">
        <x:f>IF(C126="x",IF(COUNT(AP126,AD126)&lt;2,"",IFERROR(AP126/AD126,"")),"")</x:f>
      </x:c>
      <x:c r="BK126" s="73" t="str">
        <x:f>IF(C126="x",IF(COUNT(AL126,AD126)&lt;2,"",IFERROR(AL126/AD126,"")),"")</x:f>
      </x:c>
      <x:c r="BL126" s="73" t="str">
        <x:f>IF(C126="x",IF(OR(COUNT(AD126)=0,COUNT(AR126,AS126)=0),"",IFERROR((AR126+AS126)/AD126,"")),"")</x:f>
      </x:c>
      <x:c r="BM126" s="73" t="str">
        <x:f>IF(AB126="xhs_save_rate",BA126,IF(AB126="xhs_completion_rate",BB126,IF(AB126="xhs_profile_visit_rate",BC126,IF(AB126="xhs_dm_intent_rate",BD126,IF(AB126="xhs_discussion_rate",BE126,IF(AB126="xhs_product_relevance_rate",BF126,IF(AB126="x_first_screen_engaged_rate_proxy",BG126,IF(AB126="x_qualified_reply_rate",BH126,IF(AB126="x_profile_click_rate",BI126,IF(AB126="x_link_intent_rate",BJ126,IF(AB126="x_bookmark_rate",BK126,IF(AB126="x_product_relevance_rate",BL126,""))))))))))))</x:f>
      </x:c>
      <x:c r="BN126" s="73" t="str">
        <x:f>IFERROR(BM126/AT126-1,"")</x:f>
      </x:c>
      <x:c r="BO126" s="73" t="str">
        <x:f>IF(AC126="","",IF(AC126="xhs_save_rate",BA126,IF(AC126="xhs_completion_rate",BB126,IF(AC126="xhs_profile_visit_rate",BC126,IF(AC126="xhs_dm_intent_rate",BD126,IF(AC126="xhs_discussion_rate",BE126,IF(AC126="xhs_product_relevance_rate",BF126,IF(AC126="x_first_screen_engaged_rate_proxy",BG126,IF(AC126="x_qualified_reply_rate",BH126,IF(AC126="x_profile_click_rate",BI126,IF(AC126="x_link_intent_rate",BJ126,IF(AC126="x_bookmark_rate",BK126,IF(AC126="x_product_relevance_rate",BL126,"")))))))))))))</x:f>
      </x:c>
      <x:c r="BP126" s="73" t="str">
        <x:f>IFERROR(BO126/AU126-1,"")</x:f>
      </x:c>
      <x:c r="BQ126" s="74" t="str">
        <x:f>IF(COUNT(AD126)=0,"",AD126)</x:f>
      </x:c>
      <x:c r="BR126" s="73" t="str">
        <x:f>IF(C126="xiaohongshu",IF(COUNT(BA126,BB126)=2,AVERAGE(BA126,BB126),IF(COUNT(BA126)=1,BA126,BB126)),BK126)</x:f>
      </x:c>
      <x:c r="BS126" s="73" t="str">
        <x:f>IF(C126="xiaohongshu",BE126,BH126)</x:f>
      </x:c>
      <x:c r="BT126" s="73" t="str">
        <x:f>IF(C126="xiaohongshu",IF(I126="save",BA126,IF(I126="discussion",BE126,IF(I126="profile_visit",BC126,IF(I126="dm",BD126,IF(OR(I126="product_question",I126="trial_intent"),BF126,""))))),IF(I126="save",BK126,IF(I126="discussion",BH126,IF(OR(I126="profile_visit",I126="dm"),BI126,IF(I126="link_click",BJ126,IF(OR(I126="product_question",I126="trial_intent"),BL126,""))))))</x:f>
      </x:c>
      <x:c r="BU126" s="73" t="str">
        <x:f>IF(C126="xiaohongshu",BF126,BL126)</x:f>
      </x:c>
      <x:c r="BV126" s="65" t="str">
        <x:f>IF(COUNT(BQ126,AV126)&lt;2,"unknown",IF(BQ126/AV126-1&gt;=0.2,"high",IF(BQ126/AV126-1&lt;=-0.2,"low","normal")))</x:f>
        <x:v>unknown</x:v>
      </x:c>
      <x:c r="BW126" s="65" t="str">
        <x:f>IF(COUNT(BR126,AW126)&lt;2,"unknown",IF(BR126/AW126-1&gt;=0.2,"high",IF(BR126/AW126-1&lt;=-0.2,"low","normal")))</x:f>
        <x:v>unknown</x:v>
      </x:c>
      <x:c r="BX126" s="65" t="str">
        <x:f>IF(COUNT(BS126,AX126)&lt;2,"unknown",IF(BS126/AX126-1&gt;=0.2,"high",IF(BS126/AX126-1&lt;=-0.2,"low","normal")))</x:f>
        <x:v>unknown</x:v>
      </x:c>
      <x:c r="BY126" s="65" t="str">
        <x:f>IF(COUNT(BT126,AY126)&lt;2,"unknown",IF(BT126/AY126-1&gt;=0.2,"high",IF(BT126/AY126-1&lt;=-0.2,"low","normal")))</x:f>
        <x:v>unknown</x:v>
      </x:c>
      <x:c r="BZ126" s="65" t="str">
        <x:f>IF(COUNT(BU126,AZ126)&lt;2,"unknown",IF(BU126/AZ126-1&gt;=0.2,"high",IF(BU126/AZ126-1&lt;=-0.2,"low","normal")))</x:f>
        <x:v>unknown</x:v>
      </x:c>
      <x:c r="CA126" s="65" t="str">
        <x:f>IF(T126&lt;&gt;"complete","pending",IF(OR(L126&lt;&gt;"pure",U126="true",COUNT(BM126,AT126)&lt;2,AND(AC126&lt;&gt;"",COUNT(BO126,AU126)&lt;2)),"not_attributable","attributable"))</x:f>
        <x:v>pending</x:v>
      </x:c>
      <x:c r="CB126" s="65" t="str">
        <x:f>IF(T126&lt;&gt;"complete","not_evaluated",IF(COUNT(BM126,AT126)&lt;2,"insufficient_data",IF(AND(AC126&lt;&gt;"",COUNT(BP126)=1,BP126&lt;=-0.2),"guardrail_fail",IF(AND(CA126="not_attributable",OR(BV126="high",BN126&gt;=0.2)),"watchlist",IF(CA126&lt;&gt;"attributable","insufficient_data",IF(BN126&gt;=0.2,"win",IF(BN126&lt;=-0.2,"loss","inconclusive")))))))</x:f>
        <x:v>not_evaluated</x:v>
      </x:c>
      <x:c r="CC126" s="65" t="str">
        <x:f>IF(T126&lt;&gt;"complete","COLLECT_MORE_DATA",IF(COUNT(BM126,AT126)&lt;2,"FIX_TRACKING",IF(CB126="guardrail_fail","STOP_VARIANT_GUARDRAIL",IF(CB126="watchlist","WATCHLIST_ONLY",IF(AND(BV126="high",BY126="low"),"KEEP_HOOK_REWRITE_CTA",IF(AND(BW126="high",BX126="low"),"KEEP_STRUCTURE_CHANGE_DISCUSSION_ANGLE",IF(AND(BX126="high",BZ126="low"),"DOWNWEIGHT_TEMPLATE",IF(CB126="win","RETEST_WINNER",IF(CB126="loss","RETURN_TO_BASELINE","COLLECT_MORE_DATA")))))))))</x:f>
        <x:v>COLLECT_MORE_DATA</x:v>
      </x:c>
      <x:c r="CD126" s="75"/>
    </x:row>
    <x:row r="127">
      <x:c r="A127" s="68"/>
      <x:c r="B127" s="69"/>
      <x:c r="C127" s="68"/>
      <x:c r="D127" s="68"/>
      <x:c r="E127" s="68"/>
      <x:c r="F127" s="68"/>
      <x:c r="G127" s="68"/>
      <x:c r="H127" s="70"/>
      <x:c r="I127" s="68"/>
      <x:c r="J127" s="68"/>
      <x:c r="K127" s="68"/>
      <x:c r="L127" s="71" t="str">
        <x:f>IF(K127="","unknown",IF(K127=0,"baseline",IF(K127=1,"pure","mixed")))</x:f>
        <x:v>unknown</x:v>
      </x:c>
      <x:c r="M127" s="68"/>
      <x:c r="N127" s="68"/>
      <x:c r="O127" s="68"/>
      <x:c r="P127" s="68"/>
      <x:c r="Q127" s="68"/>
      <x:c r="R127" s="68"/>
      <x:c r="S127" s="68"/>
      <x:c r="T127" s="68"/>
      <x:c r="U127" s="68"/>
      <x:c r="V127" s="68"/>
      <x:c r="W127" s="68"/>
      <x:c r="X127" s="68"/>
      <x:c r="Y127" s="68"/>
      <x:c r="Z127" s="68"/>
      <x:c r="AA127" s="68"/>
      <x:c r="AB127" s="68"/>
      <x:c r="AC127" s="68"/>
      <x:c r="AD127" s="70"/>
      <x:c r="AE127" s="70"/>
      <x:c r="AF127" s="70"/>
      <x:c r="AG127" s="70"/>
      <x:c r="AH127" s="70"/>
      <x:c r="AI127" s="70"/>
      <x:c r="AJ127" s="70"/>
      <x:c r="AK127" s="70"/>
      <x:c r="AL127" s="70"/>
      <x:c r="AM127" s="70"/>
      <x:c r="AN127" s="70"/>
      <x:c r="AO127" s="70"/>
      <x:c r="AP127" s="70"/>
      <x:c r="AQ127" s="70"/>
      <x:c r="AR127" s="70"/>
      <x:c r="AS127" s="70"/>
      <x:c r="AT127" s="72"/>
      <x:c r="AU127" s="72"/>
      <x:c r="AV127" s="72"/>
      <x:c r="AW127" s="72"/>
      <x:c r="AX127" s="72"/>
      <x:c r="AY127" s="72"/>
      <x:c r="AZ127" s="72"/>
      <x:c r="BA127" s="73" t="str">
        <x:f>IF(C127="xiaohongshu",IF(COUNT(AF127,AE127)&lt;2,"",IFERROR(AF127/AE127,"")),"")</x:f>
      </x:c>
      <x:c r="BB127" s="73" t="str">
        <x:f>IF(C127="xiaohongshu",IF(COUNT(AG127,AE127)&lt;2,"",IFERROR(AG127/AE127,"")),"")</x:f>
      </x:c>
      <x:c r="BC127" s="73" t="str">
        <x:f>IF(C127="xiaohongshu",IF(COUNT(AN127,AE127)&lt;2,"",IFERROR(AN127/AE127,"")),"")</x:f>
      </x:c>
      <x:c r="BD127" s="73" t="str">
        <x:f>IF(C127="xiaohongshu",IF(COUNT(AQ127,AE127)&lt;2,"",IFERROR(AQ127/AE127,"")),"")</x:f>
      </x:c>
      <x:c r="BE127" s="73" t="str">
        <x:f>IF(C127="xiaohongshu",IF(COUNT(AI127,AE127)&lt;2,"",IFERROR(AI127/AE127,"")),"")</x:f>
      </x:c>
      <x:c r="BF127" s="73" t="str">
        <x:f>IF(C127="xiaohongshu",IF(OR(COUNT(AE127)=0,COUNT(AR127,AS127)=0),"",IFERROR((AR127+AS127)/AE127,"")),"")</x:f>
      </x:c>
      <x:c r="BG127" s="73" t="str">
        <x:f>IF(C127="x",IF(COUNT(AD127)=0,"",IF(COUNT(AM127)=1,IFERROR(AM127/AD127,""),IF(COUNT(AH127,AI127,AK127,AL127)=0,"",IFERROR(SUM(AH127,AI127,AK127,AL127)/AD127,"")))),"")</x:f>
      </x:c>
      <x:c r="BH127" s="73" t="str">
        <x:f>IF(C127="x",IF(COUNT(AJ127,AD127)&lt;2,"",IFERROR(AJ127/AD127,"")),"")</x:f>
      </x:c>
      <x:c r="BI127" s="73" t="str">
        <x:f>IF(C127="x",IF(COUNT(AO127,AD127)&lt;2,"",IFERROR(AO127/AD127,"")),"")</x:f>
      </x:c>
      <x:c r="BJ127" s="73" t="str">
        <x:f>IF(C127="x",IF(COUNT(AP127,AD127)&lt;2,"",IFERROR(AP127/AD127,"")),"")</x:f>
      </x:c>
      <x:c r="BK127" s="73" t="str">
        <x:f>IF(C127="x",IF(COUNT(AL127,AD127)&lt;2,"",IFERROR(AL127/AD127,"")),"")</x:f>
      </x:c>
      <x:c r="BL127" s="73" t="str">
        <x:f>IF(C127="x",IF(OR(COUNT(AD127)=0,COUNT(AR127,AS127)=0),"",IFERROR((AR127+AS127)/AD127,"")),"")</x:f>
      </x:c>
      <x:c r="BM127" s="73" t="str">
        <x:f>IF(AB127="xhs_save_rate",BA127,IF(AB127="xhs_completion_rate",BB127,IF(AB127="xhs_profile_visit_rate",BC127,IF(AB127="xhs_dm_intent_rate",BD127,IF(AB127="xhs_discussion_rate",BE127,IF(AB127="xhs_product_relevance_rate",BF127,IF(AB127="x_first_screen_engaged_rate_proxy",BG127,IF(AB127="x_qualified_reply_rate",BH127,IF(AB127="x_profile_click_rate",BI127,IF(AB127="x_link_intent_rate",BJ127,IF(AB127="x_bookmark_rate",BK127,IF(AB127="x_product_relevance_rate",BL127,""))))))))))))</x:f>
      </x:c>
      <x:c r="BN127" s="73" t="str">
        <x:f>IFERROR(BM127/AT127-1,"")</x:f>
      </x:c>
      <x:c r="BO127" s="73" t="str">
        <x:f>IF(AC127="","",IF(AC127="xhs_save_rate",BA127,IF(AC127="xhs_completion_rate",BB127,IF(AC127="xhs_profile_visit_rate",BC127,IF(AC127="xhs_dm_intent_rate",BD127,IF(AC127="xhs_discussion_rate",BE127,IF(AC127="xhs_product_relevance_rate",BF127,IF(AC127="x_first_screen_engaged_rate_proxy",BG127,IF(AC127="x_qualified_reply_rate",BH127,IF(AC127="x_profile_click_rate",BI127,IF(AC127="x_link_intent_rate",BJ127,IF(AC127="x_bookmark_rate",BK127,IF(AC127="x_product_relevance_rate",BL127,"")))))))))))))</x:f>
      </x:c>
      <x:c r="BP127" s="73" t="str">
        <x:f>IFERROR(BO127/AU127-1,"")</x:f>
      </x:c>
      <x:c r="BQ127" s="74" t="str">
        <x:f>IF(COUNT(AD127)=0,"",AD127)</x:f>
      </x:c>
      <x:c r="BR127" s="73" t="str">
        <x:f>IF(C127="xiaohongshu",IF(COUNT(BA127,BB127)=2,AVERAGE(BA127,BB127),IF(COUNT(BA127)=1,BA127,BB127)),BK127)</x:f>
      </x:c>
      <x:c r="BS127" s="73" t="str">
        <x:f>IF(C127="xiaohongshu",BE127,BH127)</x:f>
      </x:c>
      <x:c r="BT127" s="73" t="str">
        <x:f>IF(C127="xiaohongshu",IF(I127="save",BA127,IF(I127="discussion",BE127,IF(I127="profile_visit",BC127,IF(I127="dm",BD127,IF(OR(I127="product_question",I127="trial_intent"),BF127,""))))),IF(I127="save",BK127,IF(I127="discussion",BH127,IF(OR(I127="profile_visit",I127="dm"),BI127,IF(I127="link_click",BJ127,IF(OR(I127="product_question",I127="trial_intent"),BL127,""))))))</x:f>
      </x:c>
      <x:c r="BU127" s="73" t="str">
        <x:f>IF(C127="xiaohongshu",BF127,BL127)</x:f>
      </x:c>
      <x:c r="BV127" s="65" t="str">
        <x:f>IF(COUNT(BQ127,AV127)&lt;2,"unknown",IF(BQ127/AV127-1&gt;=0.2,"high",IF(BQ127/AV127-1&lt;=-0.2,"low","normal")))</x:f>
        <x:v>unknown</x:v>
      </x:c>
      <x:c r="BW127" s="65" t="str">
        <x:f>IF(COUNT(BR127,AW127)&lt;2,"unknown",IF(BR127/AW127-1&gt;=0.2,"high",IF(BR127/AW127-1&lt;=-0.2,"low","normal")))</x:f>
        <x:v>unknown</x:v>
      </x:c>
      <x:c r="BX127" s="65" t="str">
        <x:f>IF(COUNT(BS127,AX127)&lt;2,"unknown",IF(BS127/AX127-1&gt;=0.2,"high",IF(BS127/AX127-1&lt;=-0.2,"low","normal")))</x:f>
        <x:v>unknown</x:v>
      </x:c>
      <x:c r="BY127" s="65" t="str">
        <x:f>IF(COUNT(BT127,AY127)&lt;2,"unknown",IF(BT127/AY127-1&gt;=0.2,"high",IF(BT127/AY127-1&lt;=-0.2,"low","normal")))</x:f>
        <x:v>unknown</x:v>
      </x:c>
      <x:c r="BZ127" s="65" t="str">
        <x:f>IF(COUNT(BU127,AZ127)&lt;2,"unknown",IF(BU127/AZ127-1&gt;=0.2,"high",IF(BU127/AZ127-1&lt;=-0.2,"low","normal")))</x:f>
        <x:v>unknown</x:v>
      </x:c>
      <x:c r="CA127" s="65" t="str">
        <x:f>IF(T127&lt;&gt;"complete","pending",IF(OR(L127&lt;&gt;"pure",U127="true",COUNT(BM127,AT127)&lt;2,AND(AC127&lt;&gt;"",COUNT(BO127,AU127)&lt;2)),"not_attributable","attributable"))</x:f>
        <x:v>pending</x:v>
      </x:c>
      <x:c r="CB127" s="65" t="str">
        <x:f>IF(T127&lt;&gt;"complete","not_evaluated",IF(COUNT(BM127,AT127)&lt;2,"insufficient_data",IF(AND(AC127&lt;&gt;"",COUNT(BP127)=1,BP127&lt;=-0.2),"guardrail_fail",IF(AND(CA127="not_attributable",OR(BV127="high",BN127&gt;=0.2)),"watchlist",IF(CA127&lt;&gt;"attributable","insufficient_data",IF(BN127&gt;=0.2,"win",IF(BN127&lt;=-0.2,"loss","inconclusive")))))))</x:f>
        <x:v>not_evaluated</x:v>
      </x:c>
      <x:c r="CC127" s="65" t="str">
        <x:f>IF(T127&lt;&gt;"complete","COLLECT_MORE_DATA",IF(COUNT(BM127,AT127)&lt;2,"FIX_TRACKING",IF(CB127="guardrail_fail","STOP_VARIANT_GUARDRAIL",IF(CB127="watchlist","WATCHLIST_ONLY",IF(AND(BV127="high",BY127="low"),"KEEP_HOOK_REWRITE_CTA",IF(AND(BW127="high",BX127="low"),"KEEP_STRUCTURE_CHANGE_DISCUSSION_ANGLE",IF(AND(BX127="high",BZ127="low"),"DOWNWEIGHT_TEMPLATE",IF(CB127="win","RETEST_WINNER",IF(CB127="loss","RETURN_TO_BASELINE","COLLECT_MORE_DATA")))))))))</x:f>
        <x:v>COLLECT_MORE_DATA</x:v>
      </x:c>
      <x:c r="CD127" s="75"/>
    </x:row>
    <x:row r="128">
      <x:c r="A128" s="68"/>
      <x:c r="B128" s="69"/>
      <x:c r="C128" s="68"/>
      <x:c r="D128" s="68"/>
      <x:c r="E128" s="68"/>
      <x:c r="F128" s="68"/>
      <x:c r="G128" s="68"/>
      <x:c r="H128" s="70"/>
      <x:c r="I128" s="68"/>
      <x:c r="J128" s="68"/>
      <x:c r="K128" s="68"/>
      <x:c r="L128" s="71" t="str">
        <x:f>IF(K128="","unknown",IF(K128=0,"baseline",IF(K128=1,"pure","mixed")))</x:f>
        <x:v>unknown</x:v>
      </x:c>
      <x:c r="M128" s="68"/>
      <x:c r="N128" s="68"/>
      <x:c r="O128" s="68"/>
      <x:c r="P128" s="68"/>
      <x:c r="Q128" s="68"/>
      <x:c r="R128" s="68"/>
      <x:c r="S128" s="68"/>
      <x:c r="T128" s="68"/>
      <x:c r="U128" s="68"/>
      <x:c r="V128" s="68"/>
      <x:c r="W128" s="68"/>
      <x:c r="X128" s="68"/>
      <x:c r="Y128" s="68"/>
      <x:c r="Z128" s="68"/>
      <x:c r="AA128" s="68"/>
      <x:c r="AB128" s="68"/>
      <x:c r="AC128" s="68"/>
      <x:c r="AD128" s="70"/>
      <x:c r="AE128" s="70"/>
      <x:c r="AF128" s="70"/>
      <x:c r="AG128" s="70"/>
      <x:c r="AH128" s="70"/>
      <x:c r="AI128" s="70"/>
      <x:c r="AJ128" s="70"/>
      <x:c r="AK128" s="70"/>
      <x:c r="AL128" s="70"/>
      <x:c r="AM128" s="70"/>
      <x:c r="AN128" s="70"/>
      <x:c r="AO128" s="70"/>
      <x:c r="AP128" s="70"/>
      <x:c r="AQ128" s="70"/>
      <x:c r="AR128" s="70"/>
      <x:c r="AS128" s="70"/>
      <x:c r="AT128" s="72"/>
      <x:c r="AU128" s="72"/>
      <x:c r="AV128" s="72"/>
      <x:c r="AW128" s="72"/>
      <x:c r="AX128" s="72"/>
      <x:c r="AY128" s="72"/>
      <x:c r="AZ128" s="72"/>
      <x:c r="BA128" s="73" t="str">
        <x:f>IF(C128="xiaohongshu",IF(COUNT(AF128,AE128)&lt;2,"",IFERROR(AF128/AE128,"")),"")</x:f>
      </x:c>
      <x:c r="BB128" s="73" t="str">
        <x:f>IF(C128="xiaohongshu",IF(COUNT(AG128,AE128)&lt;2,"",IFERROR(AG128/AE128,"")),"")</x:f>
      </x:c>
      <x:c r="BC128" s="73" t="str">
        <x:f>IF(C128="xiaohongshu",IF(COUNT(AN128,AE128)&lt;2,"",IFERROR(AN128/AE128,"")),"")</x:f>
      </x:c>
      <x:c r="BD128" s="73" t="str">
        <x:f>IF(C128="xiaohongshu",IF(COUNT(AQ128,AE128)&lt;2,"",IFERROR(AQ128/AE128,"")),"")</x:f>
      </x:c>
      <x:c r="BE128" s="73" t="str">
        <x:f>IF(C128="xiaohongshu",IF(COUNT(AI128,AE128)&lt;2,"",IFERROR(AI128/AE128,"")),"")</x:f>
      </x:c>
      <x:c r="BF128" s="73" t="str">
        <x:f>IF(C128="xiaohongshu",IF(OR(COUNT(AE128)=0,COUNT(AR128,AS128)=0),"",IFERROR((AR128+AS128)/AE128,"")),"")</x:f>
      </x:c>
      <x:c r="BG128" s="73" t="str">
        <x:f>IF(C128="x",IF(COUNT(AD128)=0,"",IF(COUNT(AM128)=1,IFERROR(AM128/AD128,""),IF(COUNT(AH128,AI128,AK128,AL128)=0,"",IFERROR(SUM(AH128,AI128,AK128,AL128)/AD128,"")))),"")</x:f>
      </x:c>
      <x:c r="BH128" s="73" t="str">
        <x:f>IF(C128="x",IF(COUNT(AJ128,AD128)&lt;2,"",IFERROR(AJ128/AD128,"")),"")</x:f>
      </x:c>
      <x:c r="BI128" s="73" t="str">
        <x:f>IF(C128="x",IF(COUNT(AO128,AD128)&lt;2,"",IFERROR(AO128/AD128,"")),"")</x:f>
      </x:c>
      <x:c r="BJ128" s="73" t="str">
        <x:f>IF(C128="x",IF(COUNT(AP128,AD128)&lt;2,"",IFERROR(AP128/AD128,"")),"")</x:f>
      </x:c>
      <x:c r="BK128" s="73" t="str">
        <x:f>IF(C128="x",IF(COUNT(AL128,AD128)&lt;2,"",IFERROR(AL128/AD128,"")),"")</x:f>
      </x:c>
      <x:c r="BL128" s="73" t="str">
        <x:f>IF(C128="x",IF(OR(COUNT(AD128)=0,COUNT(AR128,AS128)=0),"",IFERROR((AR128+AS128)/AD128,"")),"")</x:f>
      </x:c>
      <x:c r="BM128" s="73" t="str">
        <x:f>IF(AB128="xhs_save_rate",BA128,IF(AB128="xhs_completion_rate",BB128,IF(AB128="xhs_profile_visit_rate",BC128,IF(AB128="xhs_dm_intent_rate",BD128,IF(AB128="xhs_discussion_rate",BE128,IF(AB128="xhs_product_relevance_rate",BF128,IF(AB128="x_first_screen_engaged_rate_proxy",BG128,IF(AB128="x_qualified_reply_rate",BH128,IF(AB128="x_profile_click_rate",BI128,IF(AB128="x_link_intent_rate",BJ128,IF(AB128="x_bookmark_rate",BK128,IF(AB128="x_product_relevance_rate",BL128,""))))))))))))</x:f>
      </x:c>
      <x:c r="BN128" s="73" t="str">
        <x:f>IFERROR(BM128/AT128-1,"")</x:f>
      </x:c>
      <x:c r="BO128" s="73" t="str">
        <x:f>IF(AC128="","",IF(AC128="xhs_save_rate",BA128,IF(AC128="xhs_completion_rate",BB128,IF(AC128="xhs_profile_visit_rate",BC128,IF(AC128="xhs_dm_intent_rate",BD128,IF(AC128="xhs_discussion_rate",BE128,IF(AC128="xhs_product_relevance_rate",BF128,IF(AC128="x_first_screen_engaged_rate_proxy",BG128,IF(AC128="x_qualified_reply_rate",BH128,IF(AC128="x_profile_click_rate",BI128,IF(AC128="x_link_intent_rate",BJ128,IF(AC128="x_bookmark_rate",BK128,IF(AC128="x_product_relevance_rate",BL128,"")))))))))))))</x:f>
      </x:c>
      <x:c r="BP128" s="73" t="str">
        <x:f>IFERROR(BO128/AU128-1,"")</x:f>
      </x:c>
      <x:c r="BQ128" s="74" t="str">
        <x:f>IF(COUNT(AD128)=0,"",AD128)</x:f>
      </x:c>
      <x:c r="BR128" s="73" t="str">
        <x:f>IF(C128="xiaohongshu",IF(COUNT(BA128,BB128)=2,AVERAGE(BA128,BB128),IF(COUNT(BA128)=1,BA128,BB128)),BK128)</x:f>
      </x:c>
      <x:c r="BS128" s="73" t="str">
        <x:f>IF(C128="xiaohongshu",BE128,BH128)</x:f>
      </x:c>
      <x:c r="BT128" s="73" t="str">
        <x:f>IF(C128="xiaohongshu",IF(I128="save",BA128,IF(I128="discussion",BE128,IF(I128="profile_visit",BC128,IF(I128="dm",BD128,IF(OR(I128="product_question",I128="trial_intent"),BF128,""))))),IF(I128="save",BK128,IF(I128="discussion",BH128,IF(OR(I128="profile_visit",I128="dm"),BI128,IF(I128="link_click",BJ128,IF(OR(I128="product_question",I128="trial_intent"),BL128,""))))))</x:f>
      </x:c>
      <x:c r="BU128" s="73" t="str">
        <x:f>IF(C128="xiaohongshu",BF128,BL128)</x:f>
      </x:c>
      <x:c r="BV128" s="65" t="str">
        <x:f>IF(COUNT(BQ128,AV128)&lt;2,"unknown",IF(BQ128/AV128-1&gt;=0.2,"high",IF(BQ128/AV128-1&lt;=-0.2,"low","normal")))</x:f>
        <x:v>unknown</x:v>
      </x:c>
      <x:c r="BW128" s="65" t="str">
        <x:f>IF(COUNT(BR128,AW128)&lt;2,"unknown",IF(BR128/AW128-1&gt;=0.2,"high",IF(BR128/AW128-1&lt;=-0.2,"low","normal")))</x:f>
        <x:v>unknown</x:v>
      </x:c>
      <x:c r="BX128" s="65" t="str">
        <x:f>IF(COUNT(BS128,AX128)&lt;2,"unknown",IF(BS128/AX128-1&gt;=0.2,"high",IF(BS128/AX128-1&lt;=-0.2,"low","normal")))</x:f>
        <x:v>unknown</x:v>
      </x:c>
      <x:c r="BY128" s="65" t="str">
        <x:f>IF(COUNT(BT128,AY128)&lt;2,"unknown",IF(BT128/AY128-1&gt;=0.2,"high",IF(BT128/AY128-1&lt;=-0.2,"low","normal")))</x:f>
        <x:v>unknown</x:v>
      </x:c>
      <x:c r="BZ128" s="65" t="str">
        <x:f>IF(COUNT(BU128,AZ128)&lt;2,"unknown",IF(BU128/AZ128-1&gt;=0.2,"high",IF(BU128/AZ128-1&lt;=-0.2,"low","normal")))</x:f>
        <x:v>unknown</x:v>
      </x:c>
      <x:c r="CA128" s="65" t="str">
        <x:f>IF(T128&lt;&gt;"complete","pending",IF(OR(L128&lt;&gt;"pure",U128="true",COUNT(BM128,AT128)&lt;2,AND(AC128&lt;&gt;"",COUNT(BO128,AU128)&lt;2)),"not_attributable","attributable"))</x:f>
        <x:v>pending</x:v>
      </x:c>
      <x:c r="CB128" s="65" t="str">
        <x:f>IF(T128&lt;&gt;"complete","not_evaluated",IF(COUNT(BM128,AT128)&lt;2,"insufficient_data",IF(AND(AC128&lt;&gt;"",COUNT(BP128)=1,BP128&lt;=-0.2),"guardrail_fail",IF(AND(CA128="not_attributable",OR(BV128="high",BN128&gt;=0.2)),"watchlist",IF(CA128&lt;&gt;"attributable","insufficient_data",IF(BN128&gt;=0.2,"win",IF(BN128&lt;=-0.2,"loss","inconclusive")))))))</x:f>
        <x:v>not_evaluated</x:v>
      </x:c>
      <x:c r="CC128" s="65" t="str">
        <x:f>IF(T128&lt;&gt;"complete","COLLECT_MORE_DATA",IF(COUNT(BM128,AT128)&lt;2,"FIX_TRACKING",IF(CB128="guardrail_fail","STOP_VARIANT_GUARDRAIL",IF(CB128="watchlist","WATCHLIST_ONLY",IF(AND(BV128="high",BY128="low"),"KEEP_HOOK_REWRITE_CTA",IF(AND(BW128="high",BX128="low"),"KEEP_STRUCTURE_CHANGE_DISCUSSION_ANGLE",IF(AND(BX128="high",BZ128="low"),"DOWNWEIGHT_TEMPLATE",IF(CB128="win","RETEST_WINNER",IF(CB128="loss","RETURN_TO_BASELINE","COLLECT_MORE_DATA")))))))))</x:f>
        <x:v>COLLECT_MORE_DATA</x:v>
      </x:c>
      <x:c r="CD128" s="75"/>
    </x:row>
    <x:row r="129">
      <x:c r="A129" s="68"/>
      <x:c r="B129" s="69"/>
      <x:c r="C129" s="68"/>
      <x:c r="D129" s="68"/>
      <x:c r="E129" s="68"/>
      <x:c r="F129" s="68"/>
      <x:c r="G129" s="68"/>
      <x:c r="H129" s="70"/>
      <x:c r="I129" s="68"/>
      <x:c r="J129" s="68"/>
      <x:c r="K129" s="68"/>
      <x:c r="L129" s="71" t="str">
        <x:f>IF(K129="","unknown",IF(K129=0,"baseline",IF(K129=1,"pure","mixed")))</x:f>
        <x:v>unknown</x:v>
      </x:c>
      <x:c r="M129" s="68"/>
      <x:c r="N129" s="68"/>
      <x:c r="O129" s="68"/>
      <x:c r="P129" s="68"/>
      <x:c r="Q129" s="68"/>
      <x:c r="R129" s="68"/>
      <x:c r="S129" s="68"/>
      <x:c r="T129" s="68"/>
      <x:c r="U129" s="68"/>
      <x:c r="V129" s="68"/>
      <x:c r="W129" s="68"/>
      <x:c r="X129" s="68"/>
      <x:c r="Y129" s="68"/>
      <x:c r="Z129" s="68"/>
      <x:c r="AA129" s="68"/>
      <x:c r="AB129" s="68"/>
      <x:c r="AC129" s="68"/>
      <x:c r="AD129" s="70"/>
      <x:c r="AE129" s="70"/>
      <x:c r="AF129" s="70"/>
      <x:c r="AG129" s="70"/>
      <x:c r="AH129" s="70"/>
      <x:c r="AI129" s="70"/>
      <x:c r="AJ129" s="70"/>
      <x:c r="AK129" s="70"/>
      <x:c r="AL129" s="70"/>
      <x:c r="AM129" s="70"/>
      <x:c r="AN129" s="70"/>
      <x:c r="AO129" s="70"/>
      <x:c r="AP129" s="70"/>
      <x:c r="AQ129" s="70"/>
      <x:c r="AR129" s="70"/>
      <x:c r="AS129" s="70"/>
      <x:c r="AT129" s="72"/>
      <x:c r="AU129" s="72"/>
      <x:c r="AV129" s="72"/>
      <x:c r="AW129" s="72"/>
      <x:c r="AX129" s="72"/>
      <x:c r="AY129" s="72"/>
      <x:c r="AZ129" s="72"/>
      <x:c r="BA129" s="73" t="str">
        <x:f>IF(C129="xiaohongshu",IF(COUNT(AF129,AE129)&lt;2,"",IFERROR(AF129/AE129,"")),"")</x:f>
      </x:c>
      <x:c r="BB129" s="73" t="str">
        <x:f>IF(C129="xiaohongshu",IF(COUNT(AG129,AE129)&lt;2,"",IFERROR(AG129/AE129,"")),"")</x:f>
      </x:c>
      <x:c r="BC129" s="73" t="str">
        <x:f>IF(C129="xiaohongshu",IF(COUNT(AN129,AE129)&lt;2,"",IFERROR(AN129/AE129,"")),"")</x:f>
      </x:c>
      <x:c r="BD129" s="73" t="str">
        <x:f>IF(C129="xiaohongshu",IF(COUNT(AQ129,AE129)&lt;2,"",IFERROR(AQ129/AE129,"")),"")</x:f>
      </x:c>
      <x:c r="BE129" s="73" t="str">
        <x:f>IF(C129="xiaohongshu",IF(COUNT(AI129,AE129)&lt;2,"",IFERROR(AI129/AE129,"")),"")</x:f>
      </x:c>
      <x:c r="BF129" s="73" t="str">
        <x:f>IF(C129="xiaohongshu",IF(OR(COUNT(AE129)=0,COUNT(AR129,AS129)=0),"",IFERROR((AR129+AS129)/AE129,"")),"")</x:f>
      </x:c>
      <x:c r="BG129" s="73" t="str">
        <x:f>IF(C129="x",IF(COUNT(AD129)=0,"",IF(COUNT(AM129)=1,IFERROR(AM129/AD129,""),IF(COUNT(AH129,AI129,AK129,AL129)=0,"",IFERROR(SUM(AH129,AI129,AK129,AL129)/AD129,"")))),"")</x:f>
      </x:c>
      <x:c r="BH129" s="73" t="str">
        <x:f>IF(C129="x",IF(COUNT(AJ129,AD129)&lt;2,"",IFERROR(AJ129/AD129,"")),"")</x:f>
      </x:c>
      <x:c r="BI129" s="73" t="str">
        <x:f>IF(C129="x",IF(COUNT(AO129,AD129)&lt;2,"",IFERROR(AO129/AD129,"")),"")</x:f>
      </x:c>
      <x:c r="BJ129" s="73" t="str">
        <x:f>IF(C129="x",IF(COUNT(AP129,AD129)&lt;2,"",IFERROR(AP129/AD129,"")),"")</x:f>
      </x:c>
      <x:c r="BK129" s="73" t="str">
        <x:f>IF(C129="x",IF(COUNT(AL129,AD129)&lt;2,"",IFERROR(AL129/AD129,"")),"")</x:f>
      </x:c>
      <x:c r="BL129" s="73" t="str">
        <x:f>IF(C129="x",IF(OR(COUNT(AD129)=0,COUNT(AR129,AS129)=0),"",IFERROR((AR129+AS129)/AD129,"")),"")</x:f>
      </x:c>
      <x:c r="BM129" s="73" t="str">
        <x:f>IF(AB129="xhs_save_rate",BA129,IF(AB129="xhs_completion_rate",BB129,IF(AB129="xhs_profile_visit_rate",BC129,IF(AB129="xhs_dm_intent_rate",BD129,IF(AB129="xhs_discussion_rate",BE129,IF(AB129="xhs_product_relevance_rate",BF129,IF(AB129="x_first_screen_engaged_rate_proxy",BG129,IF(AB129="x_qualified_reply_rate",BH129,IF(AB129="x_profile_click_rate",BI129,IF(AB129="x_link_intent_rate",BJ129,IF(AB129="x_bookmark_rate",BK129,IF(AB129="x_product_relevance_rate",BL129,""))))))))))))</x:f>
      </x:c>
      <x:c r="BN129" s="73" t="str">
        <x:f>IFERROR(BM129/AT129-1,"")</x:f>
      </x:c>
      <x:c r="BO129" s="73" t="str">
        <x:f>IF(AC129="","",IF(AC129="xhs_save_rate",BA129,IF(AC129="xhs_completion_rate",BB129,IF(AC129="xhs_profile_visit_rate",BC129,IF(AC129="xhs_dm_intent_rate",BD129,IF(AC129="xhs_discussion_rate",BE129,IF(AC129="xhs_product_relevance_rate",BF129,IF(AC129="x_first_screen_engaged_rate_proxy",BG129,IF(AC129="x_qualified_reply_rate",BH129,IF(AC129="x_profile_click_rate",BI129,IF(AC129="x_link_intent_rate",BJ129,IF(AC129="x_bookmark_rate",BK129,IF(AC129="x_product_relevance_rate",BL129,"")))))))))))))</x:f>
      </x:c>
      <x:c r="BP129" s="73" t="str">
        <x:f>IFERROR(BO129/AU129-1,"")</x:f>
      </x:c>
      <x:c r="BQ129" s="74" t="str">
        <x:f>IF(COUNT(AD129)=0,"",AD129)</x:f>
      </x:c>
      <x:c r="BR129" s="73" t="str">
        <x:f>IF(C129="xiaohongshu",IF(COUNT(BA129,BB129)=2,AVERAGE(BA129,BB129),IF(COUNT(BA129)=1,BA129,BB129)),BK129)</x:f>
      </x:c>
      <x:c r="BS129" s="73" t="str">
        <x:f>IF(C129="xiaohongshu",BE129,BH129)</x:f>
      </x:c>
      <x:c r="BT129" s="73" t="str">
        <x:f>IF(C129="xiaohongshu",IF(I129="save",BA129,IF(I129="discussion",BE129,IF(I129="profile_visit",BC129,IF(I129="dm",BD129,IF(OR(I129="product_question",I129="trial_intent"),BF129,""))))),IF(I129="save",BK129,IF(I129="discussion",BH129,IF(OR(I129="profile_visit",I129="dm"),BI129,IF(I129="link_click",BJ129,IF(OR(I129="product_question",I129="trial_intent"),BL129,""))))))</x:f>
      </x:c>
      <x:c r="BU129" s="73" t="str">
        <x:f>IF(C129="xiaohongshu",BF129,BL129)</x:f>
      </x:c>
      <x:c r="BV129" s="65" t="str">
        <x:f>IF(COUNT(BQ129,AV129)&lt;2,"unknown",IF(BQ129/AV129-1&gt;=0.2,"high",IF(BQ129/AV129-1&lt;=-0.2,"low","normal")))</x:f>
        <x:v>unknown</x:v>
      </x:c>
      <x:c r="BW129" s="65" t="str">
        <x:f>IF(COUNT(BR129,AW129)&lt;2,"unknown",IF(BR129/AW129-1&gt;=0.2,"high",IF(BR129/AW129-1&lt;=-0.2,"low","normal")))</x:f>
        <x:v>unknown</x:v>
      </x:c>
      <x:c r="BX129" s="65" t="str">
        <x:f>IF(COUNT(BS129,AX129)&lt;2,"unknown",IF(BS129/AX129-1&gt;=0.2,"high",IF(BS129/AX129-1&lt;=-0.2,"low","normal")))</x:f>
        <x:v>unknown</x:v>
      </x:c>
      <x:c r="BY129" s="65" t="str">
        <x:f>IF(COUNT(BT129,AY129)&lt;2,"unknown",IF(BT129/AY129-1&gt;=0.2,"high",IF(BT129/AY129-1&lt;=-0.2,"low","normal")))</x:f>
        <x:v>unknown</x:v>
      </x:c>
      <x:c r="BZ129" s="65" t="str">
        <x:f>IF(COUNT(BU129,AZ129)&lt;2,"unknown",IF(BU129/AZ129-1&gt;=0.2,"high",IF(BU129/AZ129-1&lt;=-0.2,"low","normal")))</x:f>
        <x:v>unknown</x:v>
      </x:c>
      <x:c r="CA129" s="65" t="str">
        <x:f>IF(T129&lt;&gt;"complete","pending",IF(OR(L129&lt;&gt;"pure",U129="true",COUNT(BM129,AT129)&lt;2,AND(AC129&lt;&gt;"",COUNT(BO129,AU129)&lt;2)),"not_attributable","attributable"))</x:f>
        <x:v>pending</x:v>
      </x:c>
      <x:c r="CB129" s="65" t="str">
        <x:f>IF(T129&lt;&gt;"complete","not_evaluated",IF(COUNT(BM129,AT129)&lt;2,"insufficient_data",IF(AND(AC129&lt;&gt;"",COUNT(BP129)=1,BP129&lt;=-0.2),"guardrail_fail",IF(AND(CA129="not_attributable",OR(BV129="high",BN129&gt;=0.2)),"watchlist",IF(CA129&lt;&gt;"attributable","insufficient_data",IF(BN129&gt;=0.2,"win",IF(BN129&lt;=-0.2,"loss","inconclusive")))))))</x:f>
        <x:v>not_evaluated</x:v>
      </x:c>
      <x:c r="CC129" s="65" t="str">
        <x:f>IF(T129&lt;&gt;"complete","COLLECT_MORE_DATA",IF(COUNT(BM129,AT129)&lt;2,"FIX_TRACKING",IF(CB129="guardrail_fail","STOP_VARIANT_GUARDRAIL",IF(CB129="watchlist","WATCHLIST_ONLY",IF(AND(BV129="high",BY129="low"),"KEEP_HOOK_REWRITE_CTA",IF(AND(BW129="high",BX129="low"),"KEEP_STRUCTURE_CHANGE_DISCUSSION_ANGLE",IF(AND(BX129="high",BZ129="low"),"DOWNWEIGHT_TEMPLATE",IF(CB129="win","RETEST_WINNER",IF(CB129="loss","RETURN_TO_BASELINE","COLLECT_MORE_DATA")))))))))</x:f>
        <x:v>COLLECT_MORE_DATA</x:v>
      </x:c>
      <x:c r="CD129" s="75"/>
    </x:row>
    <x:row r="130">
      <x:c r="A130" s="68"/>
      <x:c r="B130" s="69"/>
      <x:c r="C130" s="68"/>
      <x:c r="D130" s="68"/>
      <x:c r="E130" s="68"/>
      <x:c r="F130" s="68"/>
      <x:c r="G130" s="68"/>
      <x:c r="H130" s="70"/>
      <x:c r="I130" s="68"/>
      <x:c r="J130" s="68"/>
      <x:c r="K130" s="68"/>
      <x:c r="L130" s="71" t="str">
        <x:f>IF(K130="","unknown",IF(K130=0,"baseline",IF(K130=1,"pure","mixed")))</x:f>
        <x:v>unknown</x:v>
      </x:c>
      <x:c r="M130" s="68"/>
      <x:c r="N130" s="68"/>
      <x:c r="O130" s="68"/>
      <x:c r="P130" s="68"/>
      <x:c r="Q130" s="68"/>
      <x:c r="R130" s="68"/>
      <x:c r="S130" s="68"/>
      <x:c r="T130" s="68"/>
      <x:c r="U130" s="68"/>
      <x:c r="V130" s="68"/>
      <x:c r="W130" s="68"/>
      <x:c r="X130" s="68"/>
      <x:c r="Y130" s="68"/>
      <x:c r="Z130" s="68"/>
      <x:c r="AA130" s="68"/>
      <x:c r="AB130" s="68"/>
      <x:c r="AC130" s="68"/>
      <x:c r="AD130" s="70"/>
      <x:c r="AE130" s="70"/>
      <x:c r="AF130" s="70"/>
      <x:c r="AG130" s="70"/>
      <x:c r="AH130" s="70"/>
      <x:c r="AI130" s="70"/>
      <x:c r="AJ130" s="70"/>
      <x:c r="AK130" s="70"/>
      <x:c r="AL130" s="70"/>
      <x:c r="AM130" s="70"/>
      <x:c r="AN130" s="70"/>
      <x:c r="AO130" s="70"/>
      <x:c r="AP130" s="70"/>
      <x:c r="AQ130" s="70"/>
      <x:c r="AR130" s="70"/>
      <x:c r="AS130" s="70"/>
      <x:c r="AT130" s="72"/>
      <x:c r="AU130" s="72"/>
      <x:c r="AV130" s="72"/>
      <x:c r="AW130" s="72"/>
      <x:c r="AX130" s="72"/>
      <x:c r="AY130" s="72"/>
      <x:c r="AZ130" s="72"/>
      <x:c r="BA130" s="73" t="str">
        <x:f>IF(C130="xiaohongshu",IF(COUNT(AF130,AE130)&lt;2,"",IFERROR(AF130/AE130,"")),"")</x:f>
      </x:c>
      <x:c r="BB130" s="73" t="str">
        <x:f>IF(C130="xiaohongshu",IF(COUNT(AG130,AE130)&lt;2,"",IFERROR(AG130/AE130,"")),"")</x:f>
      </x:c>
      <x:c r="BC130" s="73" t="str">
        <x:f>IF(C130="xiaohongshu",IF(COUNT(AN130,AE130)&lt;2,"",IFERROR(AN130/AE130,"")),"")</x:f>
      </x:c>
      <x:c r="BD130" s="73" t="str">
        <x:f>IF(C130="xiaohongshu",IF(COUNT(AQ130,AE130)&lt;2,"",IFERROR(AQ130/AE130,"")),"")</x:f>
      </x:c>
      <x:c r="BE130" s="73" t="str">
        <x:f>IF(C130="xiaohongshu",IF(COUNT(AI130,AE130)&lt;2,"",IFERROR(AI130/AE130,"")),"")</x:f>
      </x:c>
      <x:c r="BF130" s="73" t="str">
        <x:f>IF(C130="xiaohongshu",IF(OR(COUNT(AE130)=0,COUNT(AR130,AS130)=0),"",IFERROR((AR130+AS130)/AE130,"")),"")</x:f>
      </x:c>
      <x:c r="BG130" s="73" t="str">
        <x:f>IF(C130="x",IF(COUNT(AD130)=0,"",IF(COUNT(AM130)=1,IFERROR(AM130/AD130,""),IF(COUNT(AH130,AI130,AK130,AL130)=0,"",IFERROR(SUM(AH130,AI130,AK130,AL130)/AD130,"")))),"")</x:f>
      </x:c>
      <x:c r="BH130" s="73" t="str">
        <x:f>IF(C130="x",IF(COUNT(AJ130,AD130)&lt;2,"",IFERROR(AJ130/AD130,"")),"")</x:f>
      </x:c>
      <x:c r="BI130" s="73" t="str">
        <x:f>IF(C130="x",IF(COUNT(AO130,AD130)&lt;2,"",IFERROR(AO130/AD130,"")),"")</x:f>
      </x:c>
      <x:c r="BJ130" s="73" t="str">
        <x:f>IF(C130="x",IF(COUNT(AP130,AD130)&lt;2,"",IFERROR(AP130/AD130,"")),"")</x:f>
      </x:c>
      <x:c r="BK130" s="73" t="str">
        <x:f>IF(C130="x",IF(COUNT(AL130,AD130)&lt;2,"",IFERROR(AL130/AD130,"")),"")</x:f>
      </x:c>
      <x:c r="BL130" s="73" t="str">
        <x:f>IF(C130="x",IF(OR(COUNT(AD130)=0,COUNT(AR130,AS130)=0),"",IFERROR((AR130+AS130)/AD130,"")),"")</x:f>
      </x:c>
      <x:c r="BM130" s="73" t="str">
        <x:f>IF(AB130="xhs_save_rate",BA130,IF(AB130="xhs_completion_rate",BB130,IF(AB130="xhs_profile_visit_rate",BC130,IF(AB130="xhs_dm_intent_rate",BD130,IF(AB130="xhs_discussion_rate",BE130,IF(AB130="xhs_product_relevance_rate",BF130,IF(AB130="x_first_screen_engaged_rate_proxy",BG130,IF(AB130="x_qualified_reply_rate",BH130,IF(AB130="x_profile_click_rate",BI130,IF(AB130="x_link_intent_rate",BJ130,IF(AB130="x_bookmark_rate",BK130,IF(AB130="x_product_relevance_rate",BL130,""))))))))))))</x:f>
      </x:c>
      <x:c r="BN130" s="73" t="str">
        <x:f>IFERROR(BM130/AT130-1,"")</x:f>
      </x:c>
      <x:c r="BO130" s="73" t="str">
        <x:f>IF(AC130="","",IF(AC130="xhs_save_rate",BA130,IF(AC130="xhs_completion_rate",BB130,IF(AC130="xhs_profile_visit_rate",BC130,IF(AC130="xhs_dm_intent_rate",BD130,IF(AC130="xhs_discussion_rate",BE130,IF(AC130="xhs_product_relevance_rate",BF130,IF(AC130="x_first_screen_engaged_rate_proxy",BG130,IF(AC130="x_qualified_reply_rate",BH130,IF(AC130="x_profile_click_rate",BI130,IF(AC130="x_link_intent_rate",BJ130,IF(AC130="x_bookmark_rate",BK130,IF(AC130="x_product_relevance_rate",BL130,"")))))))))))))</x:f>
      </x:c>
      <x:c r="BP130" s="73" t="str">
        <x:f>IFERROR(BO130/AU130-1,"")</x:f>
      </x:c>
      <x:c r="BQ130" s="74" t="str">
        <x:f>IF(COUNT(AD130)=0,"",AD130)</x:f>
      </x:c>
      <x:c r="BR130" s="73" t="str">
        <x:f>IF(C130="xiaohongshu",IF(COUNT(BA130,BB130)=2,AVERAGE(BA130,BB130),IF(COUNT(BA130)=1,BA130,BB130)),BK130)</x:f>
      </x:c>
      <x:c r="BS130" s="73" t="str">
        <x:f>IF(C130="xiaohongshu",BE130,BH130)</x:f>
      </x:c>
      <x:c r="BT130" s="73" t="str">
        <x:f>IF(C130="xiaohongshu",IF(I130="save",BA130,IF(I130="discussion",BE130,IF(I130="profile_visit",BC130,IF(I130="dm",BD130,IF(OR(I130="product_question",I130="trial_intent"),BF130,""))))),IF(I130="save",BK130,IF(I130="discussion",BH130,IF(OR(I130="profile_visit",I130="dm"),BI130,IF(I130="link_click",BJ130,IF(OR(I130="product_question",I130="trial_intent"),BL130,""))))))</x:f>
      </x:c>
      <x:c r="BU130" s="73" t="str">
        <x:f>IF(C130="xiaohongshu",BF130,BL130)</x:f>
      </x:c>
      <x:c r="BV130" s="65" t="str">
        <x:f>IF(COUNT(BQ130,AV130)&lt;2,"unknown",IF(BQ130/AV130-1&gt;=0.2,"high",IF(BQ130/AV130-1&lt;=-0.2,"low","normal")))</x:f>
        <x:v>unknown</x:v>
      </x:c>
      <x:c r="BW130" s="65" t="str">
        <x:f>IF(COUNT(BR130,AW130)&lt;2,"unknown",IF(BR130/AW130-1&gt;=0.2,"high",IF(BR130/AW130-1&lt;=-0.2,"low","normal")))</x:f>
        <x:v>unknown</x:v>
      </x:c>
      <x:c r="BX130" s="65" t="str">
        <x:f>IF(COUNT(BS130,AX130)&lt;2,"unknown",IF(BS130/AX130-1&gt;=0.2,"high",IF(BS130/AX130-1&lt;=-0.2,"low","normal")))</x:f>
        <x:v>unknown</x:v>
      </x:c>
      <x:c r="BY130" s="65" t="str">
        <x:f>IF(COUNT(BT130,AY130)&lt;2,"unknown",IF(BT130/AY130-1&gt;=0.2,"high",IF(BT130/AY130-1&lt;=-0.2,"low","normal")))</x:f>
        <x:v>unknown</x:v>
      </x:c>
      <x:c r="BZ130" s="65" t="str">
        <x:f>IF(COUNT(BU130,AZ130)&lt;2,"unknown",IF(BU130/AZ130-1&gt;=0.2,"high",IF(BU130/AZ130-1&lt;=-0.2,"low","normal")))</x:f>
        <x:v>unknown</x:v>
      </x:c>
      <x:c r="CA130" s="65" t="str">
        <x:f>IF(T130&lt;&gt;"complete","pending",IF(OR(L130&lt;&gt;"pure",U130="true",COUNT(BM130,AT130)&lt;2,AND(AC130&lt;&gt;"",COUNT(BO130,AU130)&lt;2)),"not_attributable","attributable"))</x:f>
        <x:v>pending</x:v>
      </x:c>
      <x:c r="CB130" s="65" t="str">
        <x:f>IF(T130&lt;&gt;"complete","not_evaluated",IF(COUNT(BM130,AT130)&lt;2,"insufficient_data",IF(AND(AC130&lt;&gt;"",COUNT(BP130)=1,BP130&lt;=-0.2),"guardrail_fail",IF(AND(CA130="not_attributable",OR(BV130="high",BN130&gt;=0.2)),"watchlist",IF(CA130&lt;&gt;"attributable","insufficient_data",IF(BN130&gt;=0.2,"win",IF(BN130&lt;=-0.2,"loss","inconclusive")))))))</x:f>
        <x:v>not_evaluated</x:v>
      </x:c>
      <x:c r="CC130" s="65" t="str">
        <x:f>IF(T130&lt;&gt;"complete","COLLECT_MORE_DATA",IF(COUNT(BM130,AT130)&lt;2,"FIX_TRACKING",IF(CB130="guardrail_fail","STOP_VARIANT_GUARDRAIL",IF(CB130="watchlist","WATCHLIST_ONLY",IF(AND(BV130="high",BY130="low"),"KEEP_HOOK_REWRITE_CTA",IF(AND(BW130="high",BX130="low"),"KEEP_STRUCTURE_CHANGE_DISCUSSION_ANGLE",IF(AND(BX130="high",BZ130="low"),"DOWNWEIGHT_TEMPLATE",IF(CB130="win","RETEST_WINNER",IF(CB130="loss","RETURN_TO_BASELINE","COLLECT_MORE_DATA")))))))))</x:f>
        <x:v>COLLECT_MORE_DATA</x:v>
      </x:c>
      <x:c r="CD130" s="75"/>
    </x:row>
    <x:row r="131">
      <x:c r="A131" s="68"/>
      <x:c r="B131" s="69"/>
      <x:c r="C131" s="68"/>
      <x:c r="D131" s="68"/>
      <x:c r="E131" s="68"/>
      <x:c r="F131" s="68"/>
      <x:c r="G131" s="68"/>
      <x:c r="H131" s="70"/>
      <x:c r="I131" s="68"/>
      <x:c r="J131" s="68"/>
      <x:c r="K131" s="68"/>
      <x:c r="L131" s="71" t="str">
        <x:f>IF(K131="","unknown",IF(K131=0,"baseline",IF(K131=1,"pure","mixed")))</x:f>
        <x:v>unknown</x:v>
      </x:c>
      <x:c r="M131" s="68"/>
      <x:c r="N131" s="68"/>
      <x:c r="O131" s="68"/>
      <x:c r="P131" s="68"/>
      <x:c r="Q131" s="68"/>
      <x:c r="R131" s="68"/>
      <x:c r="S131" s="68"/>
      <x:c r="T131" s="68"/>
      <x:c r="U131" s="68"/>
      <x:c r="V131" s="68"/>
      <x:c r="W131" s="68"/>
      <x:c r="X131" s="68"/>
      <x:c r="Y131" s="68"/>
      <x:c r="Z131" s="68"/>
      <x:c r="AA131" s="68"/>
      <x:c r="AB131" s="68"/>
      <x:c r="AC131" s="68"/>
      <x:c r="AD131" s="70"/>
      <x:c r="AE131" s="70"/>
      <x:c r="AF131" s="70"/>
      <x:c r="AG131" s="70"/>
      <x:c r="AH131" s="70"/>
      <x:c r="AI131" s="70"/>
      <x:c r="AJ131" s="70"/>
      <x:c r="AK131" s="70"/>
      <x:c r="AL131" s="70"/>
      <x:c r="AM131" s="70"/>
      <x:c r="AN131" s="70"/>
      <x:c r="AO131" s="70"/>
      <x:c r="AP131" s="70"/>
      <x:c r="AQ131" s="70"/>
      <x:c r="AR131" s="70"/>
      <x:c r="AS131" s="70"/>
      <x:c r="AT131" s="72"/>
      <x:c r="AU131" s="72"/>
      <x:c r="AV131" s="72"/>
      <x:c r="AW131" s="72"/>
      <x:c r="AX131" s="72"/>
      <x:c r="AY131" s="72"/>
      <x:c r="AZ131" s="72"/>
      <x:c r="BA131" s="73" t="str">
        <x:f>IF(C131="xiaohongshu",IF(COUNT(AF131,AE131)&lt;2,"",IFERROR(AF131/AE131,"")),"")</x:f>
      </x:c>
      <x:c r="BB131" s="73" t="str">
        <x:f>IF(C131="xiaohongshu",IF(COUNT(AG131,AE131)&lt;2,"",IFERROR(AG131/AE131,"")),"")</x:f>
      </x:c>
      <x:c r="BC131" s="73" t="str">
        <x:f>IF(C131="xiaohongshu",IF(COUNT(AN131,AE131)&lt;2,"",IFERROR(AN131/AE131,"")),"")</x:f>
      </x:c>
      <x:c r="BD131" s="73" t="str">
        <x:f>IF(C131="xiaohongshu",IF(COUNT(AQ131,AE131)&lt;2,"",IFERROR(AQ131/AE131,"")),"")</x:f>
      </x:c>
      <x:c r="BE131" s="73" t="str">
        <x:f>IF(C131="xiaohongshu",IF(COUNT(AI131,AE131)&lt;2,"",IFERROR(AI131/AE131,"")),"")</x:f>
      </x:c>
      <x:c r="BF131" s="73" t="str">
        <x:f>IF(C131="xiaohongshu",IF(OR(COUNT(AE131)=0,COUNT(AR131,AS131)=0),"",IFERROR((AR131+AS131)/AE131,"")),"")</x:f>
      </x:c>
      <x:c r="BG131" s="73" t="str">
        <x:f>IF(C131="x",IF(COUNT(AD131)=0,"",IF(COUNT(AM131)=1,IFERROR(AM131/AD131,""),IF(COUNT(AH131,AI131,AK131,AL131)=0,"",IFERROR(SUM(AH131,AI131,AK131,AL131)/AD131,"")))),"")</x:f>
      </x:c>
      <x:c r="BH131" s="73" t="str">
        <x:f>IF(C131="x",IF(COUNT(AJ131,AD131)&lt;2,"",IFERROR(AJ131/AD131,"")),"")</x:f>
      </x:c>
      <x:c r="BI131" s="73" t="str">
        <x:f>IF(C131="x",IF(COUNT(AO131,AD131)&lt;2,"",IFERROR(AO131/AD131,"")),"")</x:f>
      </x:c>
      <x:c r="BJ131" s="73" t="str">
        <x:f>IF(C131="x",IF(COUNT(AP131,AD131)&lt;2,"",IFERROR(AP131/AD131,"")),"")</x:f>
      </x:c>
      <x:c r="BK131" s="73" t="str">
        <x:f>IF(C131="x",IF(COUNT(AL131,AD131)&lt;2,"",IFERROR(AL131/AD131,"")),"")</x:f>
      </x:c>
      <x:c r="BL131" s="73" t="str">
        <x:f>IF(C131="x",IF(OR(COUNT(AD131)=0,COUNT(AR131,AS131)=0),"",IFERROR((AR131+AS131)/AD131,"")),"")</x:f>
      </x:c>
      <x:c r="BM131" s="73" t="str">
        <x:f>IF(AB131="xhs_save_rate",BA131,IF(AB131="xhs_completion_rate",BB131,IF(AB131="xhs_profile_visit_rate",BC131,IF(AB131="xhs_dm_intent_rate",BD131,IF(AB131="xhs_discussion_rate",BE131,IF(AB131="xhs_product_relevance_rate",BF131,IF(AB131="x_first_screen_engaged_rate_proxy",BG131,IF(AB131="x_qualified_reply_rate",BH131,IF(AB131="x_profile_click_rate",BI131,IF(AB131="x_link_intent_rate",BJ131,IF(AB131="x_bookmark_rate",BK131,IF(AB131="x_product_relevance_rate",BL131,""))))))))))))</x:f>
      </x:c>
      <x:c r="BN131" s="73" t="str">
        <x:f>IFERROR(BM131/AT131-1,"")</x:f>
      </x:c>
      <x:c r="BO131" s="73" t="str">
        <x:f>IF(AC131="","",IF(AC131="xhs_save_rate",BA131,IF(AC131="xhs_completion_rate",BB131,IF(AC131="xhs_profile_visit_rate",BC131,IF(AC131="xhs_dm_intent_rate",BD131,IF(AC131="xhs_discussion_rate",BE131,IF(AC131="xhs_product_relevance_rate",BF131,IF(AC131="x_first_screen_engaged_rate_proxy",BG131,IF(AC131="x_qualified_reply_rate",BH131,IF(AC131="x_profile_click_rate",BI131,IF(AC131="x_link_intent_rate",BJ131,IF(AC131="x_bookmark_rate",BK131,IF(AC131="x_product_relevance_rate",BL131,"")))))))))))))</x:f>
      </x:c>
      <x:c r="BP131" s="73" t="str">
        <x:f>IFERROR(BO131/AU131-1,"")</x:f>
      </x:c>
      <x:c r="BQ131" s="74" t="str">
        <x:f>IF(COUNT(AD131)=0,"",AD131)</x:f>
      </x:c>
      <x:c r="BR131" s="73" t="str">
        <x:f>IF(C131="xiaohongshu",IF(COUNT(BA131,BB131)=2,AVERAGE(BA131,BB131),IF(COUNT(BA131)=1,BA131,BB131)),BK131)</x:f>
      </x:c>
      <x:c r="BS131" s="73" t="str">
        <x:f>IF(C131="xiaohongshu",BE131,BH131)</x:f>
      </x:c>
      <x:c r="BT131" s="73" t="str">
        <x:f>IF(C131="xiaohongshu",IF(I131="save",BA131,IF(I131="discussion",BE131,IF(I131="profile_visit",BC131,IF(I131="dm",BD131,IF(OR(I131="product_question",I131="trial_intent"),BF131,""))))),IF(I131="save",BK131,IF(I131="discussion",BH131,IF(OR(I131="profile_visit",I131="dm"),BI131,IF(I131="link_click",BJ131,IF(OR(I131="product_question",I131="trial_intent"),BL131,""))))))</x:f>
      </x:c>
      <x:c r="BU131" s="73" t="str">
        <x:f>IF(C131="xiaohongshu",BF131,BL131)</x:f>
      </x:c>
      <x:c r="BV131" s="65" t="str">
        <x:f>IF(COUNT(BQ131,AV131)&lt;2,"unknown",IF(BQ131/AV131-1&gt;=0.2,"high",IF(BQ131/AV131-1&lt;=-0.2,"low","normal")))</x:f>
        <x:v>unknown</x:v>
      </x:c>
      <x:c r="BW131" s="65" t="str">
        <x:f>IF(COUNT(BR131,AW131)&lt;2,"unknown",IF(BR131/AW131-1&gt;=0.2,"high",IF(BR131/AW131-1&lt;=-0.2,"low","normal")))</x:f>
        <x:v>unknown</x:v>
      </x:c>
      <x:c r="BX131" s="65" t="str">
        <x:f>IF(COUNT(BS131,AX131)&lt;2,"unknown",IF(BS131/AX131-1&gt;=0.2,"high",IF(BS131/AX131-1&lt;=-0.2,"low","normal")))</x:f>
        <x:v>unknown</x:v>
      </x:c>
      <x:c r="BY131" s="65" t="str">
        <x:f>IF(COUNT(BT131,AY131)&lt;2,"unknown",IF(BT131/AY131-1&gt;=0.2,"high",IF(BT131/AY131-1&lt;=-0.2,"low","normal")))</x:f>
        <x:v>unknown</x:v>
      </x:c>
      <x:c r="BZ131" s="65" t="str">
        <x:f>IF(COUNT(BU131,AZ131)&lt;2,"unknown",IF(BU131/AZ131-1&gt;=0.2,"high",IF(BU131/AZ131-1&lt;=-0.2,"low","normal")))</x:f>
        <x:v>unknown</x:v>
      </x:c>
      <x:c r="CA131" s="65" t="str">
        <x:f>IF(T131&lt;&gt;"complete","pending",IF(OR(L131&lt;&gt;"pure",U131="true",COUNT(BM131,AT131)&lt;2,AND(AC131&lt;&gt;"",COUNT(BO131,AU131)&lt;2)),"not_attributable","attributable"))</x:f>
        <x:v>pending</x:v>
      </x:c>
      <x:c r="CB131" s="65" t="str">
        <x:f>IF(T131&lt;&gt;"complete","not_evaluated",IF(COUNT(BM131,AT131)&lt;2,"insufficient_data",IF(AND(AC131&lt;&gt;"",COUNT(BP131)=1,BP131&lt;=-0.2),"guardrail_fail",IF(AND(CA131="not_attributable",OR(BV131="high",BN131&gt;=0.2)),"watchlist",IF(CA131&lt;&gt;"attributable","insufficient_data",IF(BN131&gt;=0.2,"win",IF(BN131&lt;=-0.2,"loss","inconclusive")))))))</x:f>
        <x:v>not_evaluated</x:v>
      </x:c>
      <x:c r="CC131" s="65" t="str">
        <x:f>IF(T131&lt;&gt;"complete","COLLECT_MORE_DATA",IF(COUNT(BM131,AT131)&lt;2,"FIX_TRACKING",IF(CB131="guardrail_fail","STOP_VARIANT_GUARDRAIL",IF(CB131="watchlist","WATCHLIST_ONLY",IF(AND(BV131="high",BY131="low"),"KEEP_HOOK_REWRITE_CTA",IF(AND(BW131="high",BX131="low"),"KEEP_STRUCTURE_CHANGE_DISCUSSION_ANGLE",IF(AND(BX131="high",BZ131="low"),"DOWNWEIGHT_TEMPLATE",IF(CB131="win","RETEST_WINNER",IF(CB131="loss","RETURN_TO_BASELINE","COLLECT_MORE_DATA")))))))))</x:f>
        <x:v>COLLECT_MORE_DATA</x:v>
      </x:c>
      <x:c r="CD131" s="75"/>
    </x:row>
    <x:row r="132">
      <x:c r="A132" s="68"/>
      <x:c r="B132" s="69"/>
      <x:c r="C132" s="68"/>
      <x:c r="D132" s="68"/>
      <x:c r="E132" s="68"/>
      <x:c r="F132" s="68"/>
      <x:c r="G132" s="68"/>
      <x:c r="H132" s="70"/>
      <x:c r="I132" s="68"/>
      <x:c r="J132" s="68"/>
      <x:c r="K132" s="68"/>
      <x:c r="L132" s="71" t="str">
        <x:f>IF(K132="","unknown",IF(K132=0,"baseline",IF(K132=1,"pure","mixed")))</x:f>
        <x:v>unknown</x:v>
      </x:c>
      <x:c r="M132" s="68"/>
      <x:c r="N132" s="68"/>
      <x:c r="O132" s="68"/>
      <x:c r="P132" s="68"/>
      <x:c r="Q132" s="68"/>
      <x:c r="R132" s="68"/>
      <x:c r="S132" s="68"/>
      <x:c r="T132" s="68"/>
      <x:c r="U132" s="68"/>
      <x:c r="V132" s="68"/>
      <x:c r="W132" s="68"/>
      <x:c r="X132" s="68"/>
      <x:c r="Y132" s="68"/>
      <x:c r="Z132" s="68"/>
      <x:c r="AA132" s="68"/>
      <x:c r="AB132" s="68"/>
      <x:c r="AC132" s="68"/>
      <x:c r="AD132" s="70"/>
      <x:c r="AE132" s="70"/>
      <x:c r="AF132" s="70"/>
      <x:c r="AG132" s="70"/>
      <x:c r="AH132" s="70"/>
      <x:c r="AI132" s="70"/>
      <x:c r="AJ132" s="70"/>
      <x:c r="AK132" s="70"/>
      <x:c r="AL132" s="70"/>
      <x:c r="AM132" s="70"/>
      <x:c r="AN132" s="70"/>
      <x:c r="AO132" s="70"/>
      <x:c r="AP132" s="70"/>
      <x:c r="AQ132" s="70"/>
      <x:c r="AR132" s="70"/>
      <x:c r="AS132" s="70"/>
      <x:c r="AT132" s="72"/>
      <x:c r="AU132" s="72"/>
      <x:c r="AV132" s="72"/>
      <x:c r="AW132" s="72"/>
      <x:c r="AX132" s="72"/>
      <x:c r="AY132" s="72"/>
      <x:c r="AZ132" s="72"/>
      <x:c r="BA132" s="73" t="str">
        <x:f>IF(C132="xiaohongshu",IF(COUNT(AF132,AE132)&lt;2,"",IFERROR(AF132/AE132,"")),"")</x:f>
      </x:c>
      <x:c r="BB132" s="73" t="str">
        <x:f>IF(C132="xiaohongshu",IF(COUNT(AG132,AE132)&lt;2,"",IFERROR(AG132/AE132,"")),"")</x:f>
      </x:c>
      <x:c r="BC132" s="73" t="str">
        <x:f>IF(C132="xiaohongshu",IF(COUNT(AN132,AE132)&lt;2,"",IFERROR(AN132/AE132,"")),"")</x:f>
      </x:c>
      <x:c r="BD132" s="73" t="str">
        <x:f>IF(C132="xiaohongshu",IF(COUNT(AQ132,AE132)&lt;2,"",IFERROR(AQ132/AE132,"")),"")</x:f>
      </x:c>
      <x:c r="BE132" s="73" t="str">
        <x:f>IF(C132="xiaohongshu",IF(COUNT(AI132,AE132)&lt;2,"",IFERROR(AI132/AE132,"")),"")</x:f>
      </x:c>
      <x:c r="BF132" s="73" t="str">
        <x:f>IF(C132="xiaohongshu",IF(OR(COUNT(AE132)=0,COUNT(AR132,AS132)=0),"",IFERROR((AR132+AS132)/AE132,"")),"")</x:f>
      </x:c>
      <x:c r="BG132" s="73" t="str">
        <x:f>IF(C132="x",IF(COUNT(AD132)=0,"",IF(COUNT(AM132)=1,IFERROR(AM132/AD132,""),IF(COUNT(AH132,AI132,AK132,AL132)=0,"",IFERROR(SUM(AH132,AI132,AK132,AL132)/AD132,"")))),"")</x:f>
      </x:c>
      <x:c r="BH132" s="73" t="str">
        <x:f>IF(C132="x",IF(COUNT(AJ132,AD132)&lt;2,"",IFERROR(AJ132/AD132,"")),"")</x:f>
      </x:c>
      <x:c r="BI132" s="73" t="str">
        <x:f>IF(C132="x",IF(COUNT(AO132,AD132)&lt;2,"",IFERROR(AO132/AD132,"")),"")</x:f>
      </x:c>
      <x:c r="BJ132" s="73" t="str">
        <x:f>IF(C132="x",IF(COUNT(AP132,AD132)&lt;2,"",IFERROR(AP132/AD132,"")),"")</x:f>
      </x:c>
      <x:c r="BK132" s="73" t="str">
        <x:f>IF(C132="x",IF(COUNT(AL132,AD132)&lt;2,"",IFERROR(AL132/AD132,"")),"")</x:f>
      </x:c>
      <x:c r="BL132" s="73" t="str">
        <x:f>IF(C132="x",IF(OR(COUNT(AD132)=0,COUNT(AR132,AS132)=0),"",IFERROR((AR132+AS132)/AD132,"")),"")</x:f>
      </x:c>
      <x:c r="BM132" s="73" t="str">
        <x:f>IF(AB132="xhs_save_rate",BA132,IF(AB132="xhs_completion_rate",BB132,IF(AB132="xhs_profile_visit_rate",BC132,IF(AB132="xhs_dm_intent_rate",BD132,IF(AB132="xhs_discussion_rate",BE132,IF(AB132="xhs_product_relevance_rate",BF132,IF(AB132="x_first_screen_engaged_rate_proxy",BG132,IF(AB132="x_qualified_reply_rate",BH132,IF(AB132="x_profile_click_rate",BI132,IF(AB132="x_link_intent_rate",BJ132,IF(AB132="x_bookmark_rate",BK132,IF(AB132="x_product_relevance_rate",BL132,""))))))))))))</x:f>
      </x:c>
      <x:c r="BN132" s="73" t="str">
        <x:f>IFERROR(BM132/AT132-1,"")</x:f>
      </x:c>
      <x:c r="BO132" s="73" t="str">
        <x:f>IF(AC132="","",IF(AC132="xhs_save_rate",BA132,IF(AC132="xhs_completion_rate",BB132,IF(AC132="xhs_profile_visit_rate",BC132,IF(AC132="xhs_dm_intent_rate",BD132,IF(AC132="xhs_discussion_rate",BE132,IF(AC132="xhs_product_relevance_rate",BF132,IF(AC132="x_first_screen_engaged_rate_proxy",BG132,IF(AC132="x_qualified_reply_rate",BH132,IF(AC132="x_profile_click_rate",BI132,IF(AC132="x_link_intent_rate",BJ132,IF(AC132="x_bookmark_rate",BK132,IF(AC132="x_product_relevance_rate",BL132,"")))))))))))))</x:f>
      </x:c>
      <x:c r="BP132" s="73" t="str">
        <x:f>IFERROR(BO132/AU132-1,"")</x:f>
      </x:c>
      <x:c r="BQ132" s="74" t="str">
        <x:f>IF(COUNT(AD132)=0,"",AD132)</x:f>
      </x:c>
      <x:c r="BR132" s="73" t="str">
        <x:f>IF(C132="xiaohongshu",IF(COUNT(BA132,BB132)=2,AVERAGE(BA132,BB132),IF(COUNT(BA132)=1,BA132,BB132)),BK132)</x:f>
      </x:c>
      <x:c r="BS132" s="73" t="str">
        <x:f>IF(C132="xiaohongshu",BE132,BH132)</x:f>
      </x:c>
      <x:c r="BT132" s="73" t="str">
        <x:f>IF(C132="xiaohongshu",IF(I132="save",BA132,IF(I132="discussion",BE132,IF(I132="profile_visit",BC132,IF(I132="dm",BD132,IF(OR(I132="product_question",I132="trial_intent"),BF132,""))))),IF(I132="save",BK132,IF(I132="discussion",BH132,IF(OR(I132="profile_visit",I132="dm"),BI132,IF(I132="link_click",BJ132,IF(OR(I132="product_question",I132="trial_intent"),BL132,""))))))</x:f>
      </x:c>
      <x:c r="BU132" s="73" t="str">
        <x:f>IF(C132="xiaohongshu",BF132,BL132)</x:f>
      </x:c>
      <x:c r="BV132" s="65" t="str">
        <x:f>IF(COUNT(BQ132,AV132)&lt;2,"unknown",IF(BQ132/AV132-1&gt;=0.2,"high",IF(BQ132/AV132-1&lt;=-0.2,"low","normal")))</x:f>
        <x:v>unknown</x:v>
      </x:c>
      <x:c r="BW132" s="65" t="str">
        <x:f>IF(COUNT(BR132,AW132)&lt;2,"unknown",IF(BR132/AW132-1&gt;=0.2,"high",IF(BR132/AW132-1&lt;=-0.2,"low","normal")))</x:f>
        <x:v>unknown</x:v>
      </x:c>
      <x:c r="BX132" s="65" t="str">
        <x:f>IF(COUNT(BS132,AX132)&lt;2,"unknown",IF(BS132/AX132-1&gt;=0.2,"high",IF(BS132/AX132-1&lt;=-0.2,"low","normal")))</x:f>
        <x:v>unknown</x:v>
      </x:c>
      <x:c r="BY132" s="65" t="str">
        <x:f>IF(COUNT(BT132,AY132)&lt;2,"unknown",IF(BT132/AY132-1&gt;=0.2,"high",IF(BT132/AY132-1&lt;=-0.2,"low","normal")))</x:f>
        <x:v>unknown</x:v>
      </x:c>
      <x:c r="BZ132" s="65" t="str">
        <x:f>IF(COUNT(BU132,AZ132)&lt;2,"unknown",IF(BU132/AZ132-1&gt;=0.2,"high",IF(BU132/AZ132-1&lt;=-0.2,"low","normal")))</x:f>
        <x:v>unknown</x:v>
      </x:c>
      <x:c r="CA132" s="65" t="str">
        <x:f>IF(T132&lt;&gt;"complete","pending",IF(OR(L132&lt;&gt;"pure",U132="true",COUNT(BM132,AT132)&lt;2,AND(AC132&lt;&gt;"",COUNT(BO132,AU132)&lt;2)),"not_attributable","attributable"))</x:f>
        <x:v>pending</x:v>
      </x:c>
      <x:c r="CB132" s="65" t="str">
        <x:f>IF(T132&lt;&gt;"complete","not_evaluated",IF(COUNT(BM132,AT132)&lt;2,"insufficient_data",IF(AND(AC132&lt;&gt;"",COUNT(BP132)=1,BP132&lt;=-0.2),"guardrail_fail",IF(AND(CA132="not_attributable",OR(BV132="high",BN132&gt;=0.2)),"watchlist",IF(CA132&lt;&gt;"attributable","insufficient_data",IF(BN132&gt;=0.2,"win",IF(BN132&lt;=-0.2,"loss","inconclusive")))))))</x:f>
        <x:v>not_evaluated</x:v>
      </x:c>
      <x:c r="CC132" s="65" t="str">
        <x:f>IF(T132&lt;&gt;"complete","COLLECT_MORE_DATA",IF(COUNT(BM132,AT132)&lt;2,"FIX_TRACKING",IF(CB132="guardrail_fail","STOP_VARIANT_GUARDRAIL",IF(CB132="watchlist","WATCHLIST_ONLY",IF(AND(BV132="high",BY132="low"),"KEEP_HOOK_REWRITE_CTA",IF(AND(BW132="high",BX132="low"),"KEEP_STRUCTURE_CHANGE_DISCUSSION_ANGLE",IF(AND(BX132="high",BZ132="low"),"DOWNWEIGHT_TEMPLATE",IF(CB132="win","RETEST_WINNER",IF(CB132="loss","RETURN_TO_BASELINE","COLLECT_MORE_DATA")))))))))</x:f>
        <x:v>COLLECT_MORE_DATA</x:v>
      </x:c>
      <x:c r="CD132" s="75"/>
    </x:row>
    <x:row r="133">
      <x:c r="A133" s="68"/>
      <x:c r="B133" s="69"/>
      <x:c r="C133" s="68"/>
      <x:c r="D133" s="68"/>
      <x:c r="E133" s="68"/>
      <x:c r="F133" s="68"/>
      <x:c r="G133" s="68"/>
      <x:c r="H133" s="70"/>
      <x:c r="I133" s="68"/>
      <x:c r="J133" s="68"/>
      <x:c r="K133" s="68"/>
      <x:c r="L133" s="71" t="str">
        <x:f>IF(K133="","unknown",IF(K133=0,"baseline",IF(K133=1,"pure","mixed")))</x:f>
        <x:v>unknown</x:v>
      </x:c>
      <x:c r="M133" s="68"/>
      <x:c r="N133" s="68"/>
      <x:c r="O133" s="68"/>
      <x:c r="P133" s="68"/>
      <x:c r="Q133" s="68"/>
      <x:c r="R133" s="68"/>
      <x:c r="S133" s="68"/>
      <x:c r="T133" s="68"/>
      <x:c r="U133" s="68"/>
      <x:c r="V133" s="68"/>
      <x:c r="W133" s="68"/>
      <x:c r="X133" s="68"/>
      <x:c r="Y133" s="68"/>
      <x:c r="Z133" s="68"/>
      <x:c r="AA133" s="68"/>
      <x:c r="AB133" s="68"/>
      <x:c r="AC133" s="68"/>
      <x:c r="AD133" s="70"/>
      <x:c r="AE133" s="70"/>
      <x:c r="AF133" s="70"/>
      <x:c r="AG133" s="70"/>
      <x:c r="AH133" s="70"/>
      <x:c r="AI133" s="70"/>
      <x:c r="AJ133" s="70"/>
      <x:c r="AK133" s="70"/>
      <x:c r="AL133" s="70"/>
      <x:c r="AM133" s="70"/>
      <x:c r="AN133" s="70"/>
      <x:c r="AO133" s="70"/>
      <x:c r="AP133" s="70"/>
      <x:c r="AQ133" s="70"/>
      <x:c r="AR133" s="70"/>
      <x:c r="AS133" s="70"/>
      <x:c r="AT133" s="72"/>
      <x:c r="AU133" s="72"/>
      <x:c r="AV133" s="72"/>
      <x:c r="AW133" s="72"/>
      <x:c r="AX133" s="72"/>
      <x:c r="AY133" s="72"/>
      <x:c r="AZ133" s="72"/>
      <x:c r="BA133" s="73" t="str">
        <x:f>IF(C133="xiaohongshu",IF(COUNT(AF133,AE133)&lt;2,"",IFERROR(AF133/AE133,"")),"")</x:f>
      </x:c>
      <x:c r="BB133" s="73" t="str">
        <x:f>IF(C133="xiaohongshu",IF(COUNT(AG133,AE133)&lt;2,"",IFERROR(AG133/AE133,"")),"")</x:f>
      </x:c>
      <x:c r="BC133" s="73" t="str">
        <x:f>IF(C133="xiaohongshu",IF(COUNT(AN133,AE133)&lt;2,"",IFERROR(AN133/AE133,"")),"")</x:f>
      </x:c>
      <x:c r="BD133" s="73" t="str">
        <x:f>IF(C133="xiaohongshu",IF(COUNT(AQ133,AE133)&lt;2,"",IFERROR(AQ133/AE133,"")),"")</x:f>
      </x:c>
      <x:c r="BE133" s="73" t="str">
        <x:f>IF(C133="xiaohongshu",IF(COUNT(AI133,AE133)&lt;2,"",IFERROR(AI133/AE133,"")),"")</x:f>
      </x:c>
      <x:c r="BF133" s="73" t="str">
        <x:f>IF(C133="xiaohongshu",IF(OR(COUNT(AE133)=0,COUNT(AR133,AS133)=0),"",IFERROR((AR133+AS133)/AE133,"")),"")</x:f>
      </x:c>
      <x:c r="BG133" s="73" t="str">
        <x:f>IF(C133="x",IF(COUNT(AD133)=0,"",IF(COUNT(AM133)=1,IFERROR(AM133/AD133,""),IF(COUNT(AH133,AI133,AK133,AL133)=0,"",IFERROR(SUM(AH133,AI133,AK133,AL133)/AD133,"")))),"")</x:f>
      </x:c>
      <x:c r="BH133" s="73" t="str">
        <x:f>IF(C133="x",IF(COUNT(AJ133,AD133)&lt;2,"",IFERROR(AJ133/AD133,"")),"")</x:f>
      </x:c>
      <x:c r="BI133" s="73" t="str">
        <x:f>IF(C133="x",IF(COUNT(AO133,AD133)&lt;2,"",IFERROR(AO133/AD133,"")),"")</x:f>
      </x:c>
      <x:c r="BJ133" s="73" t="str">
        <x:f>IF(C133="x",IF(COUNT(AP133,AD133)&lt;2,"",IFERROR(AP133/AD133,"")),"")</x:f>
      </x:c>
      <x:c r="BK133" s="73" t="str">
        <x:f>IF(C133="x",IF(COUNT(AL133,AD133)&lt;2,"",IFERROR(AL133/AD133,"")),"")</x:f>
      </x:c>
      <x:c r="BL133" s="73" t="str">
        <x:f>IF(C133="x",IF(OR(COUNT(AD133)=0,COUNT(AR133,AS133)=0),"",IFERROR((AR133+AS133)/AD133,"")),"")</x:f>
      </x:c>
      <x:c r="BM133" s="73" t="str">
        <x:f>IF(AB133="xhs_save_rate",BA133,IF(AB133="xhs_completion_rate",BB133,IF(AB133="xhs_profile_visit_rate",BC133,IF(AB133="xhs_dm_intent_rate",BD133,IF(AB133="xhs_discussion_rate",BE133,IF(AB133="xhs_product_relevance_rate",BF133,IF(AB133="x_first_screen_engaged_rate_proxy",BG133,IF(AB133="x_qualified_reply_rate",BH133,IF(AB133="x_profile_click_rate",BI133,IF(AB133="x_link_intent_rate",BJ133,IF(AB133="x_bookmark_rate",BK133,IF(AB133="x_product_relevance_rate",BL133,""))))))))))))</x:f>
      </x:c>
      <x:c r="BN133" s="73" t="str">
        <x:f>IFERROR(BM133/AT133-1,"")</x:f>
      </x:c>
      <x:c r="BO133" s="73" t="str">
        <x:f>IF(AC133="","",IF(AC133="xhs_save_rate",BA133,IF(AC133="xhs_completion_rate",BB133,IF(AC133="xhs_profile_visit_rate",BC133,IF(AC133="xhs_dm_intent_rate",BD133,IF(AC133="xhs_discussion_rate",BE133,IF(AC133="xhs_product_relevance_rate",BF133,IF(AC133="x_first_screen_engaged_rate_proxy",BG133,IF(AC133="x_qualified_reply_rate",BH133,IF(AC133="x_profile_click_rate",BI133,IF(AC133="x_link_intent_rate",BJ133,IF(AC133="x_bookmark_rate",BK133,IF(AC133="x_product_relevance_rate",BL133,"")))))))))))))</x:f>
      </x:c>
      <x:c r="BP133" s="73" t="str">
        <x:f>IFERROR(BO133/AU133-1,"")</x:f>
      </x:c>
      <x:c r="BQ133" s="74" t="str">
        <x:f>IF(COUNT(AD133)=0,"",AD133)</x:f>
      </x:c>
      <x:c r="BR133" s="73" t="str">
        <x:f>IF(C133="xiaohongshu",IF(COUNT(BA133,BB133)=2,AVERAGE(BA133,BB133),IF(COUNT(BA133)=1,BA133,BB133)),BK133)</x:f>
      </x:c>
      <x:c r="BS133" s="73" t="str">
        <x:f>IF(C133="xiaohongshu",BE133,BH133)</x:f>
      </x:c>
      <x:c r="BT133" s="73" t="str">
        <x:f>IF(C133="xiaohongshu",IF(I133="save",BA133,IF(I133="discussion",BE133,IF(I133="profile_visit",BC133,IF(I133="dm",BD133,IF(OR(I133="product_question",I133="trial_intent"),BF133,""))))),IF(I133="save",BK133,IF(I133="discussion",BH133,IF(OR(I133="profile_visit",I133="dm"),BI133,IF(I133="link_click",BJ133,IF(OR(I133="product_question",I133="trial_intent"),BL133,""))))))</x:f>
      </x:c>
      <x:c r="BU133" s="73" t="str">
        <x:f>IF(C133="xiaohongshu",BF133,BL133)</x:f>
      </x:c>
      <x:c r="BV133" s="65" t="str">
        <x:f>IF(COUNT(BQ133,AV133)&lt;2,"unknown",IF(BQ133/AV133-1&gt;=0.2,"high",IF(BQ133/AV133-1&lt;=-0.2,"low","normal")))</x:f>
        <x:v>unknown</x:v>
      </x:c>
      <x:c r="BW133" s="65" t="str">
        <x:f>IF(COUNT(BR133,AW133)&lt;2,"unknown",IF(BR133/AW133-1&gt;=0.2,"high",IF(BR133/AW133-1&lt;=-0.2,"low","normal")))</x:f>
        <x:v>unknown</x:v>
      </x:c>
      <x:c r="BX133" s="65" t="str">
        <x:f>IF(COUNT(BS133,AX133)&lt;2,"unknown",IF(BS133/AX133-1&gt;=0.2,"high",IF(BS133/AX133-1&lt;=-0.2,"low","normal")))</x:f>
        <x:v>unknown</x:v>
      </x:c>
      <x:c r="BY133" s="65" t="str">
        <x:f>IF(COUNT(BT133,AY133)&lt;2,"unknown",IF(BT133/AY133-1&gt;=0.2,"high",IF(BT133/AY133-1&lt;=-0.2,"low","normal")))</x:f>
        <x:v>unknown</x:v>
      </x:c>
      <x:c r="BZ133" s="65" t="str">
        <x:f>IF(COUNT(BU133,AZ133)&lt;2,"unknown",IF(BU133/AZ133-1&gt;=0.2,"high",IF(BU133/AZ133-1&lt;=-0.2,"low","normal")))</x:f>
        <x:v>unknown</x:v>
      </x:c>
      <x:c r="CA133" s="65" t="str">
        <x:f>IF(T133&lt;&gt;"complete","pending",IF(OR(L133&lt;&gt;"pure",U133="true",COUNT(BM133,AT133)&lt;2,AND(AC133&lt;&gt;"",COUNT(BO133,AU133)&lt;2)),"not_attributable","attributable"))</x:f>
        <x:v>pending</x:v>
      </x:c>
      <x:c r="CB133" s="65" t="str">
        <x:f>IF(T133&lt;&gt;"complete","not_evaluated",IF(COUNT(BM133,AT133)&lt;2,"insufficient_data",IF(AND(AC133&lt;&gt;"",COUNT(BP133)=1,BP133&lt;=-0.2),"guardrail_fail",IF(AND(CA133="not_attributable",OR(BV133="high",BN133&gt;=0.2)),"watchlist",IF(CA133&lt;&gt;"attributable","insufficient_data",IF(BN133&gt;=0.2,"win",IF(BN133&lt;=-0.2,"loss","inconclusive")))))))</x:f>
        <x:v>not_evaluated</x:v>
      </x:c>
      <x:c r="CC133" s="65" t="str">
        <x:f>IF(T133&lt;&gt;"complete","COLLECT_MORE_DATA",IF(COUNT(BM133,AT133)&lt;2,"FIX_TRACKING",IF(CB133="guardrail_fail","STOP_VARIANT_GUARDRAIL",IF(CB133="watchlist","WATCHLIST_ONLY",IF(AND(BV133="high",BY133="low"),"KEEP_HOOK_REWRITE_CTA",IF(AND(BW133="high",BX133="low"),"KEEP_STRUCTURE_CHANGE_DISCUSSION_ANGLE",IF(AND(BX133="high",BZ133="low"),"DOWNWEIGHT_TEMPLATE",IF(CB133="win","RETEST_WINNER",IF(CB133="loss","RETURN_TO_BASELINE","COLLECT_MORE_DATA")))))))))</x:f>
        <x:v>COLLECT_MORE_DATA</x:v>
      </x:c>
      <x:c r="CD133" s="75"/>
    </x:row>
    <x:row r="134">
      <x:c r="A134" s="68"/>
      <x:c r="B134" s="69"/>
      <x:c r="C134" s="68"/>
      <x:c r="D134" s="68"/>
      <x:c r="E134" s="68"/>
      <x:c r="F134" s="68"/>
      <x:c r="G134" s="68"/>
      <x:c r="H134" s="70"/>
      <x:c r="I134" s="68"/>
      <x:c r="J134" s="68"/>
      <x:c r="K134" s="68"/>
      <x:c r="L134" s="71" t="str">
        <x:f>IF(K134="","unknown",IF(K134=0,"baseline",IF(K134=1,"pure","mixed")))</x:f>
        <x:v>unknown</x:v>
      </x:c>
      <x:c r="M134" s="68"/>
      <x:c r="N134" s="68"/>
      <x:c r="O134" s="68"/>
      <x:c r="P134" s="68"/>
      <x:c r="Q134" s="68"/>
      <x:c r="R134" s="68"/>
      <x:c r="S134" s="68"/>
      <x:c r="T134" s="68"/>
      <x:c r="U134" s="68"/>
      <x:c r="V134" s="68"/>
      <x:c r="W134" s="68"/>
      <x:c r="X134" s="68"/>
      <x:c r="Y134" s="68"/>
      <x:c r="Z134" s="68"/>
      <x:c r="AA134" s="68"/>
      <x:c r="AB134" s="68"/>
      <x:c r="AC134" s="68"/>
      <x:c r="AD134" s="70"/>
      <x:c r="AE134" s="70"/>
      <x:c r="AF134" s="70"/>
      <x:c r="AG134" s="70"/>
      <x:c r="AH134" s="70"/>
      <x:c r="AI134" s="70"/>
      <x:c r="AJ134" s="70"/>
      <x:c r="AK134" s="70"/>
      <x:c r="AL134" s="70"/>
      <x:c r="AM134" s="70"/>
      <x:c r="AN134" s="70"/>
      <x:c r="AO134" s="70"/>
      <x:c r="AP134" s="70"/>
      <x:c r="AQ134" s="70"/>
      <x:c r="AR134" s="70"/>
      <x:c r="AS134" s="70"/>
      <x:c r="AT134" s="72"/>
      <x:c r="AU134" s="72"/>
      <x:c r="AV134" s="72"/>
      <x:c r="AW134" s="72"/>
      <x:c r="AX134" s="72"/>
      <x:c r="AY134" s="72"/>
      <x:c r="AZ134" s="72"/>
      <x:c r="BA134" s="73" t="str">
        <x:f>IF(C134="xiaohongshu",IF(COUNT(AF134,AE134)&lt;2,"",IFERROR(AF134/AE134,"")),"")</x:f>
      </x:c>
      <x:c r="BB134" s="73" t="str">
        <x:f>IF(C134="xiaohongshu",IF(COUNT(AG134,AE134)&lt;2,"",IFERROR(AG134/AE134,"")),"")</x:f>
      </x:c>
      <x:c r="BC134" s="73" t="str">
        <x:f>IF(C134="xiaohongshu",IF(COUNT(AN134,AE134)&lt;2,"",IFERROR(AN134/AE134,"")),"")</x:f>
      </x:c>
      <x:c r="BD134" s="73" t="str">
        <x:f>IF(C134="xiaohongshu",IF(COUNT(AQ134,AE134)&lt;2,"",IFERROR(AQ134/AE134,"")),"")</x:f>
      </x:c>
      <x:c r="BE134" s="73" t="str">
        <x:f>IF(C134="xiaohongshu",IF(COUNT(AI134,AE134)&lt;2,"",IFERROR(AI134/AE134,"")),"")</x:f>
      </x:c>
      <x:c r="BF134" s="73" t="str">
        <x:f>IF(C134="xiaohongshu",IF(OR(COUNT(AE134)=0,COUNT(AR134,AS134)=0),"",IFERROR((AR134+AS134)/AE134,"")),"")</x:f>
      </x:c>
      <x:c r="BG134" s="73" t="str">
        <x:f>IF(C134="x",IF(COUNT(AD134)=0,"",IF(COUNT(AM134)=1,IFERROR(AM134/AD134,""),IF(COUNT(AH134,AI134,AK134,AL134)=0,"",IFERROR(SUM(AH134,AI134,AK134,AL134)/AD134,"")))),"")</x:f>
      </x:c>
      <x:c r="BH134" s="73" t="str">
        <x:f>IF(C134="x",IF(COUNT(AJ134,AD134)&lt;2,"",IFERROR(AJ134/AD134,"")),"")</x:f>
      </x:c>
      <x:c r="BI134" s="73" t="str">
        <x:f>IF(C134="x",IF(COUNT(AO134,AD134)&lt;2,"",IFERROR(AO134/AD134,"")),"")</x:f>
      </x:c>
      <x:c r="BJ134" s="73" t="str">
        <x:f>IF(C134="x",IF(COUNT(AP134,AD134)&lt;2,"",IFERROR(AP134/AD134,"")),"")</x:f>
      </x:c>
      <x:c r="BK134" s="73" t="str">
        <x:f>IF(C134="x",IF(COUNT(AL134,AD134)&lt;2,"",IFERROR(AL134/AD134,"")),"")</x:f>
      </x:c>
      <x:c r="BL134" s="73" t="str">
        <x:f>IF(C134="x",IF(OR(COUNT(AD134)=0,COUNT(AR134,AS134)=0),"",IFERROR((AR134+AS134)/AD134,"")),"")</x:f>
      </x:c>
      <x:c r="BM134" s="73" t="str">
        <x:f>IF(AB134="xhs_save_rate",BA134,IF(AB134="xhs_completion_rate",BB134,IF(AB134="xhs_profile_visit_rate",BC134,IF(AB134="xhs_dm_intent_rate",BD134,IF(AB134="xhs_discussion_rate",BE134,IF(AB134="xhs_product_relevance_rate",BF134,IF(AB134="x_first_screen_engaged_rate_proxy",BG134,IF(AB134="x_qualified_reply_rate",BH134,IF(AB134="x_profile_click_rate",BI134,IF(AB134="x_link_intent_rate",BJ134,IF(AB134="x_bookmark_rate",BK134,IF(AB134="x_product_relevance_rate",BL134,""))))))))))))</x:f>
      </x:c>
      <x:c r="BN134" s="73" t="str">
        <x:f>IFERROR(BM134/AT134-1,"")</x:f>
      </x:c>
      <x:c r="BO134" s="73" t="str">
        <x:f>IF(AC134="","",IF(AC134="xhs_save_rate",BA134,IF(AC134="xhs_completion_rate",BB134,IF(AC134="xhs_profile_visit_rate",BC134,IF(AC134="xhs_dm_intent_rate",BD134,IF(AC134="xhs_discussion_rate",BE134,IF(AC134="xhs_product_relevance_rate",BF134,IF(AC134="x_first_screen_engaged_rate_proxy",BG134,IF(AC134="x_qualified_reply_rate",BH134,IF(AC134="x_profile_click_rate",BI134,IF(AC134="x_link_intent_rate",BJ134,IF(AC134="x_bookmark_rate",BK134,IF(AC134="x_product_relevance_rate",BL134,"")))))))))))))</x:f>
      </x:c>
      <x:c r="BP134" s="73" t="str">
        <x:f>IFERROR(BO134/AU134-1,"")</x:f>
      </x:c>
      <x:c r="BQ134" s="74" t="str">
        <x:f>IF(COUNT(AD134)=0,"",AD134)</x:f>
      </x:c>
      <x:c r="BR134" s="73" t="str">
        <x:f>IF(C134="xiaohongshu",IF(COUNT(BA134,BB134)=2,AVERAGE(BA134,BB134),IF(COUNT(BA134)=1,BA134,BB134)),BK134)</x:f>
      </x:c>
      <x:c r="BS134" s="73" t="str">
        <x:f>IF(C134="xiaohongshu",BE134,BH134)</x:f>
      </x:c>
      <x:c r="BT134" s="73" t="str">
        <x:f>IF(C134="xiaohongshu",IF(I134="save",BA134,IF(I134="discussion",BE134,IF(I134="profile_visit",BC134,IF(I134="dm",BD134,IF(OR(I134="product_question",I134="trial_intent"),BF134,""))))),IF(I134="save",BK134,IF(I134="discussion",BH134,IF(OR(I134="profile_visit",I134="dm"),BI134,IF(I134="link_click",BJ134,IF(OR(I134="product_question",I134="trial_intent"),BL134,""))))))</x:f>
      </x:c>
      <x:c r="BU134" s="73" t="str">
        <x:f>IF(C134="xiaohongshu",BF134,BL134)</x:f>
      </x:c>
      <x:c r="BV134" s="65" t="str">
        <x:f>IF(COUNT(BQ134,AV134)&lt;2,"unknown",IF(BQ134/AV134-1&gt;=0.2,"high",IF(BQ134/AV134-1&lt;=-0.2,"low","normal")))</x:f>
        <x:v>unknown</x:v>
      </x:c>
      <x:c r="BW134" s="65" t="str">
        <x:f>IF(COUNT(BR134,AW134)&lt;2,"unknown",IF(BR134/AW134-1&gt;=0.2,"high",IF(BR134/AW134-1&lt;=-0.2,"low","normal")))</x:f>
        <x:v>unknown</x:v>
      </x:c>
      <x:c r="BX134" s="65" t="str">
        <x:f>IF(COUNT(BS134,AX134)&lt;2,"unknown",IF(BS134/AX134-1&gt;=0.2,"high",IF(BS134/AX134-1&lt;=-0.2,"low","normal")))</x:f>
        <x:v>unknown</x:v>
      </x:c>
      <x:c r="BY134" s="65" t="str">
        <x:f>IF(COUNT(BT134,AY134)&lt;2,"unknown",IF(BT134/AY134-1&gt;=0.2,"high",IF(BT134/AY134-1&lt;=-0.2,"low","normal")))</x:f>
        <x:v>unknown</x:v>
      </x:c>
      <x:c r="BZ134" s="65" t="str">
        <x:f>IF(COUNT(BU134,AZ134)&lt;2,"unknown",IF(BU134/AZ134-1&gt;=0.2,"high",IF(BU134/AZ134-1&lt;=-0.2,"low","normal")))</x:f>
        <x:v>unknown</x:v>
      </x:c>
      <x:c r="CA134" s="65" t="str">
        <x:f>IF(T134&lt;&gt;"complete","pending",IF(OR(L134&lt;&gt;"pure",U134="true",COUNT(BM134,AT134)&lt;2,AND(AC134&lt;&gt;"",COUNT(BO134,AU134)&lt;2)),"not_attributable","attributable"))</x:f>
        <x:v>pending</x:v>
      </x:c>
      <x:c r="CB134" s="65" t="str">
        <x:f>IF(T134&lt;&gt;"complete","not_evaluated",IF(COUNT(BM134,AT134)&lt;2,"insufficient_data",IF(AND(AC134&lt;&gt;"",COUNT(BP134)=1,BP134&lt;=-0.2),"guardrail_fail",IF(AND(CA134="not_attributable",OR(BV134="high",BN134&gt;=0.2)),"watchlist",IF(CA134&lt;&gt;"attributable","insufficient_data",IF(BN134&gt;=0.2,"win",IF(BN134&lt;=-0.2,"loss","inconclusive")))))))</x:f>
        <x:v>not_evaluated</x:v>
      </x:c>
      <x:c r="CC134" s="65" t="str">
        <x:f>IF(T134&lt;&gt;"complete","COLLECT_MORE_DATA",IF(COUNT(BM134,AT134)&lt;2,"FIX_TRACKING",IF(CB134="guardrail_fail","STOP_VARIANT_GUARDRAIL",IF(CB134="watchlist","WATCHLIST_ONLY",IF(AND(BV134="high",BY134="low"),"KEEP_HOOK_REWRITE_CTA",IF(AND(BW134="high",BX134="low"),"KEEP_STRUCTURE_CHANGE_DISCUSSION_ANGLE",IF(AND(BX134="high",BZ134="low"),"DOWNWEIGHT_TEMPLATE",IF(CB134="win","RETEST_WINNER",IF(CB134="loss","RETURN_TO_BASELINE","COLLECT_MORE_DATA")))))))))</x:f>
        <x:v>COLLECT_MORE_DATA</x:v>
      </x:c>
      <x:c r="CD134" s="75"/>
    </x:row>
    <x:row r="135">
      <x:c r="A135" s="68"/>
      <x:c r="B135" s="69"/>
      <x:c r="C135" s="68"/>
      <x:c r="D135" s="68"/>
      <x:c r="E135" s="68"/>
      <x:c r="F135" s="68"/>
      <x:c r="G135" s="68"/>
      <x:c r="H135" s="70"/>
      <x:c r="I135" s="68"/>
      <x:c r="J135" s="68"/>
      <x:c r="K135" s="68"/>
      <x:c r="L135" s="71" t="str">
        <x:f>IF(K135="","unknown",IF(K135=0,"baseline",IF(K135=1,"pure","mixed")))</x:f>
        <x:v>unknown</x:v>
      </x:c>
      <x:c r="M135" s="68"/>
      <x:c r="N135" s="68"/>
      <x:c r="O135" s="68"/>
      <x:c r="P135" s="68"/>
      <x:c r="Q135" s="68"/>
      <x:c r="R135" s="68"/>
      <x:c r="S135" s="68"/>
      <x:c r="T135" s="68"/>
      <x:c r="U135" s="68"/>
      <x:c r="V135" s="68"/>
      <x:c r="W135" s="68"/>
      <x:c r="X135" s="68"/>
      <x:c r="Y135" s="68"/>
      <x:c r="Z135" s="68"/>
      <x:c r="AA135" s="68"/>
      <x:c r="AB135" s="68"/>
      <x:c r="AC135" s="68"/>
      <x:c r="AD135" s="70"/>
      <x:c r="AE135" s="70"/>
      <x:c r="AF135" s="70"/>
      <x:c r="AG135" s="70"/>
      <x:c r="AH135" s="70"/>
      <x:c r="AI135" s="70"/>
      <x:c r="AJ135" s="70"/>
      <x:c r="AK135" s="70"/>
      <x:c r="AL135" s="70"/>
      <x:c r="AM135" s="70"/>
      <x:c r="AN135" s="70"/>
      <x:c r="AO135" s="70"/>
      <x:c r="AP135" s="70"/>
      <x:c r="AQ135" s="70"/>
      <x:c r="AR135" s="70"/>
      <x:c r="AS135" s="70"/>
      <x:c r="AT135" s="72"/>
      <x:c r="AU135" s="72"/>
      <x:c r="AV135" s="72"/>
      <x:c r="AW135" s="72"/>
      <x:c r="AX135" s="72"/>
      <x:c r="AY135" s="72"/>
      <x:c r="AZ135" s="72"/>
      <x:c r="BA135" s="73" t="str">
        <x:f>IF(C135="xiaohongshu",IF(COUNT(AF135,AE135)&lt;2,"",IFERROR(AF135/AE135,"")),"")</x:f>
      </x:c>
      <x:c r="BB135" s="73" t="str">
        <x:f>IF(C135="xiaohongshu",IF(COUNT(AG135,AE135)&lt;2,"",IFERROR(AG135/AE135,"")),"")</x:f>
      </x:c>
      <x:c r="BC135" s="73" t="str">
        <x:f>IF(C135="xiaohongshu",IF(COUNT(AN135,AE135)&lt;2,"",IFERROR(AN135/AE135,"")),"")</x:f>
      </x:c>
      <x:c r="BD135" s="73" t="str">
        <x:f>IF(C135="xiaohongshu",IF(COUNT(AQ135,AE135)&lt;2,"",IFERROR(AQ135/AE135,"")),"")</x:f>
      </x:c>
      <x:c r="BE135" s="73" t="str">
        <x:f>IF(C135="xiaohongshu",IF(COUNT(AI135,AE135)&lt;2,"",IFERROR(AI135/AE135,"")),"")</x:f>
      </x:c>
      <x:c r="BF135" s="73" t="str">
        <x:f>IF(C135="xiaohongshu",IF(OR(COUNT(AE135)=0,COUNT(AR135,AS135)=0),"",IFERROR((AR135+AS135)/AE135,"")),"")</x:f>
      </x:c>
      <x:c r="BG135" s="73" t="str">
        <x:f>IF(C135="x",IF(COUNT(AD135)=0,"",IF(COUNT(AM135)=1,IFERROR(AM135/AD135,""),IF(COUNT(AH135,AI135,AK135,AL135)=0,"",IFERROR(SUM(AH135,AI135,AK135,AL135)/AD135,"")))),"")</x:f>
      </x:c>
      <x:c r="BH135" s="73" t="str">
        <x:f>IF(C135="x",IF(COUNT(AJ135,AD135)&lt;2,"",IFERROR(AJ135/AD135,"")),"")</x:f>
      </x:c>
      <x:c r="BI135" s="73" t="str">
        <x:f>IF(C135="x",IF(COUNT(AO135,AD135)&lt;2,"",IFERROR(AO135/AD135,"")),"")</x:f>
      </x:c>
      <x:c r="BJ135" s="73" t="str">
        <x:f>IF(C135="x",IF(COUNT(AP135,AD135)&lt;2,"",IFERROR(AP135/AD135,"")),"")</x:f>
      </x:c>
      <x:c r="BK135" s="73" t="str">
        <x:f>IF(C135="x",IF(COUNT(AL135,AD135)&lt;2,"",IFERROR(AL135/AD135,"")),"")</x:f>
      </x:c>
      <x:c r="BL135" s="73" t="str">
        <x:f>IF(C135="x",IF(OR(COUNT(AD135)=0,COUNT(AR135,AS135)=0),"",IFERROR((AR135+AS135)/AD135,"")),"")</x:f>
      </x:c>
      <x:c r="BM135" s="73" t="str">
        <x:f>IF(AB135="xhs_save_rate",BA135,IF(AB135="xhs_completion_rate",BB135,IF(AB135="xhs_profile_visit_rate",BC135,IF(AB135="xhs_dm_intent_rate",BD135,IF(AB135="xhs_discussion_rate",BE135,IF(AB135="xhs_product_relevance_rate",BF135,IF(AB135="x_first_screen_engaged_rate_proxy",BG135,IF(AB135="x_qualified_reply_rate",BH135,IF(AB135="x_profile_click_rate",BI135,IF(AB135="x_link_intent_rate",BJ135,IF(AB135="x_bookmark_rate",BK135,IF(AB135="x_product_relevance_rate",BL135,""))))))))))))</x:f>
      </x:c>
      <x:c r="BN135" s="73" t="str">
        <x:f>IFERROR(BM135/AT135-1,"")</x:f>
      </x:c>
      <x:c r="BO135" s="73" t="str">
        <x:f>IF(AC135="","",IF(AC135="xhs_save_rate",BA135,IF(AC135="xhs_completion_rate",BB135,IF(AC135="xhs_profile_visit_rate",BC135,IF(AC135="xhs_dm_intent_rate",BD135,IF(AC135="xhs_discussion_rate",BE135,IF(AC135="xhs_product_relevance_rate",BF135,IF(AC135="x_first_screen_engaged_rate_proxy",BG135,IF(AC135="x_qualified_reply_rate",BH135,IF(AC135="x_profile_click_rate",BI135,IF(AC135="x_link_intent_rate",BJ135,IF(AC135="x_bookmark_rate",BK135,IF(AC135="x_product_relevance_rate",BL135,"")))))))))))))</x:f>
      </x:c>
      <x:c r="BP135" s="73" t="str">
        <x:f>IFERROR(BO135/AU135-1,"")</x:f>
      </x:c>
      <x:c r="BQ135" s="74" t="str">
        <x:f>IF(COUNT(AD135)=0,"",AD135)</x:f>
      </x:c>
      <x:c r="BR135" s="73" t="str">
        <x:f>IF(C135="xiaohongshu",IF(COUNT(BA135,BB135)=2,AVERAGE(BA135,BB135),IF(COUNT(BA135)=1,BA135,BB135)),BK135)</x:f>
      </x:c>
      <x:c r="BS135" s="73" t="str">
        <x:f>IF(C135="xiaohongshu",BE135,BH135)</x:f>
      </x:c>
      <x:c r="BT135" s="73" t="str">
        <x:f>IF(C135="xiaohongshu",IF(I135="save",BA135,IF(I135="discussion",BE135,IF(I135="profile_visit",BC135,IF(I135="dm",BD135,IF(OR(I135="product_question",I135="trial_intent"),BF135,""))))),IF(I135="save",BK135,IF(I135="discussion",BH135,IF(OR(I135="profile_visit",I135="dm"),BI135,IF(I135="link_click",BJ135,IF(OR(I135="product_question",I135="trial_intent"),BL135,""))))))</x:f>
      </x:c>
      <x:c r="BU135" s="73" t="str">
        <x:f>IF(C135="xiaohongshu",BF135,BL135)</x:f>
      </x:c>
      <x:c r="BV135" s="65" t="str">
        <x:f>IF(COUNT(BQ135,AV135)&lt;2,"unknown",IF(BQ135/AV135-1&gt;=0.2,"high",IF(BQ135/AV135-1&lt;=-0.2,"low","normal")))</x:f>
        <x:v>unknown</x:v>
      </x:c>
      <x:c r="BW135" s="65" t="str">
        <x:f>IF(COUNT(BR135,AW135)&lt;2,"unknown",IF(BR135/AW135-1&gt;=0.2,"high",IF(BR135/AW135-1&lt;=-0.2,"low","normal")))</x:f>
        <x:v>unknown</x:v>
      </x:c>
      <x:c r="BX135" s="65" t="str">
        <x:f>IF(COUNT(BS135,AX135)&lt;2,"unknown",IF(BS135/AX135-1&gt;=0.2,"high",IF(BS135/AX135-1&lt;=-0.2,"low","normal")))</x:f>
        <x:v>unknown</x:v>
      </x:c>
      <x:c r="BY135" s="65" t="str">
        <x:f>IF(COUNT(BT135,AY135)&lt;2,"unknown",IF(BT135/AY135-1&gt;=0.2,"high",IF(BT135/AY135-1&lt;=-0.2,"low","normal")))</x:f>
        <x:v>unknown</x:v>
      </x:c>
      <x:c r="BZ135" s="65" t="str">
        <x:f>IF(COUNT(BU135,AZ135)&lt;2,"unknown",IF(BU135/AZ135-1&gt;=0.2,"high",IF(BU135/AZ135-1&lt;=-0.2,"low","normal")))</x:f>
        <x:v>unknown</x:v>
      </x:c>
      <x:c r="CA135" s="65" t="str">
        <x:f>IF(T135&lt;&gt;"complete","pending",IF(OR(L135&lt;&gt;"pure",U135="true",COUNT(BM135,AT135)&lt;2,AND(AC135&lt;&gt;"",COUNT(BO135,AU135)&lt;2)),"not_attributable","attributable"))</x:f>
        <x:v>pending</x:v>
      </x:c>
      <x:c r="CB135" s="65" t="str">
        <x:f>IF(T135&lt;&gt;"complete","not_evaluated",IF(COUNT(BM135,AT135)&lt;2,"insufficient_data",IF(AND(AC135&lt;&gt;"",COUNT(BP135)=1,BP135&lt;=-0.2),"guardrail_fail",IF(AND(CA135="not_attributable",OR(BV135="high",BN135&gt;=0.2)),"watchlist",IF(CA135&lt;&gt;"attributable","insufficient_data",IF(BN135&gt;=0.2,"win",IF(BN135&lt;=-0.2,"loss","inconclusive")))))))</x:f>
        <x:v>not_evaluated</x:v>
      </x:c>
      <x:c r="CC135" s="65" t="str">
        <x:f>IF(T135&lt;&gt;"complete","COLLECT_MORE_DATA",IF(COUNT(BM135,AT135)&lt;2,"FIX_TRACKING",IF(CB135="guardrail_fail","STOP_VARIANT_GUARDRAIL",IF(CB135="watchlist","WATCHLIST_ONLY",IF(AND(BV135="high",BY135="low"),"KEEP_HOOK_REWRITE_CTA",IF(AND(BW135="high",BX135="low"),"KEEP_STRUCTURE_CHANGE_DISCUSSION_ANGLE",IF(AND(BX135="high",BZ135="low"),"DOWNWEIGHT_TEMPLATE",IF(CB135="win","RETEST_WINNER",IF(CB135="loss","RETURN_TO_BASELINE","COLLECT_MORE_DATA")))))))))</x:f>
        <x:v>COLLECT_MORE_DATA</x:v>
      </x:c>
      <x:c r="CD135" s="75"/>
    </x:row>
    <x:row r="136">
      <x:c r="A136" s="68"/>
      <x:c r="B136" s="69"/>
      <x:c r="C136" s="68"/>
      <x:c r="D136" s="68"/>
      <x:c r="E136" s="68"/>
      <x:c r="F136" s="68"/>
      <x:c r="G136" s="68"/>
      <x:c r="H136" s="70"/>
      <x:c r="I136" s="68"/>
      <x:c r="J136" s="68"/>
      <x:c r="K136" s="68"/>
      <x:c r="L136" s="71" t="str">
        <x:f>IF(K136="","unknown",IF(K136=0,"baseline",IF(K136=1,"pure","mixed")))</x:f>
        <x:v>unknown</x:v>
      </x:c>
      <x:c r="M136" s="68"/>
      <x:c r="N136" s="68"/>
      <x:c r="O136" s="68"/>
      <x:c r="P136" s="68"/>
      <x:c r="Q136" s="68"/>
      <x:c r="R136" s="68"/>
      <x:c r="S136" s="68"/>
      <x:c r="T136" s="68"/>
      <x:c r="U136" s="68"/>
      <x:c r="V136" s="68"/>
      <x:c r="W136" s="68"/>
      <x:c r="X136" s="68"/>
      <x:c r="Y136" s="68"/>
      <x:c r="Z136" s="68"/>
      <x:c r="AA136" s="68"/>
      <x:c r="AB136" s="68"/>
      <x:c r="AC136" s="68"/>
      <x:c r="AD136" s="70"/>
      <x:c r="AE136" s="70"/>
      <x:c r="AF136" s="70"/>
      <x:c r="AG136" s="70"/>
      <x:c r="AH136" s="70"/>
      <x:c r="AI136" s="70"/>
      <x:c r="AJ136" s="70"/>
      <x:c r="AK136" s="70"/>
      <x:c r="AL136" s="70"/>
      <x:c r="AM136" s="70"/>
      <x:c r="AN136" s="70"/>
      <x:c r="AO136" s="70"/>
      <x:c r="AP136" s="70"/>
      <x:c r="AQ136" s="70"/>
      <x:c r="AR136" s="70"/>
      <x:c r="AS136" s="70"/>
      <x:c r="AT136" s="72"/>
      <x:c r="AU136" s="72"/>
      <x:c r="AV136" s="72"/>
      <x:c r="AW136" s="72"/>
      <x:c r="AX136" s="72"/>
      <x:c r="AY136" s="72"/>
      <x:c r="AZ136" s="72"/>
      <x:c r="BA136" s="73" t="str">
        <x:f>IF(C136="xiaohongshu",IF(COUNT(AF136,AE136)&lt;2,"",IFERROR(AF136/AE136,"")),"")</x:f>
      </x:c>
      <x:c r="BB136" s="73" t="str">
        <x:f>IF(C136="xiaohongshu",IF(COUNT(AG136,AE136)&lt;2,"",IFERROR(AG136/AE136,"")),"")</x:f>
      </x:c>
      <x:c r="BC136" s="73" t="str">
        <x:f>IF(C136="xiaohongshu",IF(COUNT(AN136,AE136)&lt;2,"",IFERROR(AN136/AE136,"")),"")</x:f>
      </x:c>
      <x:c r="BD136" s="73" t="str">
        <x:f>IF(C136="xiaohongshu",IF(COUNT(AQ136,AE136)&lt;2,"",IFERROR(AQ136/AE136,"")),"")</x:f>
      </x:c>
      <x:c r="BE136" s="73" t="str">
        <x:f>IF(C136="xiaohongshu",IF(COUNT(AI136,AE136)&lt;2,"",IFERROR(AI136/AE136,"")),"")</x:f>
      </x:c>
      <x:c r="BF136" s="73" t="str">
        <x:f>IF(C136="xiaohongshu",IF(OR(COUNT(AE136)=0,COUNT(AR136,AS136)=0),"",IFERROR((AR136+AS136)/AE136,"")),"")</x:f>
      </x:c>
      <x:c r="BG136" s="73" t="str">
        <x:f>IF(C136="x",IF(COUNT(AD136)=0,"",IF(COUNT(AM136)=1,IFERROR(AM136/AD136,""),IF(COUNT(AH136,AI136,AK136,AL136)=0,"",IFERROR(SUM(AH136,AI136,AK136,AL136)/AD136,"")))),"")</x:f>
      </x:c>
      <x:c r="BH136" s="73" t="str">
        <x:f>IF(C136="x",IF(COUNT(AJ136,AD136)&lt;2,"",IFERROR(AJ136/AD136,"")),"")</x:f>
      </x:c>
      <x:c r="BI136" s="73" t="str">
        <x:f>IF(C136="x",IF(COUNT(AO136,AD136)&lt;2,"",IFERROR(AO136/AD136,"")),"")</x:f>
      </x:c>
      <x:c r="BJ136" s="73" t="str">
        <x:f>IF(C136="x",IF(COUNT(AP136,AD136)&lt;2,"",IFERROR(AP136/AD136,"")),"")</x:f>
      </x:c>
      <x:c r="BK136" s="73" t="str">
        <x:f>IF(C136="x",IF(COUNT(AL136,AD136)&lt;2,"",IFERROR(AL136/AD136,"")),"")</x:f>
      </x:c>
      <x:c r="BL136" s="73" t="str">
        <x:f>IF(C136="x",IF(OR(COUNT(AD136)=0,COUNT(AR136,AS136)=0),"",IFERROR((AR136+AS136)/AD136,"")),"")</x:f>
      </x:c>
      <x:c r="BM136" s="73" t="str">
        <x:f>IF(AB136="xhs_save_rate",BA136,IF(AB136="xhs_completion_rate",BB136,IF(AB136="xhs_profile_visit_rate",BC136,IF(AB136="xhs_dm_intent_rate",BD136,IF(AB136="xhs_discussion_rate",BE136,IF(AB136="xhs_product_relevance_rate",BF136,IF(AB136="x_first_screen_engaged_rate_proxy",BG136,IF(AB136="x_qualified_reply_rate",BH136,IF(AB136="x_profile_click_rate",BI136,IF(AB136="x_link_intent_rate",BJ136,IF(AB136="x_bookmark_rate",BK136,IF(AB136="x_product_relevance_rate",BL136,""))))))))))))</x:f>
      </x:c>
      <x:c r="BN136" s="73" t="str">
        <x:f>IFERROR(BM136/AT136-1,"")</x:f>
      </x:c>
      <x:c r="BO136" s="73" t="str">
        <x:f>IF(AC136="","",IF(AC136="xhs_save_rate",BA136,IF(AC136="xhs_completion_rate",BB136,IF(AC136="xhs_profile_visit_rate",BC136,IF(AC136="xhs_dm_intent_rate",BD136,IF(AC136="xhs_discussion_rate",BE136,IF(AC136="xhs_product_relevance_rate",BF136,IF(AC136="x_first_screen_engaged_rate_proxy",BG136,IF(AC136="x_qualified_reply_rate",BH136,IF(AC136="x_profile_click_rate",BI136,IF(AC136="x_link_intent_rate",BJ136,IF(AC136="x_bookmark_rate",BK136,IF(AC136="x_product_relevance_rate",BL136,"")))))))))))))</x:f>
      </x:c>
      <x:c r="BP136" s="73" t="str">
        <x:f>IFERROR(BO136/AU136-1,"")</x:f>
      </x:c>
      <x:c r="BQ136" s="74" t="str">
        <x:f>IF(COUNT(AD136)=0,"",AD136)</x:f>
      </x:c>
      <x:c r="BR136" s="73" t="str">
        <x:f>IF(C136="xiaohongshu",IF(COUNT(BA136,BB136)=2,AVERAGE(BA136,BB136),IF(COUNT(BA136)=1,BA136,BB136)),BK136)</x:f>
      </x:c>
      <x:c r="BS136" s="73" t="str">
        <x:f>IF(C136="xiaohongshu",BE136,BH136)</x:f>
      </x:c>
      <x:c r="BT136" s="73" t="str">
        <x:f>IF(C136="xiaohongshu",IF(I136="save",BA136,IF(I136="discussion",BE136,IF(I136="profile_visit",BC136,IF(I136="dm",BD136,IF(OR(I136="product_question",I136="trial_intent"),BF136,""))))),IF(I136="save",BK136,IF(I136="discussion",BH136,IF(OR(I136="profile_visit",I136="dm"),BI136,IF(I136="link_click",BJ136,IF(OR(I136="product_question",I136="trial_intent"),BL136,""))))))</x:f>
      </x:c>
      <x:c r="BU136" s="73" t="str">
        <x:f>IF(C136="xiaohongshu",BF136,BL136)</x:f>
      </x:c>
      <x:c r="BV136" s="65" t="str">
        <x:f>IF(COUNT(BQ136,AV136)&lt;2,"unknown",IF(BQ136/AV136-1&gt;=0.2,"high",IF(BQ136/AV136-1&lt;=-0.2,"low","normal")))</x:f>
        <x:v>unknown</x:v>
      </x:c>
      <x:c r="BW136" s="65" t="str">
        <x:f>IF(COUNT(BR136,AW136)&lt;2,"unknown",IF(BR136/AW136-1&gt;=0.2,"high",IF(BR136/AW136-1&lt;=-0.2,"low","normal")))</x:f>
        <x:v>unknown</x:v>
      </x:c>
      <x:c r="BX136" s="65" t="str">
        <x:f>IF(COUNT(BS136,AX136)&lt;2,"unknown",IF(BS136/AX136-1&gt;=0.2,"high",IF(BS136/AX136-1&lt;=-0.2,"low","normal")))</x:f>
        <x:v>unknown</x:v>
      </x:c>
      <x:c r="BY136" s="65" t="str">
        <x:f>IF(COUNT(BT136,AY136)&lt;2,"unknown",IF(BT136/AY136-1&gt;=0.2,"high",IF(BT136/AY136-1&lt;=-0.2,"low","normal")))</x:f>
        <x:v>unknown</x:v>
      </x:c>
      <x:c r="BZ136" s="65" t="str">
        <x:f>IF(COUNT(BU136,AZ136)&lt;2,"unknown",IF(BU136/AZ136-1&gt;=0.2,"high",IF(BU136/AZ136-1&lt;=-0.2,"low","normal")))</x:f>
        <x:v>unknown</x:v>
      </x:c>
      <x:c r="CA136" s="65" t="str">
        <x:f>IF(T136&lt;&gt;"complete","pending",IF(OR(L136&lt;&gt;"pure",U136="true",COUNT(BM136,AT136)&lt;2,AND(AC136&lt;&gt;"",COUNT(BO136,AU136)&lt;2)),"not_attributable","attributable"))</x:f>
        <x:v>pending</x:v>
      </x:c>
      <x:c r="CB136" s="65" t="str">
        <x:f>IF(T136&lt;&gt;"complete","not_evaluated",IF(COUNT(BM136,AT136)&lt;2,"insufficient_data",IF(AND(AC136&lt;&gt;"",COUNT(BP136)=1,BP136&lt;=-0.2),"guardrail_fail",IF(AND(CA136="not_attributable",OR(BV136="high",BN136&gt;=0.2)),"watchlist",IF(CA136&lt;&gt;"attributable","insufficient_data",IF(BN136&gt;=0.2,"win",IF(BN136&lt;=-0.2,"loss","inconclusive")))))))</x:f>
        <x:v>not_evaluated</x:v>
      </x:c>
      <x:c r="CC136" s="65" t="str">
        <x:f>IF(T136&lt;&gt;"complete","COLLECT_MORE_DATA",IF(COUNT(BM136,AT136)&lt;2,"FIX_TRACKING",IF(CB136="guardrail_fail","STOP_VARIANT_GUARDRAIL",IF(CB136="watchlist","WATCHLIST_ONLY",IF(AND(BV136="high",BY136="low"),"KEEP_HOOK_REWRITE_CTA",IF(AND(BW136="high",BX136="low"),"KEEP_STRUCTURE_CHANGE_DISCUSSION_ANGLE",IF(AND(BX136="high",BZ136="low"),"DOWNWEIGHT_TEMPLATE",IF(CB136="win","RETEST_WINNER",IF(CB136="loss","RETURN_TO_BASELINE","COLLECT_MORE_DATA")))))))))</x:f>
        <x:v>COLLECT_MORE_DATA</x:v>
      </x:c>
      <x:c r="CD136" s="75"/>
    </x:row>
    <x:row r="137">
      <x:c r="A137" s="68"/>
      <x:c r="B137" s="69"/>
      <x:c r="C137" s="68"/>
      <x:c r="D137" s="68"/>
      <x:c r="E137" s="68"/>
      <x:c r="F137" s="68"/>
      <x:c r="G137" s="68"/>
      <x:c r="H137" s="70"/>
      <x:c r="I137" s="68"/>
      <x:c r="J137" s="68"/>
      <x:c r="K137" s="68"/>
      <x:c r="L137" s="71" t="str">
        <x:f>IF(K137="","unknown",IF(K137=0,"baseline",IF(K137=1,"pure","mixed")))</x:f>
        <x:v>unknown</x:v>
      </x:c>
      <x:c r="M137" s="68"/>
      <x:c r="N137" s="68"/>
      <x:c r="O137" s="68"/>
      <x:c r="P137" s="68"/>
      <x:c r="Q137" s="68"/>
      <x:c r="R137" s="68"/>
      <x:c r="S137" s="68"/>
      <x:c r="T137" s="68"/>
      <x:c r="U137" s="68"/>
      <x:c r="V137" s="68"/>
      <x:c r="W137" s="68"/>
      <x:c r="X137" s="68"/>
      <x:c r="Y137" s="68"/>
      <x:c r="Z137" s="68"/>
      <x:c r="AA137" s="68"/>
      <x:c r="AB137" s="68"/>
      <x:c r="AC137" s="68"/>
      <x:c r="AD137" s="70"/>
      <x:c r="AE137" s="70"/>
      <x:c r="AF137" s="70"/>
      <x:c r="AG137" s="70"/>
      <x:c r="AH137" s="70"/>
      <x:c r="AI137" s="70"/>
      <x:c r="AJ137" s="70"/>
      <x:c r="AK137" s="70"/>
      <x:c r="AL137" s="70"/>
      <x:c r="AM137" s="70"/>
      <x:c r="AN137" s="70"/>
      <x:c r="AO137" s="70"/>
      <x:c r="AP137" s="70"/>
      <x:c r="AQ137" s="70"/>
      <x:c r="AR137" s="70"/>
      <x:c r="AS137" s="70"/>
      <x:c r="AT137" s="72"/>
      <x:c r="AU137" s="72"/>
      <x:c r="AV137" s="72"/>
      <x:c r="AW137" s="72"/>
      <x:c r="AX137" s="72"/>
      <x:c r="AY137" s="72"/>
      <x:c r="AZ137" s="72"/>
      <x:c r="BA137" s="73" t="str">
        <x:f>IF(C137="xiaohongshu",IF(COUNT(AF137,AE137)&lt;2,"",IFERROR(AF137/AE137,"")),"")</x:f>
      </x:c>
      <x:c r="BB137" s="73" t="str">
        <x:f>IF(C137="xiaohongshu",IF(COUNT(AG137,AE137)&lt;2,"",IFERROR(AG137/AE137,"")),"")</x:f>
      </x:c>
      <x:c r="BC137" s="73" t="str">
        <x:f>IF(C137="xiaohongshu",IF(COUNT(AN137,AE137)&lt;2,"",IFERROR(AN137/AE137,"")),"")</x:f>
      </x:c>
      <x:c r="BD137" s="73" t="str">
        <x:f>IF(C137="xiaohongshu",IF(COUNT(AQ137,AE137)&lt;2,"",IFERROR(AQ137/AE137,"")),"")</x:f>
      </x:c>
      <x:c r="BE137" s="73" t="str">
        <x:f>IF(C137="xiaohongshu",IF(COUNT(AI137,AE137)&lt;2,"",IFERROR(AI137/AE137,"")),"")</x:f>
      </x:c>
      <x:c r="BF137" s="73" t="str">
        <x:f>IF(C137="xiaohongshu",IF(OR(COUNT(AE137)=0,COUNT(AR137,AS137)=0),"",IFERROR((AR137+AS137)/AE137,"")),"")</x:f>
      </x:c>
      <x:c r="BG137" s="73" t="str">
        <x:f>IF(C137="x",IF(COUNT(AD137)=0,"",IF(COUNT(AM137)=1,IFERROR(AM137/AD137,""),IF(COUNT(AH137,AI137,AK137,AL137)=0,"",IFERROR(SUM(AH137,AI137,AK137,AL137)/AD137,"")))),"")</x:f>
      </x:c>
      <x:c r="BH137" s="73" t="str">
        <x:f>IF(C137="x",IF(COUNT(AJ137,AD137)&lt;2,"",IFERROR(AJ137/AD137,"")),"")</x:f>
      </x:c>
      <x:c r="BI137" s="73" t="str">
        <x:f>IF(C137="x",IF(COUNT(AO137,AD137)&lt;2,"",IFERROR(AO137/AD137,"")),"")</x:f>
      </x:c>
      <x:c r="BJ137" s="73" t="str">
        <x:f>IF(C137="x",IF(COUNT(AP137,AD137)&lt;2,"",IFERROR(AP137/AD137,"")),"")</x:f>
      </x:c>
      <x:c r="BK137" s="73" t="str">
        <x:f>IF(C137="x",IF(COUNT(AL137,AD137)&lt;2,"",IFERROR(AL137/AD137,"")),"")</x:f>
      </x:c>
      <x:c r="BL137" s="73" t="str">
        <x:f>IF(C137="x",IF(OR(COUNT(AD137)=0,COUNT(AR137,AS137)=0),"",IFERROR((AR137+AS137)/AD137,"")),"")</x:f>
      </x:c>
      <x:c r="BM137" s="73" t="str">
        <x:f>IF(AB137="xhs_save_rate",BA137,IF(AB137="xhs_completion_rate",BB137,IF(AB137="xhs_profile_visit_rate",BC137,IF(AB137="xhs_dm_intent_rate",BD137,IF(AB137="xhs_discussion_rate",BE137,IF(AB137="xhs_product_relevance_rate",BF137,IF(AB137="x_first_screen_engaged_rate_proxy",BG137,IF(AB137="x_qualified_reply_rate",BH137,IF(AB137="x_profile_click_rate",BI137,IF(AB137="x_link_intent_rate",BJ137,IF(AB137="x_bookmark_rate",BK137,IF(AB137="x_product_relevance_rate",BL137,""))))))))))))</x:f>
      </x:c>
      <x:c r="BN137" s="73" t="str">
        <x:f>IFERROR(BM137/AT137-1,"")</x:f>
      </x:c>
      <x:c r="BO137" s="73" t="str">
        <x:f>IF(AC137="","",IF(AC137="xhs_save_rate",BA137,IF(AC137="xhs_completion_rate",BB137,IF(AC137="xhs_profile_visit_rate",BC137,IF(AC137="xhs_dm_intent_rate",BD137,IF(AC137="xhs_discussion_rate",BE137,IF(AC137="xhs_product_relevance_rate",BF137,IF(AC137="x_first_screen_engaged_rate_proxy",BG137,IF(AC137="x_qualified_reply_rate",BH137,IF(AC137="x_profile_click_rate",BI137,IF(AC137="x_link_intent_rate",BJ137,IF(AC137="x_bookmark_rate",BK137,IF(AC137="x_product_relevance_rate",BL137,"")))))))))))))</x:f>
      </x:c>
      <x:c r="BP137" s="73" t="str">
        <x:f>IFERROR(BO137/AU137-1,"")</x:f>
      </x:c>
      <x:c r="BQ137" s="74" t="str">
        <x:f>IF(COUNT(AD137)=0,"",AD137)</x:f>
      </x:c>
      <x:c r="BR137" s="73" t="str">
        <x:f>IF(C137="xiaohongshu",IF(COUNT(BA137,BB137)=2,AVERAGE(BA137,BB137),IF(COUNT(BA137)=1,BA137,BB137)),BK137)</x:f>
      </x:c>
      <x:c r="BS137" s="73" t="str">
        <x:f>IF(C137="xiaohongshu",BE137,BH137)</x:f>
      </x:c>
      <x:c r="BT137" s="73" t="str">
        <x:f>IF(C137="xiaohongshu",IF(I137="save",BA137,IF(I137="discussion",BE137,IF(I137="profile_visit",BC137,IF(I137="dm",BD137,IF(OR(I137="product_question",I137="trial_intent"),BF137,""))))),IF(I137="save",BK137,IF(I137="discussion",BH137,IF(OR(I137="profile_visit",I137="dm"),BI137,IF(I137="link_click",BJ137,IF(OR(I137="product_question",I137="trial_intent"),BL137,""))))))</x:f>
      </x:c>
      <x:c r="BU137" s="73" t="str">
        <x:f>IF(C137="xiaohongshu",BF137,BL137)</x:f>
      </x:c>
      <x:c r="BV137" s="65" t="str">
        <x:f>IF(COUNT(BQ137,AV137)&lt;2,"unknown",IF(BQ137/AV137-1&gt;=0.2,"high",IF(BQ137/AV137-1&lt;=-0.2,"low","normal")))</x:f>
        <x:v>unknown</x:v>
      </x:c>
      <x:c r="BW137" s="65" t="str">
        <x:f>IF(COUNT(BR137,AW137)&lt;2,"unknown",IF(BR137/AW137-1&gt;=0.2,"high",IF(BR137/AW137-1&lt;=-0.2,"low","normal")))</x:f>
        <x:v>unknown</x:v>
      </x:c>
      <x:c r="BX137" s="65" t="str">
        <x:f>IF(COUNT(BS137,AX137)&lt;2,"unknown",IF(BS137/AX137-1&gt;=0.2,"high",IF(BS137/AX137-1&lt;=-0.2,"low","normal")))</x:f>
        <x:v>unknown</x:v>
      </x:c>
      <x:c r="BY137" s="65" t="str">
        <x:f>IF(COUNT(BT137,AY137)&lt;2,"unknown",IF(BT137/AY137-1&gt;=0.2,"high",IF(BT137/AY137-1&lt;=-0.2,"low","normal")))</x:f>
        <x:v>unknown</x:v>
      </x:c>
      <x:c r="BZ137" s="65" t="str">
        <x:f>IF(COUNT(BU137,AZ137)&lt;2,"unknown",IF(BU137/AZ137-1&gt;=0.2,"high",IF(BU137/AZ137-1&lt;=-0.2,"low","normal")))</x:f>
        <x:v>unknown</x:v>
      </x:c>
      <x:c r="CA137" s="65" t="str">
        <x:f>IF(T137&lt;&gt;"complete","pending",IF(OR(L137&lt;&gt;"pure",U137="true",COUNT(BM137,AT137)&lt;2,AND(AC137&lt;&gt;"",COUNT(BO137,AU137)&lt;2)),"not_attributable","attributable"))</x:f>
        <x:v>pending</x:v>
      </x:c>
      <x:c r="CB137" s="65" t="str">
        <x:f>IF(T137&lt;&gt;"complete","not_evaluated",IF(COUNT(BM137,AT137)&lt;2,"insufficient_data",IF(AND(AC137&lt;&gt;"",COUNT(BP137)=1,BP137&lt;=-0.2),"guardrail_fail",IF(AND(CA137="not_attributable",OR(BV137="high",BN137&gt;=0.2)),"watchlist",IF(CA137&lt;&gt;"attributable","insufficient_data",IF(BN137&gt;=0.2,"win",IF(BN137&lt;=-0.2,"loss","inconclusive")))))))</x:f>
        <x:v>not_evaluated</x:v>
      </x:c>
      <x:c r="CC137" s="65" t="str">
        <x:f>IF(T137&lt;&gt;"complete","COLLECT_MORE_DATA",IF(COUNT(BM137,AT137)&lt;2,"FIX_TRACKING",IF(CB137="guardrail_fail","STOP_VARIANT_GUARDRAIL",IF(CB137="watchlist","WATCHLIST_ONLY",IF(AND(BV137="high",BY137="low"),"KEEP_HOOK_REWRITE_CTA",IF(AND(BW137="high",BX137="low"),"KEEP_STRUCTURE_CHANGE_DISCUSSION_ANGLE",IF(AND(BX137="high",BZ137="low"),"DOWNWEIGHT_TEMPLATE",IF(CB137="win","RETEST_WINNER",IF(CB137="loss","RETURN_TO_BASELINE","COLLECT_MORE_DATA")))))))))</x:f>
        <x:v>COLLECT_MORE_DATA</x:v>
      </x:c>
      <x:c r="CD137" s="75"/>
    </x:row>
    <x:row r="138">
      <x:c r="A138" s="68"/>
      <x:c r="B138" s="69"/>
      <x:c r="C138" s="68"/>
      <x:c r="D138" s="68"/>
      <x:c r="E138" s="68"/>
      <x:c r="F138" s="68"/>
      <x:c r="G138" s="68"/>
      <x:c r="H138" s="70"/>
      <x:c r="I138" s="68"/>
      <x:c r="J138" s="68"/>
      <x:c r="K138" s="68"/>
      <x:c r="L138" s="71" t="str">
        <x:f>IF(K138="","unknown",IF(K138=0,"baseline",IF(K138=1,"pure","mixed")))</x:f>
        <x:v>unknown</x:v>
      </x:c>
      <x:c r="M138" s="68"/>
      <x:c r="N138" s="68"/>
      <x:c r="O138" s="68"/>
      <x:c r="P138" s="68"/>
      <x:c r="Q138" s="68"/>
      <x:c r="R138" s="68"/>
      <x:c r="S138" s="68"/>
      <x:c r="T138" s="68"/>
      <x:c r="U138" s="68"/>
      <x:c r="V138" s="68"/>
      <x:c r="W138" s="68"/>
      <x:c r="X138" s="68"/>
      <x:c r="Y138" s="68"/>
      <x:c r="Z138" s="68"/>
      <x:c r="AA138" s="68"/>
      <x:c r="AB138" s="68"/>
      <x:c r="AC138" s="68"/>
      <x:c r="AD138" s="70"/>
      <x:c r="AE138" s="70"/>
      <x:c r="AF138" s="70"/>
      <x:c r="AG138" s="70"/>
      <x:c r="AH138" s="70"/>
      <x:c r="AI138" s="70"/>
      <x:c r="AJ138" s="70"/>
      <x:c r="AK138" s="70"/>
      <x:c r="AL138" s="70"/>
      <x:c r="AM138" s="70"/>
      <x:c r="AN138" s="70"/>
      <x:c r="AO138" s="70"/>
      <x:c r="AP138" s="70"/>
      <x:c r="AQ138" s="70"/>
      <x:c r="AR138" s="70"/>
      <x:c r="AS138" s="70"/>
      <x:c r="AT138" s="72"/>
      <x:c r="AU138" s="72"/>
      <x:c r="AV138" s="72"/>
      <x:c r="AW138" s="72"/>
      <x:c r="AX138" s="72"/>
      <x:c r="AY138" s="72"/>
      <x:c r="AZ138" s="72"/>
      <x:c r="BA138" s="73" t="str">
        <x:f>IF(C138="xiaohongshu",IF(COUNT(AF138,AE138)&lt;2,"",IFERROR(AF138/AE138,"")),"")</x:f>
      </x:c>
      <x:c r="BB138" s="73" t="str">
        <x:f>IF(C138="xiaohongshu",IF(COUNT(AG138,AE138)&lt;2,"",IFERROR(AG138/AE138,"")),"")</x:f>
      </x:c>
      <x:c r="BC138" s="73" t="str">
        <x:f>IF(C138="xiaohongshu",IF(COUNT(AN138,AE138)&lt;2,"",IFERROR(AN138/AE138,"")),"")</x:f>
      </x:c>
      <x:c r="BD138" s="73" t="str">
        <x:f>IF(C138="xiaohongshu",IF(COUNT(AQ138,AE138)&lt;2,"",IFERROR(AQ138/AE138,"")),"")</x:f>
      </x:c>
      <x:c r="BE138" s="73" t="str">
        <x:f>IF(C138="xiaohongshu",IF(COUNT(AI138,AE138)&lt;2,"",IFERROR(AI138/AE138,"")),"")</x:f>
      </x:c>
      <x:c r="BF138" s="73" t="str">
        <x:f>IF(C138="xiaohongshu",IF(OR(COUNT(AE138)=0,COUNT(AR138,AS138)=0),"",IFERROR((AR138+AS138)/AE138,"")),"")</x:f>
      </x:c>
      <x:c r="BG138" s="73" t="str">
        <x:f>IF(C138="x",IF(COUNT(AD138)=0,"",IF(COUNT(AM138)=1,IFERROR(AM138/AD138,""),IF(COUNT(AH138,AI138,AK138,AL138)=0,"",IFERROR(SUM(AH138,AI138,AK138,AL138)/AD138,"")))),"")</x:f>
      </x:c>
      <x:c r="BH138" s="73" t="str">
        <x:f>IF(C138="x",IF(COUNT(AJ138,AD138)&lt;2,"",IFERROR(AJ138/AD138,"")),"")</x:f>
      </x:c>
      <x:c r="BI138" s="73" t="str">
        <x:f>IF(C138="x",IF(COUNT(AO138,AD138)&lt;2,"",IFERROR(AO138/AD138,"")),"")</x:f>
      </x:c>
      <x:c r="BJ138" s="73" t="str">
        <x:f>IF(C138="x",IF(COUNT(AP138,AD138)&lt;2,"",IFERROR(AP138/AD138,"")),"")</x:f>
      </x:c>
      <x:c r="BK138" s="73" t="str">
        <x:f>IF(C138="x",IF(COUNT(AL138,AD138)&lt;2,"",IFERROR(AL138/AD138,"")),"")</x:f>
      </x:c>
      <x:c r="BL138" s="73" t="str">
        <x:f>IF(C138="x",IF(OR(COUNT(AD138)=0,COUNT(AR138,AS138)=0),"",IFERROR((AR138+AS138)/AD138,"")),"")</x:f>
      </x:c>
      <x:c r="BM138" s="73" t="str">
        <x:f>IF(AB138="xhs_save_rate",BA138,IF(AB138="xhs_completion_rate",BB138,IF(AB138="xhs_profile_visit_rate",BC138,IF(AB138="xhs_dm_intent_rate",BD138,IF(AB138="xhs_discussion_rate",BE138,IF(AB138="xhs_product_relevance_rate",BF138,IF(AB138="x_first_screen_engaged_rate_proxy",BG138,IF(AB138="x_qualified_reply_rate",BH138,IF(AB138="x_profile_click_rate",BI138,IF(AB138="x_link_intent_rate",BJ138,IF(AB138="x_bookmark_rate",BK138,IF(AB138="x_product_relevance_rate",BL138,""))))))))))))</x:f>
      </x:c>
      <x:c r="BN138" s="73" t="str">
        <x:f>IFERROR(BM138/AT138-1,"")</x:f>
      </x:c>
      <x:c r="BO138" s="73" t="str">
        <x:f>IF(AC138="","",IF(AC138="xhs_save_rate",BA138,IF(AC138="xhs_completion_rate",BB138,IF(AC138="xhs_profile_visit_rate",BC138,IF(AC138="xhs_dm_intent_rate",BD138,IF(AC138="xhs_discussion_rate",BE138,IF(AC138="xhs_product_relevance_rate",BF138,IF(AC138="x_first_screen_engaged_rate_proxy",BG138,IF(AC138="x_qualified_reply_rate",BH138,IF(AC138="x_profile_click_rate",BI138,IF(AC138="x_link_intent_rate",BJ138,IF(AC138="x_bookmark_rate",BK138,IF(AC138="x_product_relevance_rate",BL138,"")))))))))))))</x:f>
      </x:c>
      <x:c r="BP138" s="73" t="str">
        <x:f>IFERROR(BO138/AU138-1,"")</x:f>
      </x:c>
      <x:c r="BQ138" s="74" t="str">
        <x:f>IF(COUNT(AD138)=0,"",AD138)</x:f>
      </x:c>
      <x:c r="BR138" s="73" t="str">
        <x:f>IF(C138="xiaohongshu",IF(COUNT(BA138,BB138)=2,AVERAGE(BA138,BB138),IF(COUNT(BA138)=1,BA138,BB138)),BK138)</x:f>
      </x:c>
      <x:c r="BS138" s="73" t="str">
        <x:f>IF(C138="xiaohongshu",BE138,BH138)</x:f>
      </x:c>
      <x:c r="BT138" s="73" t="str">
        <x:f>IF(C138="xiaohongshu",IF(I138="save",BA138,IF(I138="discussion",BE138,IF(I138="profile_visit",BC138,IF(I138="dm",BD138,IF(OR(I138="product_question",I138="trial_intent"),BF138,""))))),IF(I138="save",BK138,IF(I138="discussion",BH138,IF(OR(I138="profile_visit",I138="dm"),BI138,IF(I138="link_click",BJ138,IF(OR(I138="product_question",I138="trial_intent"),BL138,""))))))</x:f>
      </x:c>
      <x:c r="BU138" s="73" t="str">
        <x:f>IF(C138="xiaohongshu",BF138,BL138)</x:f>
      </x:c>
      <x:c r="BV138" s="65" t="str">
        <x:f>IF(COUNT(BQ138,AV138)&lt;2,"unknown",IF(BQ138/AV138-1&gt;=0.2,"high",IF(BQ138/AV138-1&lt;=-0.2,"low","normal")))</x:f>
        <x:v>unknown</x:v>
      </x:c>
      <x:c r="BW138" s="65" t="str">
        <x:f>IF(COUNT(BR138,AW138)&lt;2,"unknown",IF(BR138/AW138-1&gt;=0.2,"high",IF(BR138/AW138-1&lt;=-0.2,"low","normal")))</x:f>
        <x:v>unknown</x:v>
      </x:c>
      <x:c r="BX138" s="65" t="str">
        <x:f>IF(COUNT(BS138,AX138)&lt;2,"unknown",IF(BS138/AX138-1&gt;=0.2,"high",IF(BS138/AX138-1&lt;=-0.2,"low","normal")))</x:f>
        <x:v>unknown</x:v>
      </x:c>
      <x:c r="BY138" s="65" t="str">
        <x:f>IF(COUNT(BT138,AY138)&lt;2,"unknown",IF(BT138/AY138-1&gt;=0.2,"high",IF(BT138/AY138-1&lt;=-0.2,"low","normal")))</x:f>
        <x:v>unknown</x:v>
      </x:c>
      <x:c r="BZ138" s="65" t="str">
        <x:f>IF(COUNT(BU138,AZ138)&lt;2,"unknown",IF(BU138/AZ138-1&gt;=0.2,"high",IF(BU138/AZ138-1&lt;=-0.2,"low","normal")))</x:f>
        <x:v>unknown</x:v>
      </x:c>
      <x:c r="CA138" s="65" t="str">
        <x:f>IF(T138&lt;&gt;"complete","pending",IF(OR(L138&lt;&gt;"pure",U138="true",COUNT(BM138,AT138)&lt;2,AND(AC138&lt;&gt;"",COUNT(BO138,AU138)&lt;2)),"not_attributable","attributable"))</x:f>
        <x:v>pending</x:v>
      </x:c>
      <x:c r="CB138" s="65" t="str">
        <x:f>IF(T138&lt;&gt;"complete","not_evaluated",IF(COUNT(BM138,AT138)&lt;2,"insufficient_data",IF(AND(AC138&lt;&gt;"",COUNT(BP138)=1,BP138&lt;=-0.2),"guardrail_fail",IF(AND(CA138="not_attributable",OR(BV138="high",BN138&gt;=0.2)),"watchlist",IF(CA138&lt;&gt;"attributable","insufficient_data",IF(BN138&gt;=0.2,"win",IF(BN138&lt;=-0.2,"loss","inconclusive")))))))</x:f>
        <x:v>not_evaluated</x:v>
      </x:c>
      <x:c r="CC138" s="65" t="str">
        <x:f>IF(T138&lt;&gt;"complete","COLLECT_MORE_DATA",IF(COUNT(BM138,AT138)&lt;2,"FIX_TRACKING",IF(CB138="guardrail_fail","STOP_VARIANT_GUARDRAIL",IF(CB138="watchlist","WATCHLIST_ONLY",IF(AND(BV138="high",BY138="low"),"KEEP_HOOK_REWRITE_CTA",IF(AND(BW138="high",BX138="low"),"KEEP_STRUCTURE_CHANGE_DISCUSSION_ANGLE",IF(AND(BX138="high",BZ138="low"),"DOWNWEIGHT_TEMPLATE",IF(CB138="win","RETEST_WINNER",IF(CB138="loss","RETURN_TO_BASELINE","COLLECT_MORE_DATA")))))))))</x:f>
        <x:v>COLLECT_MORE_DATA</x:v>
      </x:c>
      <x:c r="CD138" s="75"/>
    </x:row>
    <x:row r="139">
      <x:c r="A139" s="68"/>
      <x:c r="B139" s="69"/>
      <x:c r="C139" s="68"/>
      <x:c r="D139" s="68"/>
      <x:c r="E139" s="68"/>
      <x:c r="F139" s="68"/>
      <x:c r="G139" s="68"/>
      <x:c r="H139" s="70"/>
      <x:c r="I139" s="68"/>
      <x:c r="J139" s="68"/>
      <x:c r="K139" s="68"/>
      <x:c r="L139" s="71" t="str">
        <x:f>IF(K139="","unknown",IF(K139=0,"baseline",IF(K139=1,"pure","mixed")))</x:f>
        <x:v>unknown</x:v>
      </x:c>
      <x:c r="M139" s="68"/>
      <x:c r="N139" s="68"/>
      <x:c r="O139" s="68"/>
      <x:c r="P139" s="68"/>
      <x:c r="Q139" s="68"/>
      <x:c r="R139" s="68"/>
      <x:c r="S139" s="68"/>
      <x:c r="T139" s="68"/>
      <x:c r="U139" s="68"/>
      <x:c r="V139" s="68"/>
      <x:c r="W139" s="68"/>
      <x:c r="X139" s="68"/>
      <x:c r="Y139" s="68"/>
      <x:c r="Z139" s="68"/>
      <x:c r="AA139" s="68"/>
      <x:c r="AB139" s="68"/>
      <x:c r="AC139" s="68"/>
      <x:c r="AD139" s="70"/>
      <x:c r="AE139" s="70"/>
      <x:c r="AF139" s="70"/>
      <x:c r="AG139" s="70"/>
      <x:c r="AH139" s="70"/>
      <x:c r="AI139" s="70"/>
      <x:c r="AJ139" s="70"/>
      <x:c r="AK139" s="70"/>
      <x:c r="AL139" s="70"/>
      <x:c r="AM139" s="70"/>
      <x:c r="AN139" s="70"/>
      <x:c r="AO139" s="70"/>
      <x:c r="AP139" s="70"/>
      <x:c r="AQ139" s="70"/>
      <x:c r="AR139" s="70"/>
      <x:c r="AS139" s="70"/>
      <x:c r="AT139" s="72"/>
      <x:c r="AU139" s="72"/>
      <x:c r="AV139" s="72"/>
      <x:c r="AW139" s="72"/>
      <x:c r="AX139" s="72"/>
      <x:c r="AY139" s="72"/>
      <x:c r="AZ139" s="72"/>
      <x:c r="BA139" s="73" t="str">
        <x:f>IF(C139="xiaohongshu",IF(COUNT(AF139,AE139)&lt;2,"",IFERROR(AF139/AE139,"")),"")</x:f>
      </x:c>
      <x:c r="BB139" s="73" t="str">
        <x:f>IF(C139="xiaohongshu",IF(COUNT(AG139,AE139)&lt;2,"",IFERROR(AG139/AE139,"")),"")</x:f>
      </x:c>
      <x:c r="BC139" s="73" t="str">
        <x:f>IF(C139="xiaohongshu",IF(COUNT(AN139,AE139)&lt;2,"",IFERROR(AN139/AE139,"")),"")</x:f>
      </x:c>
      <x:c r="BD139" s="73" t="str">
        <x:f>IF(C139="xiaohongshu",IF(COUNT(AQ139,AE139)&lt;2,"",IFERROR(AQ139/AE139,"")),"")</x:f>
      </x:c>
      <x:c r="BE139" s="73" t="str">
        <x:f>IF(C139="xiaohongshu",IF(COUNT(AI139,AE139)&lt;2,"",IFERROR(AI139/AE139,"")),"")</x:f>
      </x:c>
      <x:c r="BF139" s="73" t="str">
        <x:f>IF(C139="xiaohongshu",IF(OR(COUNT(AE139)=0,COUNT(AR139,AS139)=0),"",IFERROR((AR139+AS139)/AE139,"")),"")</x:f>
      </x:c>
      <x:c r="BG139" s="73" t="str">
        <x:f>IF(C139="x",IF(COUNT(AD139)=0,"",IF(COUNT(AM139)=1,IFERROR(AM139/AD139,""),IF(COUNT(AH139,AI139,AK139,AL139)=0,"",IFERROR(SUM(AH139,AI139,AK139,AL139)/AD139,"")))),"")</x:f>
      </x:c>
      <x:c r="BH139" s="73" t="str">
        <x:f>IF(C139="x",IF(COUNT(AJ139,AD139)&lt;2,"",IFERROR(AJ139/AD139,"")),"")</x:f>
      </x:c>
      <x:c r="BI139" s="73" t="str">
        <x:f>IF(C139="x",IF(COUNT(AO139,AD139)&lt;2,"",IFERROR(AO139/AD139,"")),"")</x:f>
      </x:c>
      <x:c r="BJ139" s="73" t="str">
        <x:f>IF(C139="x",IF(COUNT(AP139,AD139)&lt;2,"",IFERROR(AP139/AD139,"")),"")</x:f>
      </x:c>
      <x:c r="BK139" s="73" t="str">
        <x:f>IF(C139="x",IF(COUNT(AL139,AD139)&lt;2,"",IFERROR(AL139/AD139,"")),"")</x:f>
      </x:c>
      <x:c r="BL139" s="73" t="str">
        <x:f>IF(C139="x",IF(OR(COUNT(AD139)=0,COUNT(AR139,AS139)=0),"",IFERROR((AR139+AS139)/AD139,"")),"")</x:f>
      </x:c>
      <x:c r="BM139" s="73" t="str">
        <x:f>IF(AB139="xhs_save_rate",BA139,IF(AB139="xhs_completion_rate",BB139,IF(AB139="xhs_profile_visit_rate",BC139,IF(AB139="xhs_dm_intent_rate",BD139,IF(AB139="xhs_discussion_rate",BE139,IF(AB139="xhs_product_relevance_rate",BF139,IF(AB139="x_first_screen_engaged_rate_proxy",BG139,IF(AB139="x_qualified_reply_rate",BH139,IF(AB139="x_profile_click_rate",BI139,IF(AB139="x_link_intent_rate",BJ139,IF(AB139="x_bookmark_rate",BK139,IF(AB139="x_product_relevance_rate",BL139,""))))))))))))</x:f>
      </x:c>
      <x:c r="BN139" s="73" t="str">
        <x:f>IFERROR(BM139/AT139-1,"")</x:f>
      </x:c>
      <x:c r="BO139" s="73" t="str">
        <x:f>IF(AC139="","",IF(AC139="xhs_save_rate",BA139,IF(AC139="xhs_completion_rate",BB139,IF(AC139="xhs_profile_visit_rate",BC139,IF(AC139="xhs_dm_intent_rate",BD139,IF(AC139="xhs_discussion_rate",BE139,IF(AC139="xhs_product_relevance_rate",BF139,IF(AC139="x_first_screen_engaged_rate_proxy",BG139,IF(AC139="x_qualified_reply_rate",BH139,IF(AC139="x_profile_click_rate",BI139,IF(AC139="x_link_intent_rate",BJ139,IF(AC139="x_bookmark_rate",BK139,IF(AC139="x_product_relevance_rate",BL139,"")))))))))))))</x:f>
      </x:c>
      <x:c r="BP139" s="73" t="str">
        <x:f>IFERROR(BO139/AU139-1,"")</x:f>
      </x:c>
      <x:c r="BQ139" s="74" t="str">
        <x:f>IF(COUNT(AD139)=0,"",AD139)</x:f>
      </x:c>
      <x:c r="BR139" s="73" t="str">
        <x:f>IF(C139="xiaohongshu",IF(COUNT(BA139,BB139)=2,AVERAGE(BA139,BB139),IF(COUNT(BA139)=1,BA139,BB139)),BK139)</x:f>
      </x:c>
      <x:c r="BS139" s="73" t="str">
        <x:f>IF(C139="xiaohongshu",BE139,BH139)</x:f>
      </x:c>
      <x:c r="BT139" s="73" t="str">
        <x:f>IF(C139="xiaohongshu",IF(I139="save",BA139,IF(I139="discussion",BE139,IF(I139="profile_visit",BC139,IF(I139="dm",BD139,IF(OR(I139="product_question",I139="trial_intent"),BF139,""))))),IF(I139="save",BK139,IF(I139="discussion",BH139,IF(OR(I139="profile_visit",I139="dm"),BI139,IF(I139="link_click",BJ139,IF(OR(I139="product_question",I139="trial_intent"),BL139,""))))))</x:f>
      </x:c>
      <x:c r="BU139" s="73" t="str">
        <x:f>IF(C139="xiaohongshu",BF139,BL139)</x:f>
      </x:c>
      <x:c r="BV139" s="65" t="str">
        <x:f>IF(COUNT(BQ139,AV139)&lt;2,"unknown",IF(BQ139/AV139-1&gt;=0.2,"high",IF(BQ139/AV139-1&lt;=-0.2,"low","normal")))</x:f>
        <x:v>unknown</x:v>
      </x:c>
      <x:c r="BW139" s="65" t="str">
        <x:f>IF(COUNT(BR139,AW139)&lt;2,"unknown",IF(BR139/AW139-1&gt;=0.2,"high",IF(BR139/AW139-1&lt;=-0.2,"low","normal")))</x:f>
        <x:v>unknown</x:v>
      </x:c>
      <x:c r="BX139" s="65" t="str">
        <x:f>IF(COUNT(BS139,AX139)&lt;2,"unknown",IF(BS139/AX139-1&gt;=0.2,"high",IF(BS139/AX139-1&lt;=-0.2,"low","normal")))</x:f>
        <x:v>unknown</x:v>
      </x:c>
      <x:c r="BY139" s="65" t="str">
        <x:f>IF(COUNT(BT139,AY139)&lt;2,"unknown",IF(BT139/AY139-1&gt;=0.2,"high",IF(BT139/AY139-1&lt;=-0.2,"low","normal")))</x:f>
        <x:v>unknown</x:v>
      </x:c>
      <x:c r="BZ139" s="65" t="str">
        <x:f>IF(COUNT(BU139,AZ139)&lt;2,"unknown",IF(BU139/AZ139-1&gt;=0.2,"high",IF(BU139/AZ139-1&lt;=-0.2,"low","normal")))</x:f>
        <x:v>unknown</x:v>
      </x:c>
      <x:c r="CA139" s="65" t="str">
        <x:f>IF(T139&lt;&gt;"complete","pending",IF(OR(L139&lt;&gt;"pure",U139="true",COUNT(BM139,AT139)&lt;2,AND(AC139&lt;&gt;"",COUNT(BO139,AU139)&lt;2)),"not_attributable","attributable"))</x:f>
        <x:v>pending</x:v>
      </x:c>
      <x:c r="CB139" s="65" t="str">
        <x:f>IF(T139&lt;&gt;"complete","not_evaluated",IF(COUNT(BM139,AT139)&lt;2,"insufficient_data",IF(AND(AC139&lt;&gt;"",COUNT(BP139)=1,BP139&lt;=-0.2),"guardrail_fail",IF(AND(CA139="not_attributable",OR(BV139="high",BN139&gt;=0.2)),"watchlist",IF(CA139&lt;&gt;"attributable","insufficient_data",IF(BN139&gt;=0.2,"win",IF(BN139&lt;=-0.2,"loss","inconclusive")))))))</x:f>
        <x:v>not_evaluated</x:v>
      </x:c>
      <x:c r="CC139" s="65" t="str">
        <x:f>IF(T139&lt;&gt;"complete","COLLECT_MORE_DATA",IF(COUNT(BM139,AT139)&lt;2,"FIX_TRACKING",IF(CB139="guardrail_fail","STOP_VARIANT_GUARDRAIL",IF(CB139="watchlist","WATCHLIST_ONLY",IF(AND(BV139="high",BY139="low"),"KEEP_HOOK_REWRITE_CTA",IF(AND(BW139="high",BX139="low"),"KEEP_STRUCTURE_CHANGE_DISCUSSION_ANGLE",IF(AND(BX139="high",BZ139="low"),"DOWNWEIGHT_TEMPLATE",IF(CB139="win","RETEST_WINNER",IF(CB139="loss","RETURN_TO_BASELINE","COLLECT_MORE_DATA")))))))))</x:f>
        <x:v>COLLECT_MORE_DATA</x:v>
      </x:c>
      <x:c r="CD139" s="75"/>
    </x:row>
    <x:row r="140">
      <x:c r="A140" s="68"/>
      <x:c r="B140" s="69"/>
      <x:c r="C140" s="68"/>
      <x:c r="D140" s="68"/>
      <x:c r="E140" s="68"/>
      <x:c r="F140" s="68"/>
      <x:c r="G140" s="68"/>
      <x:c r="H140" s="70"/>
      <x:c r="I140" s="68"/>
      <x:c r="J140" s="68"/>
      <x:c r="K140" s="68"/>
      <x:c r="L140" s="71" t="str">
        <x:f>IF(K140="","unknown",IF(K140=0,"baseline",IF(K140=1,"pure","mixed")))</x:f>
        <x:v>unknown</x:v>
      </x:c>
      <x:c r="M140" s="68"/>
      <x:c r="N140" s="68"/>
      <x:c r="O140" s="68"/>
      <x:c r="P140" s="68"/>
      <x:c r="Q140" s="68"/>
      <x:c r="R140" s="68"/>
      <x:c r="S140" s="68"/>
      <x:c r="T140" s="68"/>
      <x:c r="U140" s="68"/>
      <x:c r="V140" s="68"/>
      <x:c r="W140" s="68"/>
      <x:c r="X140" s="68"/>
      <x:c r="Y140" s="68"/>
      <x:c r="Z140" s="68"/>
      <x:c r="AA140" s="68"/>
      <x:c r="AB140" s="68"/>
      <x:c r="AC140" s="68"/>
      <x:c r="AD140" s="70"/>
      <x:c r="AE140" s="70"/>
      <x:c r="AF140" s="70"/>
      <x:c r="AG140" s="70"/>
      <x:c r="AH140" s="70"/>
      <x:c r="AI140" s="70"/>
      <x:c r="AJ140" s="70"/>
      <x:c r="AK140" s="70"/>
      <x:c r="AL140" s="70"/>
      <x:c r="AM140" s="70"/>
      <x:c r="AN140" s="70"/>
      <x:c r="AO140" s="70"/>
      <x:c r="AP140" s="70"/>
      <x:c r="AQ140" s="70"/>
      <x:c r="AR140" s="70"/>
      <x:c r="AS140" s="70"/>
      <x:c r="AT140" s="72"/>
      <x:c r="AU140" s="72"/>
      <x:c r="AV140" s="72"/>
      <x:c r="AW140" s="72"/>
      <x:c r="AX140" s="72"/>
      <x:c r="AY140" s="72"/>
      <x:c r="AZ140" s="72"/>
      <x:c r="BA140" s="73" t="str">
        <x:f>IF(C140="xiaohongshu",IF(COUNT(AF140,AE140)&lt;2,"",IFERROR(AF140/AE140,"")),"")</x:f>
      </x:c>
      <x:c r="BB140" s="73" t="str">
        <x:f>IF(C140="xiaohongshu",IF(COUNT(AG140,AE140)&lt;2,"",IFERROR(AG140/AE140,"")),"")</x:f>
      </x:c>
      <x:c r="BC140" s="73" t="str">
        <x:f>IF(C140="xiaohongshu",IF(COUNT(AN140,AE140)&lt;2,"",IFERROR(AN140/AE140,"")),"")</x:f>
      </x:c>
      <x:c r="BD140" s="73" t="str">
        <x:f>IF(C140="xiaohongshu",IF(COUNT(AQ140,AE140)&lt;2,"",IFERROR(AQ140/AE140,"")),"")</x:f>
      </x:c>
      <x:c r="BE140" s="73" t="str">
        <x:f>IF(C140="xiaohongshu",IF(COUNT(AI140,AE140)&lt;2,"",IFERROR(AI140/AE140,"")),"")</x:f>
      </x:c>
      <x:c r="BF140" s="73" t="str">
        <x:f>IF(C140="xiaohongshu",IF(OR(COUNT(AE140)=0,COUNT(AR140,AS140)=0),"",IFERROR((AR140+AS140)/AE140,"")),"")</x:f>
      </x:c>
      <x:c r="BG140" s="73" t="str">
        <x:f>IF(C140="x",IF(COUNT(AD140)=0,"",IF(COUNT(AM140)=1,IFERROR(AM140/AD140,""),IF(COUNT(AH140,AI140,AK140,AL140)=0,"",IFERROR(SUM(AH140,AI140,AK140,AL140)/AD140,"")))),"")</x:f>
      </x:c>
      <x:c r="BH140" s="73" t="str">
        <x:f>IF(C140="x",IF(COUNT(AJ140,AD140)&lt;2,"",IFERROR(AJ140/AD140,"")),"")</x:f>
      </x:c>
      <x:c r="BI140" s="73" t="str">
        <x:f>IF(C140="x",IF(COUNT(AO140,AD140)&lt;2,"",IFERROR(AO140/AD140,"")),"")</x:f>
      </x:c>
      <x:c r="BJ140" s="73" t="str">
        <x:f>IF(C140="x",IF(COUNT(AP140,AD140)&lt;2,"",IFERROR(AP140/AD140,"")),"")</x:f>
      </x:c>
      <x:c r="BK140" s="73" t="str">
        <x:f>IF(C140="x",IF(COUNT(AL140,AD140)&lt;2,"",IFERROR(AL140/AD140,"")),"")</x:f>
      </x:c>
      <x:c r="BL140" s="73" t="str">
        <x:f>IF(C140="x",IF(OR(COUNT(AD140)=0,COUNT(AR140,AS140)=0),"",IFERROR((AR140+AS140)/AD140,"")),"")</x:f>
      </x:c>
      <x:c r="BM140" s="73" t="str">
        <x:f>IF(AB140="xhs_save_rate",BA140,IF(AB140="xhs_completion_rate",BB140,IF(AB140="xhs_profile_visit_rate",BC140,IF(AB140="xhs_dm_intent_rate",BD140,IF(AB140="xhs_discussion_rate",BE140,IF(AB140="xhs_product_relevance_rate",BF140,IF(AB140="x_first_screen_engaged_rate_proxy",BG140,IF(AB140="x_qualified_reply_rate",BH140,IF(AB140="x_profile_click_rate",BI140,IF(AB140="x_link_intent_rate",BJ140,IF(AB140="x_bookmark_rate",BK140,IF(AB140="x_product_relevance_rate",BL140,""))))))))))))</x:f>
      </x:c>
      <x:c r="BN140" s="73" t="str">
        <x:f>IFERROR(BM140/AT140-1,"")</x:f>
      </x:c>
      <x:c r="BO140" s="73" t="str">
        <x:f>IF(AC140="","",IF(AC140="xhs_save_rate",BA140,IF(AC140="xhs_completion_rate",BB140,IF(AC140="xhs_profile_visit_rate",BC140,IF(AC140="xhs_dm_intent_rate",BD140,IF(AC140="xhs_discussion_rate",BE140,IF(AC140="xhs_product_relevance_rate",BF140,IF(AC140="x_first_screen_engaged_rate_proxy",BG140,IF(AC140="x_qualified_reply_rate",BH140,IF(AC140="x_profile_click_rate",BI140,IF(AC140="x_link_intent_rate",BJ140,IF(AC140="x_bookmark_rate",BK140,IF(AC140="x_product_relevance_rate",BL140,"")))))))))))))</x:f>
      </x:c>
      <x:c r="BP140" s="73" t="str">
        <x:f>IFERROR(BO140/AU140-1,"")</x:f>
      </x:c>
      <x:c r="BQ140" s="74" t="str">
        <x:f>IF(COUNT(AD140)=0,"",AD140)</x:f>
      </x:c>
      <x:c r="BR140" s="73" t="str">
        <x:f>IF(C140="xiaohongshu",IF(COUNT(BA140,BB140)=2,AVERAGE(BA140,BB140),IF(COUNT(BA140)=1,BA140,BB140)),BK140)</x:f>
      </x:c>
      <x:c r="BS140" s="73" t="str">
        <x:f>IF(C140="xiaohongshu",BE140,BH140)</x:f>
      </x:c>
      <x:c r="BT140" s="73" t="str">
        <x:f>IF(C140="xiaohongshu",IF(I140="save",BA140,IF(I140="discussion",BE140,IF(I140="profile_visit",BC140,IF(I140="dm",BD140,IF(OR(I140="product_question",I140="trial_intent"),BF140,""))))),IF(I140="save",BK140,IF(I140="discussion",BH140,IF(OR(I140="profile_visit",I140="dm"),BI140,IF(I140="link_click",BJ140,IF(OR(I140="product_question",I140="trial_intent"),BL140,""))))))</x:f>
      </x:c>
      <x:c r="BU140" s="73" t="str">
        <x:f>IF(C140="xiaohongshu",BF140,BL140)</x:f>
      </x:c>
      <x:c r="BV140" s="65" t="str">
        <x:f>IF(COUNT(BQ140,AV140)&lt;2,"unknown",IF(BQ140/AV140-1&gt;=0.2,"high",IF(BQ140/AV140-1&lt;=-0.2,"low","normal")))</x:f>
        <x:v>unknown</x:v>
      </x:c>
      <x:c r="BW140" s="65" t="str">
        <x:f>IF(COUNT(BR140,AW140)&lt;2,"unknown",IF(BR140/AW140-1&gt;=0.2,"high",IF(BR140/AW140-1&lt;=-0.2,"low","normal")))</x:f>
        <x:v>unknown</x:v>
      </x:c>
      <x:c r="BX140" s="65" t="str">
        <x:f>IF(COUNT(BS140,AX140)&lt;2,"unknown",IF(BS140/AX140-1&gt;=0.2,"high",IF(BS140/AX140-1&lt;=-0.2,"low","normal")))</x:f>
        <x:v>unknown</x:v>
      </x:c>
      <x:c r="BY140" s="65" t="str">
        <x:f>IF(COUNT(BT140,AY140)&lt;2,"unknown",IF(BT140/AY140-1&gt;=0.2,"high",IF(BT140/AY140-1&lt;=-0.2,"low","normal")))</x:f>
        <x:v>unknown</x:v>
      </x:c>
      <x:c r="BZ140" s="65" t="str">
        <x:f>IF(COUNT(BU140,AZ140)&lt;2,"unknown",IF(BU140/AZ140-1&gt;=0.2,"high",IF(BU140/AZ140-1&lt;=-0.2,"low","normal")))</x:f>
        <x:v>unknown</x:v>
      </x:c>
      <x:c r="CA140" s="65" t="str">
        <x:f>IF(T140&lt;&gt;"complete","pending",IF(OR(L140&lt;&gt;"pure",U140="true",COUNT(BM140,AT140)&lt;2,AND(AC140&lt;&gt;"",COUNT(BO140,AU140)&lt;2)),"not_attributable","attributable"))</x:f>
        <x:v>pending</x:v>
      </x:c>
      <x:c r="CB140" s="65" t="str">
        <x:f>IF(T140&lt;&gt;"complete","not_evaluated",IF(COUNT(BM140,AT140)&lt;2,"insufficient_data",IF(AND(AC140&lt;&gt;"",COUNT(BP140)=1,BP140&lt;=-0.2),"guardrail_fail",IF(AND(CA140="not_attributable",OR(BV140="high",BN140&gt;=0.2)),"watchlist",IF(CA140&lt;&gt;"attributable","insufficient_data",IF(BN140&gt;=0.2,"win",IF(BN140&lt;=-0.2,"loss","inconclusive")))))))</x:f>
        <x:v>not_evaluated</x:v>
      </x:c>
      <x:c r="CC140" s="65" t="str">
        <x:f>IF(T140&lt;&gt;"complete","COLLECT_MORE_DATA",IF(COUNT(BM140,AT140)&lt;2,"FIX_TRACKING",IF(CB140="guardrail_fail","STOP_VARIANT_GUARDRAIL",IF(CB140="watchlist","WATCHLIST_ONLY",IF(AND(BV140="high",BY140="low"),"KEEP_HOOK_REWRITE_CTA",IF(AND(BW140="high",BX140="low"),"KEEP_STRUCTURE_CHANGE_DISCUSSION_ANGLE",IF(AND(BX140="high",BZ140="low"),"DOWNWEIGHT_TEMPLATE",IF(CB140="win","RETEST_WINNER",IF(CB140="loss","RETURN_TO_BASELINE","COLLECT_MORE_DATA")))))))))</x:f>
        <x:v>COLLECT_MORE_DATA</x:v>
      </x:c>
      <x:c r="CD140" s="75"/>
    </x:row>
    <x:row r="141">
      <x:c r="A141" s="68"/>
      <x:c r="B141" s="69"/>
      <x:c r="C141" s="68"/>
      <x:c r="D141" s="68"/>
      <x:c r="E141" s="68"/>
      <x:c r="F141" s="68"/>
      <x:c r="G141" s="68"/>
      <x:c r="H141" s="70"/>
      <x:c r="I141" s="68"/>
      <x:c r="J141" s="68"/>
      <x:c r="K141" s="68"/>
      <x:c r="L141" s="71" t="str">
        <x:f>IF(K141="","unknown",IF(K141=0,"baseline",IF(K141=1,"pure","mixed")))</x:f>
        <x:v>unknown</x:v>
      </x:c>
      <x:c r="M141" s="68"/>
      <x:c r="N141" s="68"/>
      <x:c r="O141" s="68"/>
      <x:c r="P141" s="68"/>
      <x:c r="Q141" s="68"/>
      <x:c r="R141" s="68"/>
      <x:c r="S141" s="68"/>
      <x:c r="T141" s="68"/>
      <x:c r="U141" s="68"/>
      <x:c r="V141" s="68"/>
      <x:c r="W141" s="68"/>
      <x:c r="X141" s="68"/>
      <x:c r="Y141" s="68"/>
      <x:c r="Z141" s="68"/>
      <x:c r="AA141" s="68"/>
      <x:c r="AB141" s="68"/>
      <x:c r="AC141" s="68"/>
      <x:c r="AD141" s="70"/>
      <x:c r="AE141" s="70"/>
      <x:c r="AF141" s="70"/>
      <x:c r="AG141" s="70"/>
      <x:c r="AH141" s="70"/>
      <x:c r="AI141" s="70"/>
      <x:c r="AJ141" s="70"/>
      <x:c r="AK141" s="70"/>
      <x:c r="AL141" s="70"/>
      <x:c r="AM141" s="70"/>
      <x:c r="AN141" s="70"/>
      <x:c r="AO141" s="70"/>
      <x:c r="AP141" s="70"/>
      <x:c r="AQ141" s="70"/>
      <x:c r="AR141" s="70"/>
      <x:c r="AS141" s="70"/>
      <x:c r="AT141" s="72"/>
      <x:c r="AU141" s="72"/>
      <x:c r="AV141" s="72"/>
      <x:c r="AW141" s="72"/>
      <x:c r="AX141" s="72"/>
      <x:c r="AY141" s="72"/>
      <x:c r="AZ141" s="72"/>
      <x:c r="BA141" s="73" t="str">
        <x:f>IF(C141="xiaohongshu",IF(COUNT(AF141,AE141)&lt;2,"",IFERROR(AF141/AE141,"")),"")</x:f>
      </x:c>
      <x:c r="BB141" s="73" t="str">
        <x:f>IF(C141="xiaohongshu",IF(COUNT(AG141,AE141)&lt;2,"",IFERROR(AG141/AE141,"")),"")</x:f>
      </x:c>
      <x:c r="BC141" s="73" t="str">
        <x:f>IF(C141="xiaohongshu",IF(COUNT(AN141,AE141)&lt;2,"",IFERROR(AN141/AE141,"")),"")</x:f>
      </x:c>
      <x:c r="BD141" s="73" t="str">
        <x:f>IF(C141="xiaohongshu",IF(COUNT(AQ141,AE141)&lt;2,"",IFERROR(AQ141/AE141,"")),"")</x:f>
      </x:c>
      <x:c r="BE141" s="73" t="str">
        <x:f>IF(C141="xiaohongshu",IF(COUNT(AI141,AE141)&lt;2,"",IFERROR(AI141/AE141,"")),"")</x:f>
      </x:c>
      <x:c r="BF141" s="73" t="str">
        <x:f>IF(C141="xiaohongshu",IF(OR(COUNT(AE141)=0,COUNT(AR141,AS141)=0),"",IFERROR((AR141+AS141)/AE141,"")),"")</x:f>
      </x:c>
      <x:c r="BG141" s="73" t="str">
        <x:f>IF(C141="x",IF(COUNT(AD141)=0,"",IF(COUNT(AM141)=1,IFERROR(AM141/AD141,""),IF(COUNT(AH141,AI141,AK141,AL141)=0,"",IFERROR(SUM(AH141,AI141,AK141,AL141)/AD141,"")))),"")</x:f>
      </x:c>
      <x:c r="BH141" s="73" t="str">
        <x:f>IF(C141="x",IF(COUNT(AJ141,AD141)&lt;2,"",IFERROR(AJ141/AD141,"")),"")</x:f>
      </x:c>
      <x:c r="BI141" s="73" t="str">
        <x:f>IF(C141="x",IF(COUNT(AO141,AD141)&lt;2,"",IFERROR(AO141/AD141,"")),"")</x:f>
      </x:c>
      <x:c r="BJ141" s="73" t="str">
        <x:f>IF(C141="x",IF(COUNT(AP141,AD141)&lt;2,"",IFERROR(AP141/AD141,"")),"")</x:f>
      </x:c>
      <x:c r="BK141" s="73" t="str">
        <x:f>IF(C141="x",IF(COUNT(AL141,AD141)&lt;2,"",IFERROR(AL141/AD141,"")),"")</x:f>
      </x:c>
      <x:c r="BL141" s="73" t="str">
        <x:f>IF(C141="x",IF(OR(COUNT(AD141)=0,COUNT(AR141,AS141)=0),"",IFERROR((AR141+AS141)/AD141,"")),"")</x:f>
      </x:c>
      <x:c r="BM141" s="73" t="str">
        <x:f>IF(AB141="xhs_save_rate",BA141,IF(AB141="xhs_completion_rate",BB141,IF(AB141="xhs_profile_visit_rate",BC141,IF(AB141="xhs_dm_intent_rate",BD141,IF(AB141="xhs_discussion_rate",BE141,IF(AB141="xhs_product_relevance_rate",BF141,IF(AB141="x_first_screen_engaged_rate_proxy",BG141,IF(AB141="x_qualified_reply_rate",BH141,IF(AB141="x_profile_click_rate",BI141,IF(AB141="x_link_intent_rate",BJ141,IF(AB141="x_bookmark_rate",BK141,IF(AB141="x_product_relevance_rate",BL141,""))))))))))))</x:f>
      </x:c>
      <x:c r="BN141" s="73" t="str">
        <x:f>IFERROR(BM141/AT141-1,"")</x:f>
      </x:c>
      <x:c r="BO141" s="73" t="str">
        <x:f>IF(AC141="","",IF(AC141="xhs_save_rate",BA141,IF(AC141="xhs_completion_rate",BB141,IF(AC141="xhs_profile_visit_rate",BC141,IF(AC141="xhs_dm_intent_rate",BD141,IF(AC141="xhs_discussion_rate",BE141,IF(AC141="xhs_product_relevance_rate",BF141,IF(AC141="x_first_screen_engaged_rate_proxy",BG141,IF(AC141="x_qualified_reply_rate",BH141,IF(AC141="x_profile_click_rate",BI141,IF(AC141="x_link_intent_rate",BJ141,IF(AC141="x_bookmark_rate",BK141,IF(AC141="x_product_relevance_rate",BL141,"")))))))))))))</x:f>
      </x:c>
      <x:c r="BP141" s="73" t="str">
        <x:f>IFERROR(BO141/AU141-1,"")</x:f>
      </x:c>
      <x:c r="BQ141" s="74" t="str">
        <x:f>IF(COUNT(AD141)=0,"",AD141)</x:f>
      </x:c>
      <x:c r="BR141" s="73" t="str">
        <x:f>IF(C141="xiaohongshu",IF(COUNT(BA141,BB141)=2,AVERAGE(BA141,BB141),IF(COUNT(BA141)=1,BA141,BB141)),BK141)</x:f>
      </x:c>
      <x:c r="BS141" s="73" t="str">
        <x:f>IF(C141="xiaohongshu",BE141,BH141)</x:f>
      </x:c>
      <x:c r="BT141" s="73" t="str">
        <x:f>IF(C141="xiaohongshu",IF(I141="save",BA141,IF(I141="discussion",BE141,IF(I141="profile_visit",BC141,IF(I141="dm",BD141,IF(OR(I141="product_question",I141="trial_intent"),BF141,""))))),IF(I141="save",BK141,IF(I141="discussion",BH141,IF(OR(I141="profile_visit",I141="dm"),BI141,IF(I141="link_click",BJ141,IF(OR(I141="product_question",I141="trial_intent"),BL141,""))))))</x:f>
      </x:c>
      <x:c r="BU141" s="73" t="str">
        <x:f>IF(C141="xiaohongshu",BF141,BL141)</x:f>
      </x:c>
      <x:c r="BV141" s="65" t="str">
        <x:f>IF(COUNT(BQ141,AV141)&lt;2,"unknown",IF(BQ141/AV141-1&gt;=0.2,"high",IF(BQ141/AV141-1&lt;=-0.2,"low","normal")))</x:f>
        <x:v>unknown</x:v>
      </x:c>
      <x:c r="BW141" s="65" t="str">
        <x:f>IF(COUNT(BR141,AW141)&lt;2,"unknown",IF(BR141/AW141-1&gt;=0.2,"high",IF(BR141/AW141-1&lt;=-0.2,"low","normal")))</x:f>
        <x:v>unknown</x:v>
      </x:c>
      <x:c r="BX141" s="65" t="str">
        <x:f>IF(COUNT(BS141,AX141)&lt;2,"unknown",IF(BS141/AX141-1&gt;=0.2,"high",IF(BS141/AX141-1&lt;=-0.2,"low","normal")))</x:f>
        <x:v>unknown</x:v>
      </x:c>
      <x:c r="BY141" s="65" t="str">
        <x:f>IF(COUNT(BT141,AY141)&lt;2,"unknown",IF(BT141/AY141-1&gt;=0.2,"high",IF(BT141/AY141-1&lt;=-0.2,"low","normal")))</x:f>
        <x:v>unknown</x:v>
      </x:c>
      <x:c r="BZ141" s="65" t="str">
        <x:f>IF(COUNT(BU141,AZ141)&lt;2,"unknown",IF(BU141/AZ141-1&gt;=0.2,"high",IF(BU141/AZ141-1&lt;=-0.2,"low","normal")))</x:f>
        <x:v>unknown</x:v>
      </x:c>
      <x:c r="CA141" s="65" t="str">
        <x:f>IF(T141&lt;&gt;"complete","pending",IF(OR(L141&lt;&gt;"pure",U141="true",COUNT(BM141,AT141)&lt;2,AND(AC141&lt;&gt;"",COUNT(BO141,AU141)&lt;2)),"not_attributable","attributable"))</x:f>
        <x:v>pending</x:v>
      </x:c>
      <x:c r="CB141" s="65" t="str">
        <x:f>IF(T141&lt;&gt;"complete","not_evaluated",IF(COUNT(BM141,AT141)&lt;2,"insufficient_data",IF(AND(AC141&lt;&gt;"",COUNT(BP141)=1,BP141&lt;=-0.2),"guardrail_fail",IF(AND(CA141="not_attributable",OR(BV141="high",BN141&gt;=0.2)),"watchlist",IF(CA141&lt;&gt;"attributable","insufficient_data",IF(BN141&gt;=0.2,"win",IF(BN141&lt;=-0.2,"loss","inconclusive")))))))</x:f>
        <x:v>not_evaluated</x:v>
      </x:c>
      <x:c r="CC141" s="65" t="str">
        <x:f>IF(T141&lt;&gt;"complete","COLLECT_MORE_DATA",IF(COUNT(BM141,AT141)&lt;2,"FIX_TRACKING",IF(CB141="guardrail_fail","STOP_VARIANT_GUARDRAIL",IF(CB141="watchlist","WATCHLIST_ONLY",IF(AND(BV141="high",BY141="low"),"KEEP_HOOK_REWRITE_CTA",IF(AND(BW141="high",BX141="low"),"KEEP_STRUCTURE_CHANGE_DISCUSSION_ANGLE",IF(AND(BX141="high",BZ141="low"),"DOWNWEIGHT_TEMPLATE",IF(CB141="win","RETEST_WINNER",IF(CB141="loss","RETURN_TO_BASELINE","COLLECT_MORE_DATA")))))))))</x:f>
        <x:v>COLLECT_MORE_DATA</x:v>
      </x:c>
      <x:c r="CD141" s="75"/>
    </x:row>
    <x:row r="142">
      <x:c r="A142" s="68"/>
      <x:c r="B142" s="69"/>
      <x:c r="C142" s="68"/>
      <x:c r="D142" s="68"/>
      <x:c r="E142" s="68"/>
      <x:c r="F142" s="68"/>
      <x:c r="G142" s="68"/>
      <x:c r="H142" s="70"/>
      <x:c r="I142" s="68"/>
      <x:c r="J142" s="68"/>
      <x:c r="K142" s="68"/>
      <x:c r="L142" s="71" t="str">
        <x:f>IF(K142="","unknown",IF(K142=0,"baseline",IF(K142=1,"pure","mixed")))</x:f>
        <x:v>unknown</x:v>
      </x:c>
      <x:c r="M142" s="68"/>
      <x:c r="N142" s="68"/>
      <x:c r="O142" s="68"/>
      <x:c r="P142" s="68"/>
      <x:c r="Q142" s="68"/>
      <x:c r="R142" s="68"/>
      <x:c r="S142" s="68"/>
      <x:c r="T142" s="68"/>
      <x:c r="U142" s="68"/>
      <x:c r="V142" s="68"/>
      <x:c r="W142" s="68"/>
      <x:c r="X142" s="68"/>
      <x:c r="Y142" s="68"/>
      <x:c r="Z142" s="68"/>
      <x:c r="AA142" s="68"/>
      <x:c r="AB142" s="68"/>
      <x:c r="AC142" s="68"/>
      <x:c r="AD142" s="70"/>
      <x:c r="AE142" s="70"/>
      <x:c r="AF142" s="70"/>
      <x:c r="AG142" s="70"/>
      <x:c r="AH142" s="70"/>
      <x:c r="AI142" s="70"/>
      <x:c r="AJ142" s="70"/>
      <x:c r="AK142" s="70"/>
      <x:c r="AL142" s="70"/>
      <x:c r="AM142" s="70"/>
      <x:c r="AN142" s="70"/>
      <x:c r="AO142" s="70"/>
      <x:c r="AP142" s="70"/>
      <x:c r="AQ142" s="70"/>
      <x:c r="AR142" s="70"/>
      <x:c r="AS142" s="70"/>
      <x:c r="AT142" s="72"/>
      <x:c r="AU142" s="72"/>
      <x:c r="AV142" s="72"/>
      <x:c r="AW142" s="72"/>
      <x:c r="AX142" s="72"/>
      <x:c r="AY142" s="72"/>
      <x:c r="AZ142" s="72"/>
      <x:c r="BA142" s="73" t="str">
        <x:f>IF(C142="xiaohongshu",IF(COUNT(AF142,AE142)&lt;2,"",IFERROR(AF142/AE142,"")),"")</x:f>
      </x:c>
      <x:c r="BB142" s="73" t="str">
        <x:f>IF(C142="xiaohongshu",IF(COUNT(AG142,AE142)&lt;2,"",IFERROR(AG142/AE142,"")),"")</x:f>
      </x:c>
      <x:c r="BC142" s="73" t="str">
        <x:f>IF(C142="xiaohongshu",IF(COUNT(AN142,AE142)&lt;2,"",IFERROR(AN142/AE142,"")),"")</x:f>
      </x:c>
      <x:c r="BD142" s="73" t="str">
        <x:f>IF(C142="xiaohongshu",IF(COUNT(AQ142,AE142)&lt;2,"",IFERROR(AQ142/AE142,"")),"")</x:f>
      </x:c>
      <x:c r="BE142" s="73" t="str">
        <x:f>IF(C142="xiaohongshu",IF(COUNT(AI142,AE142)&lt;2,"",IFERROR(AI142/AE142,"")),"")</x:f>
      </x:c>
      <x:c r="BF142" s="73" t="str">
        <x:f>IF(C142="xiaohongshu",IF(OR(COUNT(AE142)=0,COUNT(AR142,AS142)=0),"",IFERROR((AR142+AS142)/AE142,"")),"")</x:f>
      </x:c>
      <x:c r="BG142" s="73" t="str">
        <x:f>IF(C142="x",IF(COUNT(AD142)=0,"",IF(COUNT(AM142)=1,IFERROR(AM142/AD142,""),IF(COUNT(AH142,AI142,AK142,AL142)=0,"",IFERROR(SUM(AH142,AI142,AK142,AL142)/AD142,"")))),"")</x:f>
      </x:c>
      <x:c r="BH142" s="73" t="str">
        <x:f>IF(C142="x",IF(COUNT(AJ142,AD142)&lt;2,"",IFERROR(AJ142/AD142,"")),"")</x:f>
      </x:c>
      <x:c r="BI142" s="73" t="str">
        <x:f>IF(C142="x",IF(COUNT(AO142,AD142)&lt;2,"",IFERROR(AO142/AD142,"")),"")</x:f>
      </x:c>
      <x:c r="BJ142" s="73" t="str">
        <x:f>IF(C142="x",IF(COUNT(AP142,AD142)&lt;2,"",IFERROR(AP142/AD142,"")),"")</x:f>
      </x:c>
      <x:c r="BK142" s="73" t="str">
        <x:f>IF(C142="x",IF(COUNT(AL142,AD142)&lt;2,"",IFERROR(AL142/AD142,"")),"")</x:f>
      </x:c>
      <x:c r="BL142" s="73" t="str">
        <x:f>IF(C142="x",IF(OR(COUNT(AD142)=0,COUNT(AR142,AS142)=0),"",IFERROR((AR142+AS142)/AD142,"")),"")</x:f>
      </x:c>
      <x:c r="BM142" s="73" t="str">
        <x:f>IF(AB142="xhs_save_rate",BA142,IF(AB142="xhs_completion_rate",BB142,IF(AB142="xhs_profile_visit_rate",BC142,IF(AB142="xhs_dm_intent_rate",BD142,IF(AB142="xhs_discussion_rate",BE142,IF(AB142="xhs_product_relevance_rate",BF142,IF(AB142="x_first_screen_engaged_rate_proxy",BG142,IF(AB142="x_qualified_reply_rate",BH142,IF(AB142="x_profile_click_rate",BI142,IF(AB142="x_link_intent_rate",BJ142,IF(AB142="x_bookmark_rate",BK142,IF(AB142="x_product_relevance_rate",BL142,""))))))))))))</x:f>
      </x:c>
      <x:c r="BN142" s="73" t="str">
        <x:f>IFERROR(BM142/AT142-1,"")</x:f>
      </x:c>
      <x:c r="BO142" s="73" t="str">
        <x:f>IF(AC142="","",IF(AC142="xhs_save_rate",BA142,IF(AC142="xhs_completion_rate",BB142,IF(AC142="xhs_profile_visit_rate",BC142,IF(AC142="xhs_dm_intent_rate",BD142,IF(AC142="xhs_discussion_rate",BE142,IF(AC142="xhs_product_relevance_rate",BF142,IF(AC142="x_first_screen_engaged_rate_proxy",BG142,IF(AC142="x_qualified_reply_rate",BH142,IF(AC142="x_profile_click_rate",BI142,IF(AC142="x_link_intent_rate",BJ142,IF(AC142="x_bookmark_rate",BK142,IF(AC142="x_product_relevance_rate",BL142,"")))))))))))))</x:f>
      </x:c>
      <x:c r="BP142" s="73" t="str">
        <x:f>IFERROR(BO142/AU142-1,"")</x:f>
      </x:c>
      <x:c r="BQ142" s="74" t="str">
        <x:f>IF(COUNT(AD142)=0,"",AD142)</x:f>
      </x:c>
      <x:c r="BR142" s="73" t="str">
        <x:f>IF(C142="xiaohongshu",IF(COUNT(BA142,BB142)=2,AVERAGE(BA142,BB142),IF(COUNT(BA142)=1,BA142,BB142)),BK142)</x:f>
      </x:c>
      <x:c r="BS142" s="73" t="str">
        <x:f>IF(C142="xiaohongshu",BE142,BH142)</x:f>
      </x:c>
      <x:c r="BT142" s="73" t="str">
        <x:f>IF(C142="xiaohongshu",IF(I142="save",BA142,IF(I142="discussion",BE142,IF(I142="profile_visit",BC142,IF(I142="dm",BD142,IF(OR(I142="product_question",I142="trial_intent"),BF142,""))))),IF(I142="save",BK142,IF(I142="discussion",BH142,IF(OR(I142="profile_visit",I142="dm"),BI142,IF(I142="link_click",BJ142,IF(OR(I142="product_question",I142="trial_intent"),BL142,""))))))</x:f>
      </x:c>
      <x:c r="BU142" s="73" t="str">
        <x:f>IF(C142="xiaohongshu",BF142,BL142)</x:f>
      </x:c>
      <x:c r="BV142" s="65" t="str">
        <x:f>IF(COUNT(BQ142,AV142)&lt;2,"unknown",IF(BQ142/AV142-1&gt;=0.2,"high",IF(BQ142/AV142-1&lt;=-0.2,"low","normal")))</x:f>
        <x:v>unknown</x:v>
      </x:c>
      <x:c r="BW142" s="65" t="str">
        <x:f>IF(COUNT(BR142,AW142)&lt;2,"unknown",IF(BR142/AW142-1&gt;=0.2,"high",IF(BR142/AW142-1&lt;=-0.2,"low","normal")))</x:f>
        <x:v>unknown</x:v>
      </x:c>
      <x:c r="BX142" s="65" t="str">
        <x:f>IF(COUNT(BS142,AX142)&lt;2,"unknown",IF(BS142/AX142-1&gt;=0.2,"high",IF(BS142/AX142-1&lt;=-0.2,"low","normal")))</x:f>
        <x:v>unknown</x:v>
      </x:c>
      <x:c r="BY142" s="65" t="str">
        <x:f>IF(COUNT(BT142,AY142)&lt;2,"unknown",IF(BT142/AY142-1&gt;=0.2,"high",IF(BT142/AY142-1&lt;=-0.2,"low","normal")))</x:f>
        <x:v>unknown</x:v>
      </x:c>
      <x:c r="BZ142" s="65" t="str">
        <x:f>IF(COUNT(BU142,AZ142)&lt;2,"unknown",IF(BU142/AZ142-1&gt;=0.2,"high",IF(BU142/AZ142-1&lt;=-0.2,"low","normal")))</x:f>
        <x:v>unknown</x:v>
      </x:c>
      <x:c r="CA142" s="65" t="str">
        <x:f>IF(T142&lt;&gt;"complete","pending",IF(OR(L142&lt;&gt;"pure",U142="true",COUNT(BM142,AT142)&lt;2,AND(AC142&lt;&gt;"",COUNT(BO142,AU142)&lt;2)),"not_attributable","attributable"))</x:f>
        <x:v>pending</x:v>
      </x:c>
      <x:c r="CB142" s="65" t="str">
        <x:f>IF(T142&lt;&gt;"complete","not_evaluated",IF(COUNT(BM142,AT142)&lt;2,"insufficient_data",IF(AND(AC142&lt;&gt;"",COUNT(BP142)=1,BP142&lt;=-0.2),"guardrail_fail",IF(AND(CA142="not_attributable",OR(BV142="high",BN142&gt;=0.2)),"watchlist",IF(CA142&lt;&gt;"attributable","insufficient_data",IF(BN142&gt;=0.2,"win",IF(BN142&lt;=-0.2,"loss","inconclusive")))))))</x:f>
        <x:v>not_evaluated</x:v>
      </x:c>
      <x:c r="CC142" s="65" t="str">
        <x:f>IF(T142&lt;&gt;"complete","COLLECT_MORE_DATA",IF(COUNT(BM142,AT142)&lt;2,"FIX_TRACKING",IF(CB142="guardrail_fail","STOP_VARIANT_GUARDRAIL",IF(CB142="watchlist","WATCHLIST_ONLY",IF(AND(BV142="high",BY142="low"),"KEEP_HOOK_REWRITE_CTA",IF(AND(BW142="high",BX142="low"),"KEEP_STRUCTURE_CHANGE_DISCUSSION_ANGLE",IF(AND(BX142="high",BZ142="low"),"DOWNWEIGHT_TEMPLATE",IF(CB142="win","RETEST_WINNER",IF(CB142="loss","RETURN_TO_BASELINE","COLLECT_MORE_DATA")))))))))</x:f>
        <x:v>COLLECT_MORE_DATA</x:v>
      </x:c>
      <x:c r="CD142" s="75"/>
    </x:row>
    <x:row r="143">
      <x:c r="A143" s="68"/>
      <x:c r="B143" s="69"/>
      <x:c r="C143" s="68"/>
      <x:c r="D143" s="68"/>
      <x:c r="E143" s="68"/>
      <x:c r="F143" s="68"/>
      <x:c r="G143" s="68"/>
      <x:c r="H143" s="70"/>
      <x:c r="I143" s="68"/>
      <x:c r="J143" s="68"/>
      <x:c r="K143" s="68"/>
      <x:c r="L143" s="71" t="str">
        <x:f>IF(K143="","unknown",IF(K143=0,"baseline",IF(K143=1,"pure","mixed")))</x:f>
        <x:v>unknown</x:v>
      </x:c>
      <x:c r="M143" s="68"/>
      <x:c r="N143" s="68"/>
      <x:c r="O143" s="68"/>
      <x:c r="P143" s="68"/>
      <x:c r="Q143" s="68"/>
      <x:c r="R143" s="68"/>
      <x:c r="S143" s="68"/>
      <x:c r="T143" s="68"/>
      <x:c r="U143" s="68"/>
      <x:c r="V143" s="68"/>
      <x:c r="W143" s="68"/>
      <x:c r="X143" s="68"/>
      <x:c r="Y143" s="68"/>
      <x:c r="Z143" s="68"/>
      <x:c r="AA143" s="68"/>
      <x:c r="AB143" s="68"/>
      <x:c r="AC143" s="68"/>
      <x:c r="AD143" s="70"/>
      <x:c r="AE143" s="70"/>
      <x:c r="AF143" s="70"/>
      <x:c r="AG143" s="70"/>
      <x:c r="AH143" s="70"/>
      <x:c r="AI143" s="70"/>
      <x:c r="AJ143" s="70"/>
      <x:c r="AK143" s="70"/>
      <x:c r="AL143" s="70"/>
      <x:c r="AM143" s="70"/>
      <x:c r="AN143" s="70"/>
      <x:c r="AO143" s="70"/>
      <x:c r="AP143" s="70"/>
      <x:c r="AQ143" s="70"/>
      <x:c r="AR143" s="70"/>
      <x:c r="AS143" s="70"/>
      <x:c r="AT143" s="72"/>
      <x:c r="AU143" s="72"/>
      <x:c r="AV143" s="72"/>
      <x:c r="AW143" s="72"/>
      <x:c r="AX143" s="72"/>
      <x:c r="AY143" s="72"/>
      <x:c r="AZ143" s="72"/>
      <x:c r="BA143" s="73" t="str">
        <x:f>IF(C143="xiaohongshu",IF(COUNT(AF143,AE143)&lt;2,"",IFERROR(AF143/AE143,"")),"")</x:f>
      </x:c>
      <x:c r="BB143" s="73" t="str">
        <x:f>IF(C143="xiaohongshu",IF(COUNT(AG143,AE143)&lt;2,"",IFERROR(AG143/AE143,"")),"")</x:f>
      </x:c>
      <x:c r="BC143" s="73" t="str">
        <x:f>IF(C143="xiaohongshu",IF(COUNT(AN143,AE143)&lt;2,"",IFERROR(AN143/AE143,"")),"")</x:f>
      </x:c>
      <x:c r="BD143" s="73" t="str">
        <x:f>IF(C143="xiaohongshu",IF(COUNT(AQ143,AE143)&lt;2,"",IFERROR(AQ143/AE143,"")),"")</x:f>
      </x:c>
      <x:c r="BE143" s="73" t="str">
        <x:f>IF(C143="xiaohongshu",IF(COUNT(AI143,AE143)&lt;2,"",IFERROR(AI143/AE143,"")),"")</x:f>
      </x:c>
      <x:c r="BF143" s="73" t="str">
        <x:f>IF(C143="xiaohongshu",IF(OR(COUNT(AE143)=0,COUNT(AR143,AS143)=0),"",IFERROR((AR143+AS143)/AE143,"")),"")</x:f>
      </x:c>
      <x:c r="BG143" s="73" t="str">
        <x:f>IF(C143="x",IF(COUNT(AD143)=0,"",IF(COUNT(AM143)=1,IFERROR(AM143/AD143,""),IF(COUNT(AH143,AI143,AK143,AL143)=0,"",IFERROR(SUM(AH143,AI143,AK143,AL143)/AD143,"")))),"")</x:f>
      </x:c>
      <x:c r="BH143" s="73" t="str">
        <x:f>IF(C143="x",IF(COUNT(AJ143,AD143)&lt;2,"",IFERROR(AJ143/AD143,"")),"")</x:f>
      </x:c>
      <x:c r="BI143" s="73" t="str">
        <x:f>IF(C143="x",IF(COUNT(AO143,AD143)&lt;2,"",IFERROR(AO143/AD143,"")),"")</x:f>
      </x:c>
      <x:c r="BJ143" s="73" t="str">
        <x:f>IF(C143="x",IF(COUNT(AP143,AD143)&lt;2,"",IFERROR(AP143/AD143,"")),"")</x:f>
      </x:c>
      <x:c r="BK143" s="73" t="str">
        <x:f>IF(C143="x",IF(COUNT(AL143,AD143)&lt;2,"",IFERROR(AL143/AD143,"")),"")</x:f>
      </x:c>
      <x:c r="BL143" s="73" t="str">
        <x:f>IF(C143="x",IF(OR(COUNT(AD143)=0,COUNT(AR143,AS143)=0),"",IFERROR((AR143+AS143)/AD143,"")),"")</x:f>
      </x:c>
      <x:c r="BM143" s="73" t="str">
        <x:f>IF(AB143="xhs_save_rate",BA143,IF(AB143="xhs_completion_rate",BB143,IF(AB143="xhs_profile_visit_rate",BC143,IF(AB143="xhs_dm_intent_rate",BD143,IF(AB143="xhs_discussion_rate",BE143,IF(AB143="xhs_product_relevance_rate",BF143,IF(AB143="x_first_screen_engaged_rate_proxy",BG143,IF(AB143="x_qualified_reply_rate",BH143,IF(AB143="x_profile_click_rate",BI143,IF(AB143="x_link_intent_rate",BJ143,IF(AB143="x_bookmark_rate",BK143,IF(AB143="x_product_relevance_rate",BL143,""))))))))))))</x:f>
      </x:c>
      <x:c r="BN143" s="73" t="str">
        <x:f>IFERROR(BM143/AT143-1,"")</x:f>
      </x:c>
      <x:c r="BO143" s="73" t="str">
        <x:f>IF(AC143="","",IF(AC143="xhs_save_rate",BA143,IF(AC143="xhs_completion_rate",BB143,IF(AC143="xhs_profile_visit_rate",BC143,IF(AC143="xhs_dm_intent_rate",BD143,IF(AC143="xhs_discussion_rate",BE143,IF(AC143="xhs_product_relevance_rate",BF143,IF(AC143="x_first_screen_engaged_rate_proxy",BG143,IF(AC143="x_qualified_reply_rate",BH143,IF(AC143="x_profile_click_rate",BI143,IF(AC143="x_link_intent_rate",BJ143,IF(AC143="x_bookmark_rate",BK143,IF(AC143="x_product_relevance_rate",BL143,"")))))))))))))</x:f>
      </x:c>
      <x:c r="BP143" s="73" t="str">
        <x:f>IFERROR(BO143/AU143-1,"")</x:f>
      </x:c>
      <x:c r="BQ143" s="74" t="str">
        <x:f>IF(COUNT(AD143)=0,"",AD143)</x:f>
      </x:c>
      <x:c r="BR143" s="73" t="str">
        <x:f>IF(C143="xiaohongshu",IF(COUNT(BA143,BB143)=2,AVERAGE(BA143,BB143),IF(COUNT(BA143)=1,BA143,BB143)),BK143)</x:f>
      </x:c>
      <x:c r="BS143" s="73" t="str">
        <x:f>IF(C143="xiaohongshu",BE143,BH143)</x:f>
      </x:c>
      <x:c r="BT143" s="73" t="str">
        <x:f>IF(C143="xiaohongshu",IF(I143="save",BA143,IF(I143="discussion",BE143,IF(I143="profile_visit",BC143,IF(I143="dm",BD143,IF(OR(I143="product_question",I143="trial_intent"),BF143,""))))),IF(I143="save",BK143,IF(I143="discussion",BH143,IF(OR(I143="profile_visit",I143="dm"),BI143,IF(I143="link_click",BJ143,IF(OR(I143="product_question",I143="trial_intent"),BL143,""))))))</x:f>
      </x:c>
      <x:c r="BU143" s="73" t="str">
        <x:f>IF(C143="xiaohongshu",BF143,BL143)</x:f>
      </x:c>
      <x:c r="BV143" s="65" t="str">
        <x:f>IF(COUNT(BQ143,AV143)&lt;2,"unknown",IF(BQ143/AV143-1&gt;=0.2,"high",IF(BQ143/AV143-1&lt;=-0.2,"low","normal")))</x:f>
        <x:v>unknown</x:v>
      </x:c>
      <x:c r="BW143" s="65" t="str">
        <x:f>IF(COUNT(BR143,AW143)&lt;2,"unknown",IF(BR143/AW143-1&gt;=0.2,"high",IF(BR143/AW143-1&lt;=-0.2,"low","normal")))</x:f>
        <x:v>unknown</x:v>
      </x:c>
      <x:c r="BX143" s="65" t="str">
        <x:f>IF(COUNT(BS143,AX143)&lt;2,"unknown",IF(BS143/AX143-1&gt;=0.2,"high",IF(BS143/AX143-1&lt;=-0.2,"low","normal")))</x:f>
        <x:v>unknown</x:v>
      </x:c>
      <x:c r="BY143" s="65" t="str">
        <x:f>IF(COUNT(BT143,AY143)&lt;2,"unknown",IF(BT143/AY143-1&gt;=0.2,"high",IF(BT143/AY143-1&lt;=-0.2,"low","normal")))</x:f>
        <x:v>unknown</x:v>
      </x:c>
      <x:c r="BZ143" s="65" t="str">
        <x:f>IF(COUNT(BU143,AZ143)&lt;2,"unknown",IF(BU143/AZ143-1&gt;=0.2,"high",IF(BU143/AZ143-1&lt;=-0.2,"low","normal")))</x:f>
        <x:v>unknown</x:v>
      </x:c>
      <x:c r="CA143" s="65" t="str">
        <x:f>IF(T143&lt;&gt;"complete","pending",IF(OR(L143&lt;&gt;"pure",U143="true",COUNT(BM143,AT143)&lt;2,AND(AC143&lt;&gt;"",COUNT(BO143,AU143)&lt;2)),"not_attributable","attributable"))</x:f>
        <x:v>pending</x:v>
      </x:c>
      <x:c r="CB143" s="65" t="str">
        <x:f>IF(T143&lt;&gt;"complete","not_evaluated",IF(COUNT(BM143,AT143)&lt;2,"insufficient_data",IF(AND(AC143&lt;&gt;"",COUNT(BP143)=1,BP143&lt;=-0.2),"guardrail_fail",IF(AND(CA143="not_attributable",OR(BV143="high",BN143&gt;=0.2)),"watchlist",IF(CA143&lt;&gt;"attributable","insufficient_data",IF(BN143&gt;=0.2,"win",IF(BN143&lt;=-0.2,"loss","inconclusive")))))))</x:f>
        <x:v>not_evaluated</x:v>
      </x:c>
      <x:c r="CC143" s="65" t="str">
        <x:f>IF(T143&lt;&gt;"complete","COLLECT_MORE_DATA",IF(COUNT(BM143,AT143)&lt;2,"FIX_TRACKING",IF(CB143="guardrail_fail","STOP_VARIANT_GUARDRAIL",IF(CB143="watchlist","WATCHLIST_ONLY",IF(AND(BV143="high",BY143="low"),"KEEP_HOOK_REWRITE_CTA",IF(AND(BW143="high",BX143="low"),"KEEP_STRUCTURE_CHANGE_DISCUSSION_ANGLE",IF(AND(BX143="high",BZ143="low"),"DOWNWEIGHT_TEMPLATE",IF(CB143="win","RETEST_WINNER",IF(CB143="loss","RETURN_TO_BASELINE","COLLECT_MORE_DATA")))))))))</x:f>
        <x:v>COLLECT_MORE_DATA</x:v>
      </x:c>
      <x:c r="CD143" s="75"/>
    </x:row>
    <x:row r="144">
      <x:c r="A144" s="68"/>
      <x:c r="B144" s="69"/>
      <x:c r="C144" s="68"/>
      <x:c r="D144" s="68"/>
      <x:c r="E144" s="68"/>
      <x:c r="F144" s="68"/>
      <x:c r="G144" s="68"/>
      <x:c r="H144" s="70"/>
      <x:c r="I144" s="68"/>
      <x:c r="J144" s="68"/>
      <x:c r="K144" s="68"/>
      <x:c r="L144" s="71" t="str">
        <x:f>IF(K144="","unknown",IF(K144=0,"baseline",IF(K144=1,"pure","mixed")))</x:f>
        <x:v>unknown</x:v>
      </x:c>
      <x:c r="M144" s="68"/>
      <x:c r="N144" s="68"/>
      <x:c r="O144" s="68"/>
      <x:c r="P144" s="68"/>
      <x:c r="Q144" s="68"/>
      <x:c r="R144" s="68"/>
      <x:c r="S144" s="68"/>
      <x:c r="T144" s="68"/>
      <x:c r="U144" s="68"/>
      <x:c r="V144" s="68"/>
      <x:c r="W144" s="68"/>
      <x:c r="X144" s="68"/>
      <x:c r="Y144" s="68"/>
      <x:c r="Z144" s="68"/>
      <x:c r="AA144" s="68"/>
      <x:c r="AB144" s="68"/>
      <x:c r="AC144" s="68"/>
      <x:c r="AD144" s="70"/>
      <x:c r="AE144" s="70"/>
      <x:c r="AF144" s="70"/>
      <x:c r="AG144" s="70"/>
      <x:c r="AH144" s="70"/>
      <x:c r="AI144" s="70"/>
      <x:c r="AJ144" s="70"/>
      <x:c r="AK144" s="70"/>
      <x:c r="AL144" s="70"/>
      <x:c r="AM144" s="70"/>
      <x:c r="AN144" s="70"/>
      <x:c r="AO144" s="70"/>
      <x:c r="AP144" s="70"/>
      <x:c r="AQ144" s="70"/>
      <x:c r="AR144" s="70"/>
      <x:c r="AS144" s="70"/>
      <x:c r="AT144" s="72"/>
      <x:c r="AU144" s="72"/>
      <x:c r="AV144" s="72"/>
      <x:c r="AW144" s="72"/>
      <x:c r="AX144" s="72"/>
      <x:c r="AY144" s="72"/>
      <x:c r="AZ144" s="72"/>
      <x:c r="BA144" s="73" t="str">
        <x:f>IF(C144="xiaohongshu",IF(COUNT(AF144,AE144)&lt;2,"",IFERROR(AF144/AE144,"")),"")</x:f>
      </x:c>
      <x:c r="BB144" s="73" t="str">
        <x:f>IF(C144="xiaohongshu",IF(COUNT(AG144,AE144)&lt;2,"",IFERROR(AG144/AE144,"")),"")</x:f>
      </x:c>
      <x:c r="BC144" s="73" t="str">
        <x:f>IF(C144="xiaohongshu",IF(COUNT(AN144,AE144)&lt;2,"",IFERROR(AN144/AE144,"")),"")</x:f>
      </x:c>
      <x:c r="BD144" s="73" t="str">
        <x:f>IF(C144="xiaohongshu",IF(COUNT(AQ144,AE144)&lt;2,"",IFERROR(AQ144/AE144,"")),"")</x:f>
      </x:c>
      <x:c r="BE144" s="73" t="str">
        <x:f>IF(C144="xiaohongshu",IF(COUNT(AI144,AE144)&lt;2,"",IFERROR(AI144/AE144,"")),"")</x:f>
      </x:c>
      <x:c r="BF144" s="73" t="str">
        <x:f>IF(C144="xiaohongshu",IF(OR(COUNT(AE144)=0,COUNT(AR144,AS144)=0),"",IFERROR((AR144+AS144)/AE144,"")),"")</x:f>
      </x:c>
      <x:c r="BG144" s="73" t="str">
        <x:f>IF(C144="x",IF(COUNT(AD144)=0,"",IF(COUNT(AM144)=1,IFERROR(AM144/AD144,""),IF(COUNT(AH144,AI144,AK144,AL144)=0,"",IFERROR(SUM(AH144,AI144,AK144,AL144)/AD144,"")))),"")</x:f>
      </x:c>
      <x:c r="BH144" s="73" t="str">
        <x:f>IF(C144="x",IF(COUNT(AJ144,AD144)&lt;2,"",IFERROR(AJ144/AD144,"")),"")</x:f>
      </x:c>
      <x:c r="BI144" s="73" t="str">
        <x:f>IF(C144="x",IF(COUNT(AO144,AD144)&lt;2,"",IFERROR(AO144/AD144,"")),"")</x:f>
      </x:c>
      <x:c r="BJ144" s="73" t="str">
        <x:f>IF(C144="x",IF(COUNT(AP144,AD144)&lt;2,"",IFERROR(AP144/AD144,"")),"")</x:f>
      </x:c>
      <x:c r="BK144" s="73" t="str">
        <x:f>IF(C144="x",IF(COUNT(AL144,AD144)&lt;2,"",IFERROR(AL144/AD144,"")),"")</x:f>
      </x:c>
      <x:c r="BL144" s="73" t="str">
        <x:f>IF(C144="x",IF(OR(COUNT(AD144)=0,COUNT(AR144,AS144)=0),"",IFERROR((AR144+AS144)/AD144,"")),"")</x:f>
      </x:c>
      <x:c r="BM144" s="73" t="str">
        <x:f>IF(AB144="xhs_save_rate",BA144,IF(AB144="xhs_completion_rate",BB144,IF(AB144="xhs_profile_visit_rate",BC144,IF(AB144="xhs_dm_intent_rate",BD144,IF(AB144="xhs_discussion_rate",BE144,IF(AB144="xhs_product_relevance_rate",BF144,IF(AB144="x_first_screen_engaged_rate_proxy",BG144,IF(AB144="x_qualified_reply_rate",BH144,IF(AB144="x_profile_click_rate",BI144,IF(AB144="x_link_intent_rate",BJ144,IF(AB144="x_bookmark_rate",BK144,IF(AB144="x_product_relevance_rate",BL144,""))))))))))))</x:f>
      </x:c>
      <x:c r="BN144" s="73" t="str">
        <x:f>IFERROR(BM144/AT144-1,"")</x:f>
      </x:c>
      <x:c r="BO144" s="73" t="str">
        <x:f>IF(AC144="","",IF(AC144="xhs_save_rate",BA144,IF(AC144="xhs_completion_rate",BB144,IF(AC144="xhs_profile_visit_rate",BC144,IF(AC144="xhs_dm_intent_rate",BD144,IF(AC144="xhs_discussion_rate",BE144,IF(AC144="xhs_product_relevance_rate",BF144,IF(AC144="x_first_screen_engaged_rate_proxy",BG144,IF(AC144="x_qualified_reply_rate",BH144,IF(AC144="x_profile_click_rate",BI144,IF(AC144="x_link_intent_rate",BJ144,IF(AC144="x_bookmark_rate",BK144,IF(AC144="x_product_relevance_rate",BL144,"")))))))))))))</x:f>
      </x:c>
      <x:c r="BP144" s="73" t="str">
        <x:f>IFERROR(BO144/AU144-1,"")</x:f>
      </x:c>
      <x:c r="BQ144" s="74" t="str">
        <x:f>IF(COUNT(AD144)=0,"",AD144)</x:f>
      </x:c>
      <x:c r="BR144" s="73" t="str">
        <x:f>IF(C144="xiaohongshu",IF(COUNT(BA144,BB144)=2,AVERAGE(BA144,BB144),IF(COUNT(BA144)=1,BA144,BB144)),BK144)</x:f>
      </x:c>
      <x:c r="BS144" s="73" t="str">
        <x:f>IF(C144="xiaohongshu",BE144,BH144)</x:f>
      </x:c>
      <x:c r="BT144" s="73" t="str">
        <x:f>IF(C144="xiaohongshu",IF(I144="save",BA144,IF(I144="discussion",BE144,IF(I144="profile_visit",BC144,IF(I144="dm",BD144,IF(OR(I144="product_question",I144="trial_intent"),BF144,""))))),IF(I144="save",BK144,IF(I144="discussion",BH144,IF(OR(I144="profile_visit",I144="dm"),BI144,IF(I144="link_click",BJ144,IF(OR(I144="product_question",I144="trial_intent"),BL144,""))))))</x:f>
      </x:c>
      <x:c r="BU144" s="73" t="str">
        <x:f>IF(C144="xiaohongshu",BF144,BL144)</x:f>
      </x:c>
      <x:c r="BV144" s="65" t="str">
        <x:f>IF(COUNT(BQ144,AV144)&lt;2,"unknown",IF(BQ144/AV144-1&gt;=0.2,"high",IF(BQ144/AV144-1&lt;=-0.2,"low","normal")))</x:f>
        <x:v>unknown</x:v>
      </x:c>
      <x:c r="BW144" s="65" t="str">
        <x:f>IF(COUNT(BR144,AW144)&lt;2,"unknown",IF(BR144/AW144-1&gt;=0.2,"high",IF(BR144/AW144-1&lt;=-0.2,"low","normal")))</x:f>
        <x:v>unknown</x:v>
      </x:c>
      <x:c r="BX144" s="65" t="str">
        <x:f>IF(COUNT(BS144,AX144)&lt;2,"unknown",IF(BS144/AX144-1&gt;=0.2,"high",IF(BS144/AX144-1&lt;=-0.2,"low","normal")))</x:f>
        <x:v>unknown</x:v>
      </x:c>
      <x:c r="BY144" s="65" t="str">
        <x:f>IF(COUNT(BT144,AY144)&lt;2,"unknown",IF(BT144/AY144-1&gt;=0.2,"high",IF(BT144/AY144-1&lt;=-0.2,"low","normal")))</x:f>
        <x:v>unknown</x:v>
      </x:c>
      <x:c r="BZ144" s="65" t="str">
        <x:f>IF(COUNT(BU144,AZ144)&lt;2,"unknown",IF(BU144/AZ144-1&gt;=0.2,"high",IF(BU144/AZ144-1&lt;=-0.2,"low","normal")))</x:f>
        <x:v>unknown</x:v>
      </x:c>
      <x:c r="CA144" s="65" t="str">
        <x:f>IF(T144&lt;&gt;"complete","pending",IF(OR(L144&lt;&gt;"pure",U144="true",COUNT(BM144,AT144)&lt;2,AND(AC144&lt;&gt;"",COUNT(BO144,AU144)&lt;2)),"not_attributable","attributable"))</x:f>
        <x:v>pending</x:v>
      </x:c>
      <x:c r="CB144" s="65" t="str">
        <x:f>IF(T144&lt;&gt;"complete","not_evaluated",IF(COUNT(BM144,AT144)&lt;2,"insufficient_data",IF(AND(AC144&lt;&gt;"",COUNT(BP144)=1,BP144&lt;=-0.2),"guardrail_fail",IF(AND(CA144="not_attributable",OR(BV144="high",BN144&gt;=0.2)),"watchlist",IF(CA144&lt;&gt;"attributable","insufficient_data",IF(BN144&gt;=0.2,"win",IF(BN144&lt;=-0.2,"loss","inconclusive")))))))</x:f>
        <x:v>not_evaluated</x:v>
      </x:c>
      <x:c r="CC144" s="65" t="str">
        <x:f>IF(T144&lt;&gt;"complete","COLLECT_MORE_DATA",IF(COUNT(BM144,AT144)&lt;2,"FIX_TRACKING",IF(CB144="guardrail_fail","STOP_VARIANT_GUARDRAIL",IF(CB144="watchlist","WATCHLIST_ONLY",IF(AND(BV144="high",BY144="low"),"KEEP_HOOK_REWRITE_CTA",IF(AND(BW144="high",BX144="low"),"KEEP_STRUCTURE_CHANGE_DISCUSSION_ANGLE",IF(AND(BX144="high",BZ144="low"),"DOWNWEIGHT_TEMPLATE",IF(CB144="win","RETEST_WINNER",IF(CB144="loss","RETURN_TO_BASELINE","COLLECT_MORE_DATA")))))))))</x:f>
        <x:v>COLLECT_MORE_DATA</x:v>
      </x:c>
      <x:c r="CD144" s="75"/>
    </x:row>
    <x:row r="145">
      <x:c r="A145" s="68"/>
      <x:c r="B145" s="69"/>
      <x:c r="C145" s="68"/>
      <x:c r="D145" s="68"/>
      <x:c r="E145" s="68"/>
      <x:c r="F145" s="68"/>
      <x:c r="G145" s="68"/>
      <x:c r="H145" s="70"/>
      <x:c r="I145" s="68"/>
      <x:c r="J145" s="68"/>
      <x:c r="K145" s="68"/>
      <x:c r="L145" s="71" t="str">
        <x:f>IF(K145="","unknown",IF(K145=0,"baseline",IF(K145=1,"pure","mixed")))</x:f>
        <x:v>unknown</x:v>
      </x:c>
      <x:c r="M145" s="68"/>
      <x:c r="N145" s="68"/>
      <x:c r="O145" s="68"/>
      <x:c r="P145" s="68"/>
      <x:c r="Q145" s="68"/>
      <x:c r="R145" s="68"/>
      <x:c r="S145" s="68"/>
      <x:c r="T145" s="68"/>
      <x:c r="U145" s="68"/>
      <x:c r="V145" s="68"/>
      <x:c r="W145" s="68"/>
      <x:c r="X145" s="68"/>
      <x:c r="Y145" s="68"/>
      <x:c r="Z145" s="68"/>
      <x:c r="AA145" s="68"/>
      <x:c r="AB145" s="68"/>
      <x:c r="AC145" s="68"/>
      <x:c r="AD145" s="70"/>
      <x:c r="AE145" s="70"/>
      <x:c r="AF145" s="70"/>
      <x:c r="AG145" s="70"/>
      <x:c r="AH145" s="70"/>
      <x:c r="AI145" s="70"/>
      <x:c r="AJ145" s="70"/>
      <x:c r="AK145" s="70"/>
      <x:c r="AL145" s="70"/>
      <x:c r="AM145" s="70"/>
      <x:c r="AN145" s="70"/>
      <x:c r="AO145" s="70"/>
      <x:c r="AP145" s="70"/>
      <x:c r="AQ145" s="70"/>
      <x:c r="AR145" s="70"/>
      <x:c r="AS145" s="70"/>
      <x:c r="AT145" s="72"/>
      <x:c r="AU145" s="72"/>
      <x:c r="AV145" s="72"/>
      <x:c r="AW145" s="72"/>
      <x:c r="AX145" s="72"/>
      <x:c r="AY145" s="72"/>
      <x:c r="AZ145" s="72"/>
      <x:c r="BA145" s="73" t="str">
        <x:f>IF(C145="xiaohongshu",IF(COUNT(AF145,AE145)&lt;2,"",IFERROR(AF145/AE145,"")),"")</x:f>
      </x:c>
      <x:c r="BB145" s="73" t="str">
        <x:f>IF(C145="xiaohongshu",IF(COUNT(AG145,AE145)&lt;2,"",IFERROR(AG145/AE145,"")),"")</x:f>
      </x:c>
      <x:c r="BC145" s="73" t="str">
        <x:f>IF(C145="xiaohongshu",IF(COUNT(AN145,AE145)&lt;2,"",IFERROR(AN145/AE145,"")),"")</x:f>
      </x:c>
      <x:c r="BD145" s="73" t="str">
        <x:f>IF(C145="xiaohongshu",IF(COUNT(AQ145,AE145)&lt;2,"",IFERROR(AQ145/AE145,"")),"")</x:f>
      </x:c>
      <x:c r="BE145" s="73" t="str">
        <x:f>IF(C145="xiaohongshu",IF(COUNT(AI145,AE145)&lt;2,"",IFERROR(AI145/AE145,"")),"")</x:f>
      </x:c>
      <x:c r="BF145" s="73" t="str">
        <x:f>IF(C145="xiaohongshu",IF(OR(COUNT(AE145)=0,COUNT(AR145,AS145)=0),"",IFERROR((AR145+AS145)/AE145,"")),"")</x:f>
      </x:c>
      <x:c r="BG145" s="73" t="str">
        <x:f>IF(C145="x",IF(COUNT(AD145)=0,"",IF(COUNT(AM145)=1,IFERROR(AM145/AD145,""),IF(COUNT(AH145,AI145,AK145,AL145)=0,"",IFERROR(SUM(AH145,AI145,AK145,AL145)/AD145,"")))),"")</x:f>
      </x:c>
      <x:c r="BH145" s="73" t="str">
        <x:f>IF(C145="x",IF(COUNT(AJ145,AD145)&lt;2,"",IFERROR(AJ145/AD145,"")),"")</x:f>
      </x:c>
      <x:c r="BI145" s="73" t="str">
        <x:f>IF(C145="x",IF(COUNT(AO145,AD145)&lt;2,"",IFERROR(AO145/AD145,"")),"")</x:f>
      </x:c>
      <x:c r="BJ145" s="73" t="str">
        <x:f>IF(C145="x",IF(COUNT(AP145,AD145)&lt;2,"",IFERROR(AP145/AD145,"")),"")</x:f>
      </x:c>
      <x:c r="BK145" s="73" t="str">
        <x:f>IF(C145="x",IF(COUNT(AL145,AD145)&lt;2,"",IFERROR(AL145/AD145,"")),"")</x:f>
      </x:c>
      <x:c r="BL145" s="73" t="str">
        <x:f>IF(C145="x",IF(OR(COUNT(AD145)=0,COUNT(AR145,AS145)=0),"",IFERROR((AR145+AS145)/AD145,"")),"")</x:f>
      </x:c>
      <x:c r="BM145" s="73" t="str">
        <x:f>IF(AB145="xhs_save_rate",BA145,IF(AB145="xhs_completion_rate",BB145,IF(AB145="xhs_profile_visit_rate",BC145,IF(AB145="xhs_dm_intent_rate",BD145,IF(AB145="xhs_discussion_rate",BE145,IF(AB145="xhs_product_relevance_rate",BF145,IF(AB145="x_first_screen_engaged_rate_proxy",BG145,IF(AB145="x_qualified_reply_rate",BH145,IF(AB145="x_profile_click_rate",BI145,IF(AB145="x_link_intent_rate",BJ145,IF(AB145="x_bookmark_rate",BK145,IF(AB145="x_product_relevance_rate",BL145,""))))))))))))</x:f>
      </x:c>
      <x:c r="BN145" s="73" t="str">
        <x:f>IFERROR(BM145/AT145-1,"")</x:f>
      </x:c>
      <x:c r="BO145" s="73" t="str">
        <x:f>IF(AC145="","",IF(AC145="xhs_save_rate",BA145,IF(AC145="xhs_completion_rate",BB145,IF(AC145="xhs_profile_visit_rate",BC145,IF(AC145="xhs_dm_intent_rate",BD145,IF(AC145="xhs_discussion_rate",BE145,IF(AC145="xhs_product_relevance_rate",BF145,IF(AC145="x_first_screen_engaged_rate_proxy",BG145,IF(AC145="x_qualified_reply_rate",BH145,IF(AC145="x_profile_click_rate",BI145,IF(AC145="x_link_intent_rate",BJ145,IF(AC145="x_bookmark_rate",BK145,IF(AC145="x_product_relevance_rate",BL145,"")))))))))))))</x:f>
      </x:c>
      <x:c r="BP145" s="73" t="str">
        <x:f>IFERROR(BO145/AU145-1,"")</x:f>
      </x:c>
      <x:c r="BQ145" s="74" t="str">
        <x:f>IF(COUNT(AD145)=0,"",AD145)</x:f>
      </x:c>
      <x:c r="BR145" s="73" t="str">
        <x:f>IF(C145="xiaohongshu",IF(COUNT(BA145,BB145)=2,AVERAGE(BA145,BB145),IF(COUNT(BA145)=1,BA145,BB145)),BK145)</x:f>
      </x:c>
      <x:c r="BS145" s="73" t="str">
        <x:f>IF(C145="xiaohongshu",BE145,BH145)</x:f>
      </x:c>
      <x:c r="BT145" s="73" t="str">
        <x:f>IF(C145="xiaohongshu",IF(I145="save",BA145,IF(I145="discussion",BE145,IF(I145="profile_visit",BC145,IF(I145="dm",BD145,IF(OR(I145="product_question",I145="trial_intent"),BF145,""))))),IF(I145="save",BK145,IF(I145="discussion",BH145,IF(OR(I145="profile_visit",I145="dm"),BI145,IF(I145="link_click",BJ145,IF(OR(I145="product_question",I145="trial_intent"),BL145,""))))))</x:f>
      </x:c>
      <x:c r="BU145" s="73" t="str">
        <x:f>IF(C145="xiaohongshu",BF145,BL145)</x:f>
      </x:c>
      <x:c r="BV145" s="65" t="str">
        <x:f>IF(COUNT(BQ145,AV145)&lt;2,"unknown",IF(BQ145/AV145-1&gt;=0.2,"high",IF(BQ145/AV145-1&lt;=-0.2,"low","normal")))</x:f>
        <x:v>unknown</x:v>
      </x:c>
      <x:c r="BW145" s="65" t="str">
        <x:f>IF(COUNT(BR145,AW145)&lt;2,"unknown",IF(BR145/AW145-1&gt;=0.2,"high",IF(BR145/AW145-1&lt;=-0.2,"low","normal")))</x:f>
        <x:v>unknown</x:v>
      </x:c>
      <x:c r="BX145" s="65" t="str">
        <x:f>IF(COUNT(BS145,AX145)&lt;2,"unknown",IF(BS145/AX145-1&gt;=0.2,"high",IF(BS145/AX145-1&lt;=-0.2,"low","normal")))</x:f>
        <x:v>unknown</x:v>
      </x:c>
      <x:c r="BY145" s="65" t="str">
        <x:f>IF(COUNT(BT145,AY145)&lt;2,"unknown",IF(BT145/AY145-1&gt;=0.2,"high",IF(BT145/AY145-1&lt;=-0.2,"low","normal")))</x:f>
        <x:v>unknown</x:v>
      </x:c>
      <x:c r="BZ145" s="65" t="str">
        <x:f>IF(COUNT(BU145,AZ145)&lt;2,"unknown",IF(BU145/AZ145-1&gt;=0.2,"high",IF(BU145/AZ145-1&lt;=-0.2,"low","normal")))</x:f>
        <x:v>unknown</x:v>
      </x:c>
      <x:c r="CA145" s="65" t="str">
        <x:f>IF(T145&lt;&gt;"complete","pending",IF(OR(L145&lt;&gt;"pure",U145="true",COUNT(BM145,AT145)&lt;2,AND(AC145&lt;&gt;"",COUNT(BO145,AU145)&lt;2)),"not_attributable","attributable"))</x:f>
        <x:v>pending</x:v>
      </x:c>
      <x:c r="CB145" s="65" t="str">
        <x:f>IF(T145&lt;&gt;"complete","not_evaluated",IF(COUNT(BM145,AT145)&lt;2,"insufficient_data",IF(AND(AC145&lt;&gt;"",COUNT(BP145)=1,BP145&lt;=-0.2),"guardrail_fail",IF(AND(CA145="not_attributable",OR(BV145="high",BN145&gt;=0.2)),"watchlist",IF(CA145&lt;&gt;"attributable","insufficient_data",IF(BN145&gt;=0.2,"win",IF(BN145&lt;=-0.2,"loss","inconclusive")))))))</x:f>
        <x:v>not_evaluated</x:v>
      </x:c>
      <x:c r="CC145" s="65" t="str">
        <x:f>IF(T145&lt;&gt;"complete","COLLECT_MORE_DATA",IF(COUNT(BM145,AT145)&lt;2,"FIX_TRACKING",IF(CB145="guardrail_fail","STOP_VARIANT_GUARDRAIL",IF(CB145="watchlist","WATCHLIST_ONLY",IF(AND(BV145="high",BY145="low"),"KEEP_HOOK_REWRITE_CTA",IF(AND(BW145="high",BX145="low"),"KEEP_STRUCTURE_CHANGE_DISCUSSION_ANGLE",IF(AND(BX145="high",BZ145="low"),"DOWNWEIGHT_TEMPLATE",IF(CB145="win","RETEST_WINNER",IF(CB145="loss","RETURN_TO_BASELINE","COLLECT_MORE_DATA")))))))))</x:f>
        <x:v>COLLECT_MORE_DATA</x:v>
      </x:c>
      <x:c r="CD145" s="75"/>
    </x:row>
    <x:row r="146">
      <x:c r="A146" s="68"/>
      <x:c r="B146" s="69"/>
      <x:c r="C146" s="68"/>
      <x:c r="D146" s="68"/>
      <x:c r="E146" s="68"/>
      <x:c r="F146" s="68"/>
      <x:c r="G146" s="68"/>
      <x:c r="H146" s="70"/>
      <x:c r="I146" s="68"/>
      <x:c r="J146" s="68"/>
      <x:c r="K146" s="68"/>
      <x:c r="L146" s="71" t="str">
        <x:f>IF(K146="","unknown",IF(K146=0,"baseline",IF(K146=1,"pure","mixed")))</x:f>
        <x:v>unknown</x:v>
      </x:c>
      <x:c r="M146" s="68"/>
      <x:c r="N146" s="68"/>
      <x:c r="O146" s="68"/>
      <x:c r="P146" s="68"/>
      <x:c r="Q146" s="68"/>
      <x:c r="R146" s="68"/>
      <x:c r="S146" s="68"/>
      <x:c r="T146" s="68"/>
      <x:c r="U146" s="68"/>
      <x:c r="V146" s="68"/>
      <x:c r="W146" s="68"/>
      <x:c r="X146" s="68"/>
      <x:c r="Y146" s="68"/>
      <x:c r="Z146" s="68"/>
      <x:c r="AA146" s="68"/>
      <x:c r="AB146" s="68"/>
      <x:c r="AC146" s="68"/>
      <x:c r="AD146" s="70"/>
      <x:c r="AE146" s="70"/>
      <x:c r="AF146" s="70"/>
      <x:c r="AG146" s="70"/>
      <x:c r="AH146" s="70"/>
      <x:c r="AI146" s="70"/>
      <x:c r="AJ146" s="70"/>
      <x:c r="AK146" s="70"/>
      <x:c r="AL146" s="70"/>
      <x:c r="AM146" s="70"/>
      <x:c r="AN146" s="70"/>
      <x:c r="AO146" s="70"/>
      <x:c r="AP146" s="70"/>
      <x:c r="AQ146" s="70"/>
      <x:c r="AR146" s="70"/>
      <x:c r="AS146" s="70"/>
      <x:c r="AT146" s="72"/>
      <x:c r="AU146" s="72"/>
      <x:c r="AV146" s="72"/>
      <x:c r="AW146" s="72"/>
      <x:c r="AX146" s="72"/>
      <x:c r="AY146" s="72"/>
      <x:c r="AZ146" s="72"/>
      <x:c r="BA146" s="73" t="str">
        <x:f>IF(C146="xiaohongshu",IF(COUNT(AF146,AE146)&lt;2,"",IFERROR(AF146/AE146,"")),"")</x:f>
      </x:c>
      <x:c r="BB146" s="73" t="str">
        <x:f>IF(C146="xiaohongshu",IF(COUNT(AG146,AE146)&lt;2,"",IFERROR(AG146/AE146,"")),"")</x:f>
      </x:c>
      <x:c r="BC146" s="73" t="str">
        <x:f>IF(C146="xiaohongshu",IF(COUNT(AN146,AE146)&lt;2,"",IFERROR(AN146/AE146,"")),"")</x:f>
      </x:c>
      <x:c r="BD146" s="73" t="str">
        <x:f>IF(C146="xiaohongshu",IF(COUNT(AQ146,AE146)&lt;2,"",IFERROR(AQ146/AE146,"")),"")</x:f>
      </x:c>
      <x:c r="BE146" s="73" t="str">
        <x:f>IF(C146="xiaohongshu",IF(COUNT(AI146,AE146)&lt;2,"",IFERROR(AI146/AE146,"")),"")</x:f>
      </x:c>
      <x:c r="BF146" s="73" t="str">
        <x:f>IF(C146="xiaohongshu",IF(OR(COUNT(AE146)=0,COUNT(AR146,AS146)=0),"",IFERROR((AR146+AS146)/AE146,"")),"")</x:f>
      </x:c>
      <x:c r="BG146" s="73" t="str">
        <x:f>IF(C146="x",IF(COUNT(AD146)=0,"",IF(COUNT(AM146)=1,IFERROR(AM146/AD146,""),IF(COUNT(AH146,AI146,AK146,AL146)=0,"",IFERROR(SUM(AH146,AI146,AK146,AL146)/AD146,"")))),"")</x:f>
      </x:c>
      <x:c r="BH146" s="73" t="str">
        <x:f>IF(C146="x",IF(COUNT(AJ146,AD146)&lt;2,"",IFERROR(AJ146/AD146,"")),"")</x:f>
      </x:c>
      <x:c r="BI146" s="73" t="str">
        <x:f>IF(C146="x",IF(COUNT(AO146,AD146)&lt;2,"",IFERROR(AO146/AD146,"")),"")</x:f>
      </x:c>
      <x:c r="BJ146" s="73" t="str">
        <x:f>IF(C146="x",IF(COUNT(AP146,AD146)&lt;2,"",IFERROR(AP146/AD146,"")),"")</x:f>
      </x:c>
      <x:c r="BK146" s="73" t="str">
        <x:f>IF(C146="x",IF(COUNT(AL146,AD146)&lt;2,"",IFERROR(AL146/AD146,"")),"")</x:f>
      </x:c>
      <x:c r="BL146" s="73" t="str">
        <x:f>IF(C146="x",IF(OR(COUNT(AD146)=0,COUNT(AR146,AS146)=0),"",IFERROR((AR146+AS146)/AD146,"")),"")</x:f>
      </x:c>
      <x:c r="BM146" s="73" t="str">
        <x:f>IF(AB146="xhs_save_rate",BA146,IF(AB146="xhs_completion_rate",BB146,IF(AB146="xhs_profile_visit_rate",BC146,IF(AB146="xhs_dm_intent_rate",BD146,IF(AB146="xhs_discussion_rate",BE146,IF(AB146="xhs_product_relevance_rate",BF146,IF(AB146="x_first_screen_engaged_rate_proxy",BG146,IF(AB146="x_qualified_reply_rate",BH146,IF(AB146="x_profile_click_rate",BI146,IF(AB146="x_link_intent_rate",BJ146,IF(AB146="x_bookmark_rate",BK146,IF(AB146="x_product_relevance_rate",BL146,""))))))))))))</x:f>
      </x:c>
      <x:c r="BN146" s="73" t="str">
        <x:f>IFERROR(BM146/AT146-1,"")</x:f>
      </x:c>
      <x:c r="BO146" s="73" t="str">
        <x:f>IF(AC146="","",IF(AC146="xhs_save_rate",BA146,IF(AC146="xhs_completion_rate",BB146,IF(AC146="xhs_profile_visit_rate",BC146,IF(AC146="xhs_dm_intent_rate",BD146,IF(AC146="xhs_discussion_rate",BE146,IF(AC146="xhs_product_relevance_rate",BF146,IF(AC146="x_first_screen_engaged_rate_proxy",BG146,IF(AC146="x_qualified_reply_rate",BH146,IF(AC146="x_profile_click_rate",BI146,IF(AC146="x_link_intent_rate",BJ146,IF(AC146="x_bookmark_rate",BK146,IF(AC146="x_product_relevance_rate",BL146,"")))))))))))))</x:f>
      </x:c>
      <x:c r="BP146" s="73" t="str">
        <x:f>IFERROR(BO146/AU146-1,"")</x:f>
      </x:c>
      <x:c r="BQ146" s="74" t="str">
        <x:f>IF(COUNT(AD146)=0,"",AD146)</x:f>
      </x:c>
      <x:c r="BR146" s="73" t="str">
        <x:f>IF(C146="xiaohongshu",IF(COUNT(BA146,BB146)=2,AVERAGE(BA146,BB146),IF(COUNT(BA146)=1,BA146,BB146)),BK146)</x:f>
      </x:c>
      <x:c r="BS146" s="73" t="str">
        <x:f>IF(C146="xiaohongshu",BE146,BH146)</x:f>
      </x:c>
      <x:c r="BT146" s="73" t="str">
        <x:f>IF(C146="xiaohongshu",IF(I146="save",BA146,IF(I146="discussion",BE146,IF(I146="profile_visit",BC146,IF(I146="dm",BD146,IF(OR(I146="product_question",I146="trial_intent"),BF146,""))))),IF(I146="save",BK146,IF(I146="discussion",BH146,IF(OR(I146="profile_visit",I146="dm"),BI146,IF(I146="link_click",BJ146,IF(OR(I146="product_question",I146="trial_intent"),BL146,""))))))</x:f>
      </x:c>
      <x:c r="BU146" s="73" t="str">
        <x:f>IF(C146="xiaohongshu",BF146,BL146)</x:f>
      </x:c>
      <x:c r="BV146" s="65" t="str">
        <x:f>IF(COUNT(BQ146,AV146)&lt;2,"unknown",IF(BQ146/AV146-1&gt;=0.2,"high",IF(BQ146/AV146-1&lt;=-0.2,"low","normal")))</x:f>
        <x:v>unknown</x:v>
      </x:c>
      <x:c r="BW146" s="65" t="str">
        <x:f>IF(COUNT(BR146,AW146)&lt;2,"unknown",IF(BR146/AW146-1&gt;=0.2,"high",IF(BR146/AW146-1&lt;=-0.2,"low","normal")))</x:f>
        <x:v>unknown</x:v>
      </x:c>
      <x:c r="BX146" s="65" t="str">
        <x:f>IF(COUNT(BS146,AX146)&lt;2,"unknown",IF(BS146/AX146-1&gt;=0.2,"high",IF(BS146/AX146-1&lt;=-0.2,"low","normal")))</x:f>
        <x:v>unknown</x:v>
      </x:c>
      <x:c r="BY146" s="65" t="str">
        <x:f>IF(COUNT(BT146,AY146)&lt;2,"unknown",IF(BT146/AY146-1&gt;=0.2,"high",IF(BT146/AY146-1&lt;=-0.2,"low","normal")))</x:f>
        <x:v>unknown</x:v>
      </x:c>
      <x:c r="BZ146" s="65" t="str">
        <x:f>IF(COUNT(BU146,AZ146)&lt;2,"unknown",IF(BU146/AZ146-1&gt;=0.2,"high",IF(BU146/AZ146-1&lt;=-0.2,"low","normal")))</x:f>
        <x:v>unknown</x:v>
      </x:c>
      <x:c r="CA146" s="65" t="str">
        <x:f>IF(T146&lt;&gt;"complete","pending",IF(OR(L146&lt;&gt;"pure",U146="true",COUNT(BM146,AT146)&lt;2,AND(AC146&lt;&gt;"",COUNT(BO146,AU146)&lt;2)),"not_attributable","attributable"))</x:f>
        <x:v>pending</x:v>
      </x:c>
      <x:c r="CB146" s="65" t="str">
        <x:f>IF(T146&lt;&gt;"complete","not_evaluated",IF(COUNT(BM146,AT146)&lt;2,"insufficient_data",IF(AND(AC146&lt;&gt;"",COUNT(BP146)=1,BP146&lt;=-0.2),"guardrail_fail",IF(AND(CA146="not_attributable",OR(BV146="high",BN146&gt;=0.2)),"watchlist",IF(CA146&lt;&gt;"attributable","insufficient_data",IF(BN146&gt;=0.2,"win",IF(BN146&lt;=-0.2,"loss","inconclusive")))))))</x:f>
        <x:v>not_evaluated</x:v>
      </x:c>
      <x:c r="CC146" s="65" t="str">
        <x:f>IF(T146&lt;&gt;"complete","COLLECT_MORE_DATA",IF(COUNT(BM146,AT146)&lt;2,"FIX_TRACKING",IF(CB146="guardrail_fail","STOP_VARIANT_GUARDRAIL",IF(CB146="watchlist","WATCHLIST_ONLY",IF(AND(BV146="high",BY146="low"),"KEEP_HOOK_REWRITE_CTA",IF(AND(BW146="high",BX146="low"),"KEEP_STRUCTURE_CHANGE_DISCUSSION_ANGLE",IF(AND(BX146="high",BZ146="low"),"DOWNWEIGHT_TEMPLATE",IF(CB146="win","RETEST_WINNER",IF(CB146="loss","RETURN_TO_BASELINE","COLLECT_MORE_DATA")))))))))</x:f>
        <x:v>COLLECT_MORE_DATA</x:v>
      </x:c>
      <x:c r="CD146" s="75"/>
    </x:row>
    <x:row r="147">
      <x:c r="A147" s="68"/>
      <x:c r="B147" s="69"/>
      <x:c r="C147" s="68"/>
      <x:c r="D147" s="68"/>
      <x:c r="E147" s="68"/>
      <x:c r="F147" s="68"/>
      <x:c r="G147" s="68"/>
      <x:c r="H147" s="70"/>
      <x:c r="I147" s="68"/>
      <x:c r="J147" s="68"/>
      <x:c r="K147" s="68"/>
      <x:c r="L147" s="71" t="str">
        <x:f>IF(K147="","unknown",IF(K147=0,"baseline",IF(K147=1,"pure","mixed")))</x:f>
        <x:v>unknown</x:v>
      </x:c>
      <x:c r="M147" s="68"/>
      <x:c r="N147" s="68"/>
      <x:c r="O147" s="68"/>
      <x:c r="P147" s="68"/>
      <x:c r="Q147" s="68"/>
      <x:c r="R147" s="68"/>
      <x:c r="S147" s="68"/>
      <x:c r="T147" s="68"/>
      <x:c r="U147" s="68"/>
      <x:c r="V147" s="68"/>
      <x:c r="W147" s="68"/>
      <x:c r="X147" s="68"/>
      <x:c r="Y147" s="68"/>
      <x:c r="Z147" s="68"/>
      <x:c r="AA147" s="68"/>
      <x:c r="AB147" s="68"/>
      <x:c r="AC147" s="68"/>
      <x:c r="AD147" s="70"/>
      <x:c r="AE147" s="70"/>
      <x:c r="AF147" s="70"/>
      <x:c r="AG147" s="70"/>
      <x:c r="AH147" s="70"/>
      <x:c r="AI147" s="70"/>
      <x:c r="AJ147" s="70"/>
      <x:c r="AK147" s="70"/>
      <x:c r="AL147" s="70"/>
      <x:c r="AM147" s="70"/>
      <x:c r="AN147" s="70"/>
      <x:c r="AO147" s="70"/>
      <x:c r="AP147" s="70"/>
      <x:c r="AQ147" s="70"/>
      <x:c r="AR147" s="70"/>
      <x:c r="AS147" s="70"/>
      <x:c r="AT147" s="72"/>
      <x:c r="AU147" s="72"/>
      <x:c r="AV147" s="72"/>
      <x:c r="AW147" s="72"/>
      <x:c r="AX147" s="72"/>
      <x:c r="AY147" s="72"/>
      <x:c r="AZ147" s="72"/>
      <x:c r="BA147" s="73" t="str">
        <x:f>IF(C147="xiaohongshu",IF(COUNT(AF147,AE147)&lt;2,"",IFERROR(AF147/AE147,"")),"")</x:f>
      </x:c>
      <x:c r="BB147" s="73" t="str">
        <x:f>IF(C147="xiaohongshu",IF(COUNT(AG147,AE147)&lt;2,"",IFERROR(AG147/AE147,"")),"")</x:f>
      </x:c>
      <x:c r="BC147" s="73" t="str">
        <x:f>IF(C147="xiaohongshu",IF(COUNT(AN147,AE147)&lt;2,"",IFERROR(AN147/AE147,"")),"")</x:f>
      </x:c>
      <x:c r="BD147" s="73" t="str">
        <x:f>IF(C147="xiaohongshu",IF(COUNT(AQ147,AE147)&lt;2,"",IFERROR(AQ147/AE147,"")),"")</x:f>
      </x:c>
      <x:c r="BE147" s="73" t="str">
        <x:f>IF(C147="xiaohongshu",IF(COUNT(AI147,AE147)&lt;2,"",IFERROR(AI147/AE147,"")),"")</x:f>
      </x:c>
      <x:c r="BF147" s="73" t="str">
        <x:f>IF(C147="xiaohongshu",IF(OR(COUNT(AE147)=0,COUNT(AR147,AS147)=0),"",IFERROR((AR147+AS147)/AE147,"")),"")</x:f>
      </x:c>
      <x:c r="BG147" s="73" t="str">
        <x:f>IF(C147="x",IF(COUNT(AD147)=0,"",IF(COUNT(AM147)=1,IFERROR(AM147/AD147,""),IF(COUNT(AH147,AI147,AK147,AL147)=0,"",IFERROR(SUM(AH147,AI147,AK147,AL147)/AD147,"")))),"")</x:f>
      </x:c>
      <x:c r="BH147" s="73" t="str">
        <x:f>IF(C147="x",IF(COUNT(AJ147,AD147)&lt;2,"",IFERROR(AJ147/AD147,"")),"")</x:f>
      </x:c>
      <x:c r="BI147" s="73" t="str">
        <x:f>IF(C147="x",IF(COUNT(AO147,AD147)&lt;2,"",IFERROR(AO147/AD147,"")),"")</x:f>
      </x:c>
      <x:c r="BJ147" s="73" t="str">
        <x:f>IF(C147="x",IF(COUNT(AP147,AD147)&lt;2,"",IFERROR(AP147/AD147,"")),"")</x:f>
      </x:c>
      <x:c r="BK147" s="73" t="str">
        <x:f>IF(C147="x",IF(COUNT(AL147,AD147)&lt;2,"",IFERROR(AL147/AD147,"")),"")</x:f>
      </x:c>
      <x:c r="BL147" s="73" t="str">
        <x:f>IF(C147="x",IF(OR(COUNT(AD147)=0,COUNT(AR147,AS147)=0),"",IFERROR((AR147+AS147)/AD147,"")),"")</x:f>
      </x:c>
      <x:c r="BM147" s="73" t="str">
        <x:f>IF(AB147="xhs_save_rate",BA147,IF(AB147="xhs_completion_rate",BB147,IF(AB147="xhs_profile_visit_rate",BC147,IF(AB147="xhs_dm_intent_rate",BD147,IF(AB147="xhs_discussion_rate",BE147,IF(AB147="xhs_product_relevance_rate",BF147,IF(AB147="x_first_screen_engaged_rate_proxy",BG147,IF(AB147="x_qualified_reply_rate",BH147,IF(AB147="x_profile_click_rate",BI147,IF(AB147="x_link_intent_rate",BJ147,IF(AB147="x_bookmark_rate",BK147,IF(AB147="x_product_relevance_rate",BL147,""))))))))))))</x:f>
      </x:c>
      <x:c r="BN147" s="73" t="str">
        <x:f>IFERROR(BM147/AT147-1,"")</x:f>
      </x:c>
      <x:c r="BO147" s="73" t="str">
        <x:f>IF(AC147="","",IF(AC147="xhs_save_rate",BA147,IF(AC147="xhs_completion_rate",BB147,IF(AC147="xhs_profile_visit_rate",BC147,IF(AC147="xhs_dm_intent_rate",BD147,IF(AC147="xhs_discussion_rate",BE147,IF(AC147="xhs_product_relevance_rate",BF147,IF(AC147="x_first_screen_engaged_rate_proxy",BG147,IF(AC147="x_qualified_reply_rate",BH147,IF(AC147="x_profile_click_rate",BI147,IF(AC147="x_link_intent_rate",BJ147,IF(AC147="x_bookmark_rate",BK147,IF(AC147="x_product_relevance_rate",BL147,"")))))))))))))</x:f>
      </x:c>
      <x:c r="BP147" s="73" t="str">
        <x:f>IFERROR(BO147/AU147-1,"")</x:f>
      </x:c>
      <x:c r="BQ147" s="74" t="str">
        <x:f>IF(COUNT(AD147)=0,"",AD147)</x:f>
      </x:c>
      <x:c r="BR147" s="73" t="str">
        <x:f>IF(C147="xiaohongshu",IF(COUNT(BA147,BB147)=2,AVERAGE(BA147,BB147),IF(COUNT(BA147)=1,BA147,BB147)),BK147)</x:f>
      </x:c>
      <x:c r="BS147" s="73" t="str">
        <x:f>IF(C147="xiaohongshu",BE147,BH147)</x:f>
      </x:c>
      <x:c r="BT147" s="73" t="str">
        <x:f>IF(C147="xiaohongshu",IF(I147="save",BA147,IF(I147="discussion",BE147,IF(I147="profile_visit",BC147,IF(I147="dm",BD147,IF(OR(I147="product_question",I147="trial_intent"),BF147,""))))),IF(I147="save",BK147,IF(I147="discussion",BH147,IF(OR(I147="profile_visit",I147="dm"),BI147,IF(I147="link_click",BJ147,IF(OR(I147="product_question",I147="trial_intent"),BL147,""))))))</x:f>
      </x:c>
      <x:c r="BU147" s="73" t="str">
        <x:f>IF(C147="xiaohongshu",BF147,BL147)</x:f>
      </x:c>
      <x:c r="BV147" s="65" t="str">
        <x:f>IF(COUNT(BQ147,AV147)&lt;2,"unknown",IF(BQ147/AV147-1&gt;=0.2,"high",IF(BQ147/AV147-1&lt;=-0.2,"low","normal")))</x:f>
        <x:v>unknown</x:v>
      </x:c>
      <x:c r="BW147" s="65" t="str">
        <x:f>IF(COUNT(BR147,AW147)&lt;2,"unknown",IF(BR147/AW147-1&gt;=0.2,"high",IF(BR147/AW147-1&lt;=-0.2,"low","normal")))</x:f>
        <x:v>unknown</x:v>
      </x:c>
      <x:c r="BX147" s="65" t="str">
        <x:f>IF(COUNT(BS147,AX147)&lt;2,"unknown",IF(BS147/AX147-1&gt;=0.2,"high",IF(BS147/AX147-1&lt;=-0.2,"low","normal")))</x:f>
        <x:v>unknown</x:v>
      </x:c>
      <x:c r="BY147" s="65" t="str">
        <x:f>IF(COUNT(BT147,AY147)&lt;2,"unknown",IF(BT147/AY147-1&gt;=0.2,"high",IF(BT147/AY147-1&lt;=-0.2,"low","normal")))</x:f>
        <x:v>unknown</x:v>
      </x:c>
      <x:c r="BZ147" s="65" t="str">
        <x:f>IF(COUNT(BU147,AZ147)&lt;2,"unknown",IF(BU147/AZ147-1&gt;=0.2,"high",IF(BU147/AZ147-1&lt;=-0.2,"low","normal")))</x:f>
        <x:v>unknown</x:v>
      </x:c>
      <x:c r="CA147" s="65" t="str">
        <x:f>IF(T147&lt;&gt;"complete","pending",IF(OR(L147&lt;&gt;"pure",U147="true",COUNT(BM147,AT147)&lt;2,AND(AC147&lt;&gt;"",COUNT(BO147,AU147)&lt;2)),"not_attributable","attributable"))</x:f>
        <x:v>pending</x:v>
      </x:c>
      <x:c r="CB147" s="65" t="str">
        <x:f>IF(T147&lt;&gt;"complete","not_evaluated",IF(COUNT(BM147,AT147)&lt;2,"insufficient_data",IF(AND(AC147&lt;&gt;"",COUNT(BP147)=1,BP147&lt;=-0.2),"guardrail_fail",IF(AND(CA147="not_attributable",OR(BV147="high",BN147&gt;=0.2)),"watchlist",IF(CA147&lt;&gt;"attributable","insufficient_data",IF(BN147&gt;=0.2,"win",IF(BN147&lt;=-0.2,"loss","inconclusive")))))))</x:f>
        <x:v>not_evaluated</x:v>
      </x:c>
      <x:c r="CC147" s="65" t="str">
        <x:f>IF(T147&lt;&gt;"complete","COLLECT_MORE_DATA",IF(COUNT(BM147,AT147)&lt;2,"FIX_TRACKING",IF(CB147="guardrail_fail","STOP_VARIANT_GUARDRAIL",IF(CB147="watchlist","WATCHLIST_ONLY",IF(AND(BV147="high",BY147="low"),"KEEP_HOOK_REWRITE_CTA",IF(AND(BW147="high",BX147="low"),"KEEP_STRUCTURE_CHANGE_DISCUSSION_ANGLE",IF(AND(BX147="high",BZ147="low"),"DOWNWEIGHT_TEMPLATE",IF(CB147="win","RETEST_WINNER",IF(CB147="loss","RETURN_TO_BASELINE","COLLECT_MORE_DATA")))))))))</x:f>
        <x:v>COLLECT_MORE_DATA</x:v>
      </x:c>
      <x:c r="CD147" s="75"/>
    </x:row>
    <x:row r="148">
      <x:c r="A148" s="68"/>
      <x:c r="B148" s="69"/>
      <x:c r="C148" s="68"/>
      <x:c r="D148" s="68"/>
      <x:c r="E148" s="68"/>
      <x:c r="F148" s="68"/>
      <x:c r="G148" s="68"/>
      <x:c r="H148" s="70"/>
      <x:c r="I148" s="68"/>
      <x:c r="J148" s="68"/>
      <x:c r="K148" s="68"/>
      <x:c r="L148" s="71" t="str">
        <x:f>IF(K148="","unknown",IF(K148=0,"baseline",IF(K148=1,"pure","mixed")))</x:f>
        <x:v>unknown</x:v>
      </x:c>
      <x:c r="M148" s="68"/>
      <x:c r="N148" s="68"/>
      <x:c r="O148" s="68"/>
      <x:c r="P148" s="68"/>
      <x:c r="Q148" s="68"/>
      <x:c r="R148" s="68"/>
      <x:c r="S148" s="68"/>
      <x:c r="T148" s="68"/>
      <x:c r="U148" s="68"/>
      <x:c r="V148" s="68"/>
      <x:c r="W148" s="68"/>
      <x:c r="X148" s="68"/>
      <x:c r="Y148" s="68"/>
      <x:c r="Z148" s="68"/>
      <x:c r="AA148" s="68"/>
      <x:c r="AB148" s="68"/>
      <x:c r="AC148" s="68"/>
      <x:c r="AD148" s="70"/>
      <x:c r="AE148" s="70"/>
      <x:c r="AF148" s="70"/>
      <x:c r="AG148" s="70"/>
      <x:c r="AH148" s="70"/>
      <x:c r="AI148" s="70"/>
      <x:c r="AJ148" s="70"/>
      <x:c r="AK148" s="70"/>
      <x:c r="AL148" s="70"/>
      <x:c r="AM148" s="70"/>
      <x:c r="AN148" s="70"/>
      <x:c r="AO148" s="70"/>
      <x:c r="AP148" s="70"/>
      <x:c r="AQ148" s="70"/>
      <x:c r="AR148" s="70"/>
      <x:c r="AS148" s="70"/>
      <x:c r="AT148" s="72"/>
      <x:c r="AU148" s="72"/>
      <x:c r="AV148" s="72"/>
      <x:c r="AW148" s="72"/>
      <x:c r="AX148" s="72"/>
      <x:c r="AY148" s="72"/>
      <x:c r="AZ148" s="72"/>
      <x:c r="BA148" s="73" t="str">
        <x:f>IF(C148="xiaohongshu",IF(COUNT(AF148,AE148)&lt;2,"",IFERROR(AF148/AE148,"")),"")</x:f>
      </x:c>
      <x:c r="BB148" s="73" t="str">
        <x:f>IF(C148="xiaohongshu",IF(COUNT(AG148,AE148)&lt;2,"",IFERROR(AG148/AE148,"")),"")</x:f>
      </x:c>
      <x:c r="BC148" s="73" t="str">
        <x:f>IF(C148="xiaohongshu",IF(COUNT(AN148,AE148)&lt;2,"",IFERROR(AN148/AE148,"")),"")</x:f>
      </x:c>
      <x:c r="BD148" s="73" t="str">
        <x:f>IF(C148="xiaohongshu",IF(COUNT(AQ148,AE148)&lt;2,"",IFERROR(AQ148/AE148,"")),"")</x:f>
      </x:c>
      <x:c r="BE148" s="73" t="str">
        <x:f>IF(C148="xiaohongshu",IF(COUNT(AI148,AE148)&lt;2,"",IFERROR(AI148/AE148,"")),"")</x:f>
      </x:c>
      <x:c r="BF148" s="73" t="str">
        <x:f>IF(C148="xiaohongshu",IF(OR(COUNT(AE148)=0,COUNT(AR148,AS148)=0),"",IFERROR((AR148+AS148)/AE148,"")),"")</x:f>
      </x:c>
      <x:c r="BG148" s="73" t="str">
        <x:f>IF(C148="x",IF(COUNT(AD148)=0,"",IF(COUNT(AM148)=1,IFERROR(AM148/AD148,""),IF(COUNT(AH148,AI148,AK148,AL148)=0,"",IFERROR(SUM(AH148,AI148,AK148,AL148)/AD148,"")))),"")</x:f>
      </x:c>
      <x:c r="BH148" s="73" t="str">
        <x:f>IF(C148="x",IF(COUNT(AJ148,AD148)&lt;2,"",IFERROR(AJ148/AD148,"")),"")</x:f>
      </x:c>
      <x:c r="BI148" s="73" t="str">
        <x:f>IF(C148="x",IF(COUNT(AO148,AD148)&lt;2,"",IFERROR(AO148/AD148,"")),"")</x:f>
      </x:c>
      <x:c r="BJ148" s="73" t="str">
        <x:f>IF(C148="x",IF(COUNT(AP148,AD148)&lt;2,"",IFERROR(AP148/AD148,"")),"")</x:f>
      </x:c>
      <x:c r="BK148" s="73" t="str">
        <x:f>IF(C148="x",IF(COUNT(AL148,AD148)&lt;2,"",IFERROR(AL148/AD148,"")),"")</x:f>
      </x:c>
      <x:c r="BL148" s="73" t="str">
        <x:f>IF(C148="x",IF(OR(COUNT(AD148)=0,COUNT(AR148,AS148)=0),"",IFERROR((AR148+AS148)/AD148,"")),"")</x:f>
      </x:c>
      <x:c r="BM148" s="73" t="str">
        <x:f>IF(AB148="xhs_save_rate",BA148,IF(AB148="xhs_completion_rate",BB148,IF(AB148="xhs_profile_visit_rate",BC148,IF(AB148="xhs_dm_intent_rate",BD148,IF(AB148="xhs_discussion_rate",BE148,IF(AB148="xhs_product_relevance_rate",BF148,IF(AB148="x_first_screen_engaged_rate_proxy",BG148,IF(AB148="x_qualified_reply_rate",BH148,IF(AB148="x_profile_click_rate",BI148,IF(AB148="x_link_intent_rate",BJ148,IF(AB148="x_bookmark_rate",BK148,IF(AB148="x_product_relevance_rate",BL148,""))))))))))))</x:f>
      </x:c>
      <x:c r="BN148" s="73" t="str">
        <x:f>IFERROR(BM148/AT148-1,"")</x:f>
      </x:c>
      <x:c r="BO148" s="73" t="str">
        <x:f>IF(AC148="","",IF(AC148="xhs_save_rate",BA148,IF(AC148="xhs_completion_rate",BB148,IF(AC148="xhs_profile_visit_rate",BC148,IF(AC148="xhs_dm_intent_rate",BD148,IF(AC148="xhs_discussion_rate",BE148,IF(AC148="xhs_product_relevance_rate",BF148,IF(AC148="x_first_screen_engaged_rate_proxy",BG148,IF(AC148="x_qualified_reply_rate",BH148,IF(AC148="x_profile_click_rate",BI148,IF(AC148="x_link_intent_rate",BJ148,IF(AC148="x_bookmark_rate",BK148,IF(AC148="x_product_relevance_rate",BL148,"")))))))))))))</x:f>
      </x:c>
      <x:c r="BP148" s="73" t="str">
        <x:f>IFERROR(BO148/AU148-1,"")</x:f>
      </x:c>
      <x:c r="BQ148" s="74" t="str">
        <x:f>IF(COUNT(AD148)=0,"",AD148)</x:f>
      </x:c>
      <x:c r="BR148" s="73" t="str">
        <x:f>IF(C148="xiaohongshu",IF(COUNT(BA148,BB148)=2,AVERAGE(BA148,BB148),IF(COUNT(BA148)=1,BA148,BB148)),BK148)</x:f>
      </x:c>
      <x:c r="BS148" s="73" t="str">
        <x:f>IF(C148="xiaohongshu",BE148,BH148)</x:f>
      </x:c>
      <x:c r="BT148" s="73" t="str">
        <x:f>IF(C148="xiaohongshu",IF(I148="save",BA148,IF(I148="discussion",BE148,IF(I148="profile_visit",BC148,IF(I148="dm",BD148,IF(OR(I148="product_question",I148="trial_intent"),BF148,""))))),IF(I148="save",BK148,IF(I148="discussion",BH148,IF(OR(I148="profile_visit",I148="dm"),BI148,IF(I148="link_click",BJ148,IF(OR(I148="product_question",I148="trial_intent"),BL148,""))))))</x:f>
      </x:c>
      <x:c r="BU148" s="73" t="str">
        <x:f>IF(C148="xiaohongshu",BF148,BL148)</x:f>
      </x:c>
      <x:c r="BV148" s="65" t="str">
        <x:f>IF(COUNT(BQ148,AV148)&lt;2,"unknown",IF(BQ148/AV148-1&gt;=0.2,"high",IF(BQ148/AV148-1&lt;=-0.2,"low","normal")))</x:f>
        <x:v>unknown</x:v>
      </x:c>
      <x:c r="BW148" s="65" t="str">
        <x:f>IF(COUNT(BR148,AW148)&lt;2,"unknown",IF(BR148/AW148-1&gt;=0.2,"high",IF(BR148/AW148-1&lt;=-0.2,"low","normal")))</x:f>
        <x:v>unknown</x:v>
      </x:c>
      <x:c r="BX148" s="65" t="str">
        <x:f>IF(COUNT(BS148,AX148)&lt;2,"unknown",IF(BS148/AX148-1&gt;=0.2,"high",IF(BS148/AX148-1&lt;=-0.2,"low","normal")))</x:f>
        <x:v>unknown</x:v>
      </x:c>
      <x:c r="BY148" s="65" t="str">
        <x:f>IF(COUNT(BT148,AY148)&lt;2,"unknown",IF(BT148/AY148-1&gt;=0.2,"high",IF(BT148/AY148-1&lt;=-0.2,"low","normal")))</x:f>
        <x:v>unknown</x:v>
      </x:c>
      <x:c r="BZ148" s="65" t="str">
        <x:f>IF(COUNT(BU148,AZ148)&lt;2,"unknown",IF(BU148/AZ148-1&gt;=0.2,"high",IF(BU148/AZ148-1&lt;=-0.2,"low","normal")))</x:f>
        <x:v>unknown</x:v>
      </x:c>
      <x:c r="CA148" s="65" t="str">
        <x:f>IF(T148&lt;&gt;"complete","pending",IF(OR(L148&lt;&gt;"pure",U148="true",COUNT(BM148,AT148)&lt;2,AND(AC148&lt;&gt;"",COUNT(BO148,AU148)&lt;2)),"not_attributable","attributable"))</x:f>
        <x:v>pending</x:v>
      </x:c>
      <x:c r="CB148" s="65" t="str">
        <x:f>IF(T148&lt;&gt;"complete","not_evaluated",IF(COUNT(BM148,AT148)&lt;2,"insufficient_data",IF(AND(AC148&lt;&gt;"",COUNT(BP148)=1,BP148&lt;=-0.2),"guardrail_fail",IF(AND(CA148="not_attributable",OR(BV148="high",BN148&gt;=0.2)),"watchlist",IF(CA148&lt;&gt;"attributable","insufficient_data",IF(BN148&gt;=0.2,"win",IF(BN148&lt;=-0.2,"loss","inconclusive")))))))</x:f>
        <x:v>not_evaluated</x:v>
      </x:c>
      <x:c r="CC148" s="65" t="str">
        <x:f>IF(T148&lt;&gt;"complete","COLLECT_MORE_DATA",IF(COUNT(BM148,AT148)&lt;2,"FIX_TRACKING",IF(CB148="guardrail_fail","STOP_VARIANT_GUARDRAIL",IF(CB148="watchlist","WATCHLIST_ONLY",IF(AND(BV148="high",BY148="low"),"KEEP_HOOK_REWRITE_CTA",IF(AND(BW148="high",BX148="low"),"KEEP_STRUCTURE_CHANGE_DISCUSSION_ANGLE",IF(AND(BX148="high",BZ148="low"),"DOWNWEIGHT_TEMPLATE",IF(CB148="win","RETEST_WINNER",IF(CB148="loss","RETURN_TO_BASELINE","COLLECT_MORE_DATA")))))))))</x:f>
        <x:v>COLLECT_MORE_DATA</x:v>
      </x:c>
      <x:c r="CD148" s="75"/>
    </x:row>
    <x:row r="149">
      <x:c r="A149" s="68"/>
      <x:c r="B149" s="69"/>
      <x:c r="C149" s="68"/>
      <x:c r="D149" s="68"/>
      <x:c r="E149" s="68"/>
      <x:c r="F149" s="68"/>
      <x:c r="G149" s="68"/>
      <x:c r="H149" s="70"/>
      <x:c r="I149" s="68"/>
      <x:c r="J149" s="68"/>
      <x:c r="K149" s="68"/>
      <x:c r="L149" s="71" t="str">
        <x:f>IF(K149="","unknown",IF(K149=0,"baseline",IF(K149=1,"pure","mixed")))</x:f>
        <x:v>unknown</x:v>
      </x:c>
      <x:c r="M149" s="68"/>
      <x:c r="N149" s="68"/>
      <x:c r="O149" s="68"/>
      <x:c r="P149" s="68"/>
      <x:c r="Q149" s="68"/>
      <x:c r="R149" s="68"/>
      <x:c r="S149" s="68"/>
      <x:c r="T149" s="68"/>
      <x:c r="U149" s="68"/>
      <x:c r="V149" s="68"/>
      <x:c r="W149" s="68"/>
      <x:c r="X149" s="68"/>
      <x:c r="Y149" s="68"/>
      <x:c r="Z149" s="68"/>
      <x:c r="AA149" s="68"/>
      <x:c r="AB149" s="68"/>
      <x:c r="AC149" s="68"/>
      <x:c r="AD149" s="70"/>
      <x:c r="AE149" s="70"/>
      <x:c r="AF149" s="70"/>
      <x:c r="AG149" s="70"/>
      <x:c r="AH149" s="70"/>
      <x:c r="AI149" s="70"/>
      <x:c r="AJ149" s="70"/>
      <x:c r="AK149" s="70"/>
      <x:c r="AL149" s="70"/>
      <x:c r="AM149" s="70"/>
      <x:c r="AN149" s="70"/>
      <x:c r="AO149" s="70"/>
      <x:c r="AP149" s="70"/>
      <x:c r="AQ149" s="70"/>
      <x:c r="AR149" s="70"/>
      <x:c r="AS149" s="70"/>
      <x:c r="AT149" s="72"/>
      <x:c r="AU149" s="72"/>
      <x:c r="AV149" s="72"/>
      <x:c r="AW149" s="72"/>
      <x:c r="AX149" s="72"/>
      <x:c r="AY149" s="72"/>
      <x:c r="AZ149" s="72"/>
      <x:c r="BA149" s="73" t="str">
        <x:f>IF(C149="xiaohongshu",IF(COUNT(AF149,AE149)&lt;2,"",IFERROR(AF149/AE149,"")),"")</x:f>
      </x:c>
      <x:c r="BB149" s="73" t="str">
        <x:f>IF(C149="xiaohongshu",IF(COUNT(AG149,AE149)&lt;2,"",IFERROR(AG149/AE149,"")),"")</x:f>
      </x:c>
      <x:c r="BC149" s="73" t="str">
        <x:f>IF(C149="xiaohongshu",IF(COUNT(AN149,AE149)&lt;2,"",IFERROR(AN149/AE149,"")),"")</x:f>
      </x:c>
      <x:c r="BD149" s="73" t="str">
        <x:f>IF(C149="xiaohongshu",IF(COUNT(AQ149,AE149)&lt;2,"",IFERROR(AQ149/AE149,"")),"")</x:f>
      </x:c>
      <x:c r="BE149" s="73" t="str">
        <x:f>IF(C149="xiaohongshu",IF(COUNT(AI149,AE149)&lt;2,"",IFERROR(AI149/AE149,"")),"")</x:f>
      </x:c>
      <x:c r="BF149" s="73" t="str">
        <x:f>IF(C149="xiaohongshu",IF(OR(COUNT(AE149)=0,COUNT(AR149,AS149)=0),"",IFERROR((AR149+AS149)/AE149,"")),"")</x:f>
      </x:c>
      <x:c r="BG149" s="73" t="str">
        <x:f>IF(C149="x",IF(COUNT(AD149)=0,"",IF(COUNT(AM149)=1,IFERROR(AM149/AD149,""),IF(COUNT(AH149,AI149,AK149,AL149)=0,"",IFERROR(SUM(AH149,AI149,AK149,AL149)/AD149,"")))),"")</x:f>
      </x:c>
      <x:c r="BH149" s="73" t="str">
        <x:f>IF(C149="x",IF(COUNT(AJ149,AD149)&lt;2,"",IFERROR(AJ149/AD149,"")),"")</x:f>
      </x:c>
      <x:c r="BI149" s="73" t="str">
        <x:f>IF(C149="x",IF(COUNT(AO149,AD149)&lt;2,"",IFERROR(AO149/AD149,"")),"")</x:f>
      </x:c>
      <x:c r="BJ149" s="73" t="str">
        <x:f>IF(C149="x",IF(COUNT(AP149,AD149)&lt;2,"",IFERROR(AP149/AD149,"")),"")</x:f>
      </x:c>
      <x:c r="BK149" s="73" t="str">
        <x:f>IF(C149="x",IF(COUNT(AL149,AD149)&lt;2,"",IFERROR(AL149/AD149,"")),"")</x:f>
      </x:c>
      <x:c r="BL149" s="73" t="str">
        <x:f>IF(C149="x",IF(OR(COUNT(AD149)=0,COUNT(AR149,AS149)=0),"",IFERROR((AR149+AS149)/AD149,"")),"")</x:f>
      </x:c>
      <x:c r="BM149" s="73" t="str">
        <x:f>IF(AB149="xhs_save_rate",BA149,IF(AB149="xhs_completion_rate",BB149,IF(AB149="xhs_profile_visit_rate",BC149,IF(AB149="xhs_dm_intent_rate",BD149,IF(AB149="xhs_discussion_rate",BE149,IF(AB149="xhs_product_relevance_rate",BF149,IF(AB149="x_first_screen_engaged_rate_proxy",BG149,IF(AB149="x_qualified_reply_rate",BH149,IF(AB149="x_profile_click_rate",BI149,IF(AB149="x_link_intent_rate",BJ149,IF(AB149="x_bookmark_rate",BK149,IF(AB149="x_product_relevance_rate",BL149,""))))))))))))</x:f>
      </x:c>
      <x:c r="BN149" s="73" t="str">
        <x:f>IFERROR(BM149/AT149-1,"")</x:f>
      </x:c>
      <x:c r="BO149" s="73" t="str">
        <x:f>IF(AC149="","",IF(AC149="xhs_save_rate",BA149,IF(AC149="xhs_completion_rate",BB149,IF(AC149="xhs_profile_visit_rate",BC149,IF(AC149="xhs_dm_intent_rate",BD149,IF(AC149="xhs_discussion_rate",BE149,IF(AC149="xhs_product_relevance_rate",BF149,IF(AC149="x_first_screen_engaged_rate_proxy",BG149,IF(AC149="x_qualified_reply_rate",BH149,IF(AC149="x_profile_click_rate",BI149,IF(AC149="x_link_intent_rate",BJ149,IF(AC149="x_bookmark_rate",BK149,IF(AC149="x_product_relevance_rate",BL149,"")))))))))))))</x:f>
      </x:c>
      <x:c r="BP149" s="73" t="str">
        <x:f>IFERROR(BO149/AU149-1,"")</x:f>
      </x:c>
      <x:c r="BQ149" s="74" t="str">
        <x:f>IF(COUNT(AD149)=0,"",AD149)</x:f>
      </x:c>
      <x:c r="BR149" s="73" t="str">
        <x:f>IF(C149="xiaohongshu",IF(COUNT(BA149,BB149)=2,AVERAGE(BA149,BB149),IF(COUNT(BA149)=1,BA149,BB149)),BK149)</x:f>
      </x:c>
      <x:c r="BS149" s="73" t="str">
        <x:f>IF(C149="xiaohongshu",BE149,BH149)</x:f>
      </x:c>
      <x:c r="BT149" s="73" t="str">
        <x:f>IF(C149="xiaohongshu",IF(I149="save",BA149,IF(I149="discussion",BE149,IF(I149="profile_visit",BC149,IF(I149="dm",BD149,IF(OR(I149="product_question",I149="trial_intent"),BF149,""))))),IF(I149="save",BK149,IF(I149="discussion",BH149,IF(OR(I149="profile_visit",I149="dm"),BI149,IF(I149="link_click",BJ149,IF(OR(I149="product_question",I149="trial_intent"),BL149,""))))))</x:f>
      </x:c>
      <x:c r="BU149" s="73" t="str">
        <x:f>IF(C149="xiaohongshu",BF149,BL149)</x:f>
      </x:c>
      <x:c r="BV149" s="65" t="str">
        <x:f>IF(COUNT(BQ149,AV149)&lt;2,"unknown",IF(BQ149/AV149-1&gt;=0.2,"high",IF(BQ149/AV149-1&lt;=-0.2,"low","normal")))</x:f>
        <x:v>unknown</x:v>
      </x:c>
      <x:c r="BW149" s="65" t="str">
        <x:f>IF(COUNT(BR149,AW149)&lt;2,"unknown",IF(BR149/AW149-1&gt;=0.2,"high",IF(BR149/AW149-1&lt;=-0.2,"low","normal")))</x:f>
        <x:v>unknown</x:v>
      </x:c>
      <x:c r="BX149" s="65" t="str">
        <x:f>IF(COUNT(BS149,AX149)&lt;2,"unknown",IF(BS149/AX149-1&gt;=0.2,"high",IF(BS149/AX149-1&lt;=-0.2,"low","normal")))</x:f>
        <x:v>unknown</x:v>
      </x:c>
      <x:c r="BY149" s="65" t="str">
        <x:f>IF(COUNT(BT149,AY149)&lt;2,"unknown",IF(BT149/AY149-1&gt;=0.2,"high",IF(BT149/AY149-1&lt;=-0.2,"low","normal")))</x:f>
        <x:v>unknown</x:v>
      </x:c>
      <x:c r="BZ149" s="65" t="str">
        <x:f>IF(COUNT(BU149,AZ149)&lt;2,"unknown",IF(BU149/AZ149-1&gt;=0.2,"high",IF(BU149/AZ149-1&lt;=-0.2,"low","normal")))</x:f>
        <x:v>unknown</x:v>
      </x:c>
      <x:c r="CA149" s="65" t="str">
        <x:f>IF(T149&lt;&gt;"complete","pending",IF(OR(L149&lt;&gt;"pure",U149="true",COUNT(BM149,AT149)&lt;2,AND(AC149&lt;&gt;"",COUNT(BO149,AU149)&lt;2)),"not_attributable","attributable"))</x:f>
        <x:v>pending</x:v>
      </x:c>
      <x:c r="CB149" s="65" t="str">
        <x:f>IF(T149&lt;&gt;"complete","not_evaluated",IF(COUNT(BM149,AT149)&lt;2,"insufficient_data",IF(AND(AC149&lt;&gt;"",COUNT(BP149)=1,BP149&lt;=-0.2),"guardrail_fail",IF(AND(CA149="not_attributable",OR(BV149="high",BN149&gt;=0.2)),"watchlist",IF(CA149&lt;&gt;"attributable","insufficient_data",IF(BN149&gt;=0.2,"win",IF(BN149&lt;=-0.2,"loss","inconclusive")))))))</x:f>
        <x:v>not_evaluated</x:v>
      </x:c>
      <x:c r="CC149" s="65" t="str">
        <x:f>IF(T149&lt;&gt;"complete","COLLECT_MORE_DATA",IF(COUNT(BM149,AT149)&lt;2,"FIX_TRACKING",IF(CB149="guardrail_fail","STOP_VARIANT_GUARDRAIL",IF(CB149="watchlist","WATCHLIST_ONLY",IF(AND(BV149="high",BY149="low"),"KEEP_HOOK_REWRITE_CTA",IF(AND(BW149="high",BX149="low"),"KEEP_STRUCTURE_CHANGE_DISCUSSION_ANGLE",IF(AND(BX149="high",BZ149="low"),"DOWNWEIGHT_TEMPLATE",IF(CB149="win","RETEST_WINNER",IF(CB149="loss","RETURN_TO_BASELINE","COLLECT_MORE_DATA")))))))))</x:f>
        <x:v>COLLECT_MORE_DATA</x:v>
      </x:c>
      <x:c r="CD149" s="75"/>
    </x:row>
    <x:row r="150">
      <x:c r="A150" s="68"/>
      <x:c r="B150" s="69"/>
      <x:c r="C150" s="68"/>
      <x:c r="D150" s="68"/>
      <x:c r="E150" s="68"/>
      <x:c r="F150" s="68"/>
      <x:c r="G150" s="68"/>
      <x:c r="H150" s="70"/>
      <x:c r="I150" s="68"/>
      <x:c r="J150" s="68"/>
      <x:c r="K150" s="68"/>
      <x:c r="L150" s="71" t="str">
        <x:f>IF(K150="","unknown",IF(K150=0,"baseline",IF(K150=1,"pure","mixed")))</x:f>
        <x:v>unknown</x:v>
      </x:c>
      <x:c r="M150" s="68"/>
      <x:c r="N150" s="68"/>
      <x:c r="O150" s="68"/>
      <x:c r="P150" s="68"/>
      <x:c r="Q150" s="68"/>
      <x:c r="R150" s="68"/>
      <x:c r="S150" s="68"/>
      <x:c r="T150" s="68"/>
      <x:c r="U150" s="68"/>
      <x:c r="V150" s="68"/>
      <x:c r="W150" s="68"/>
      <x:c r="X150" s="68"/>
      <x:c r="Y150" s="68"/>
      <x:c r="Z150" s="68"/>
      <x:c r="AA150" s="68"/>
      <x:c r="AB150" s="68"/>
      <x:c r="AC150" s="68"/>
      <x:c r="AD150" s="70"/>
      <x:c r="AE150" s="70"/>
      <x:c r="AF150" s="70"/>
      <x:c r="AG150" s="70"/>
      <x:c r="AH150" s="70"/>
      <x:c r="AI150" s="70"/>
      <x:c r="AJ150" s="70"/>
      <x:c r="AK150" s="70"/>
      <x:c r="AL150" s="70"/>
      <x:c r="AM150" s="70"/>
      <x:c r="AN150" s="70"/>
      <x:c r="AO150" s="70"/>
      <x:c r="AP150" s="70"/>
      <x:c r="AQ150" s="70"/>
      <x:c r="AR150" s="70"/>
      <x:c r="AS150" s="70"/>
      <x:c r="AT150" s="72"/>
      <x:c r="AU150" s="72"/>
      <x:c r="AV150" s="72"/>
      <x:c r="AW150" s="72"/>
      <x:c r="AX150" s="72"/>
      <x:c r="AY150" s="72"/>
      <x:c r="AZ150" s="72"/>
      <x:c r="BA150" s="73" t="str">
        <x:f>IF(C150="xiaohongshu",IF(COUNT(AF150,AE150)&lt;2,"",IFERROR(AF150/AE150,"")),"")</x:f>
      </x:c>
      <x:c r="BB150" s="73" t="str">
        <x:f>IF(C150="xiaohongshu",IF(COUNT(AG150,AE150)&lt;2,"",IFERROR(AG150/AE150,"")),"")</x:f>
      </x:c>
      <x:c r="BC150" s="73" t="str">
        <x:f>IF(C150="xiaohongshu",IF(COUNT(AN150,AE150)&lt;2,"",IFERROR(AN150/AE150,"")),"")</x:f>
      </x:c>
      <x:c r="BD150" s="73" t="str">
        <x:f>IF(C150="xiaohongshu",IF(COUNT(AQ150,AE150)&lt;2,"",IFERROR(AQ150/AE150,"")),"")</x:f>
      </x:c>
      <x:c r="BE150" s="73" t="str">
        <x:f>IF(C150="xiaohongshu",IF(COUNT(AI150,AE150)&lt;2,"",IFERROR(AI150/AE150,"")),"")</x:f>
      </x:c>
      <x:c r="BF150" s="73" t="str">
        <x:f>IF(C150="xiaohongshu",IF(OR(COUNT(AE150)=0,COUNT(AR150,AS150)=0),"",IFERROR((AR150+AS150)/AE150,"")),"")</x:f>
      </x:c>
      <x:c r="BG150" s="73" t="str">
        <x:f>IF(C150="x",IF(COUNT(AD150)=0,"",IF(COUNT(AM150)=1,IFERROR(AM150/AD150,""),IF(COUNT(AH150,AI150,AK150,AL150)=0,"",IFERROR(SUM(AH150,AI150,AK150,AL150)/AD150,"")))),"")</x:f>
      </x:c>
      <x:c r="BH150" s="73" t="str">
        <x:f>IF(C150="x",IF(COUNT(AJ150,AD150)&lt;2,"",IFERROR(AJ150/AD150,"")),"")</x:f>
      </x:c>
      <x:c r="BI150" s="73" t="str">
        <x:f>IF(C150="x",IF(COUNT(AO150,AD150)&lt;2,"",IFERROR(AO150/AD150,"")),"")</x:f>
      </x:c>
      <x:c r="BJ150" s="73" t="str">
        <x:f>IF(C150="x",IF(COUNT(AP150,AD150)&lt;2,"",IFERROR(AP150/AD150,"")),"")</x:f>
      </x:c>
      <x:c r="BK150" s="73" t="str">
        <x:f>IF(C150="x",IF(COUNT(AL150,AD150)&lt;2,"",IFERROR(AL150/AD150,"")),"")</x:f>
      </x:c>
      <x:c r="BL150" s="73" t="str">
        <x:f>IF(C150="x",IF(OR(COUNT(AD150)=0,COUNT(AR150,AS150)=0),"",IFERROR((AR150+AS150)/AD150,"")),"")</x:f>
      </x:c>
      <x:c r="BM150" s="73" t="str">
        <x:f>IF(AB150="xhs_save_rate",BA150,IF(AB150="xhs_completion_rate",BB150,IF(AB150="xhs_profile_visit_rate",BC150,IF(AB150="xhs_dm_intent_rate",BD150,IF(AB150="xhs_discussion_rate",BE150,IF(AB150="xhs_product_relevance_rate",BF150,IF(AB150="x_first_screen_engaged_rate_proxy",BG150,IF(AB150="x_qualified_reply_rate",BH150,IF(AB150="x_profile_click_rate",BI150,IF(AB150="x_link_intent_rate",BJ150,IF(AB150="x_bookmark_rate",BK150,IF(AB150="x_product_relevance_rate",BL150,""))))))))))))</x:f>
      </x:c>
      <x:c r="BN150" s="73" t="str">
        <x:f>IFERROR(BM150/AT150-1,"")</x:f>
      </x:c>
      <x:c r="BO150" s="73" t="str">
        <x:f>IF(AC150="","",IF(AC150="xhs_save_rate",BA150,IF(AC150="xhs_completion_rate",BB150,IF(AC150="xhs_profile_visit_rate",BC150,IF(AC150="xhs_dm_intent_rate",BD150,IF(AC150="xhs_discussion_rate",BE150,IF(AC150="xhs_product_relevance_rate",BF150,IF(AC150="x_first_screen_engaged_rate_proxy",BG150,IF(AC150="x_qualified_reply_rate",BH150,IF(AC150="x_profile_click_rate",BI150,IF(AC150="x_link_intent_rate",BJ150,IF(AC150="x_bookmark_rate",BK150,IF(AC150="x_product_relevance_rate",BL150,"")))))))))))))</x:f>
      </x:c>
      <x:c r="BP150" s="73" t="str">
        <x:f>IFERROR(BO150/AU150-1,"")</x:f>
      </x:c>
      <x:c r="BQ150" s="74" t="str">
        <x:f>IF(COUNT(AD150)=0,"",AD150)</x:f>
      </x:c>
      <x:c r="BR150" s="73" t="str">
        <x:f>IF(C150="xiaohongshu",IF(COUNT(BA150,BB150)=2,AVERAGE(BA150,BB150),IF(COUNT(BA150)=1,BA150,BB150)),BK150)</x:f>
      </x:c>
      <x:c r="BS150" s="73" t="str">
        <x:f>IF(C150="xiaohongshu",BE150,BH150)</x:f>
      </x:c>
      <x:c r="BT150" s="73" t="str">
        <x:f>IF(C150="xiaohongshu",IF(I150="save",BA150,IF(I150="discussion",BE150,IF(I150="profile_visit",BC150,IF(I150="dm",BD150,IF(OR(I150="product_question",I150="trial_intent"),BF150,""))))),IF(I150="save",BK150,IF(I150="discussion",BH150,IF(OR(I150="profile_visit",I150="dm"),BI150,IF(I150="link_click",BJ150,IF(OR(I150="product_question",I150="trial_intent"),BL150,""))))))</x:f>
      </x:c>
      <x:c r="BU150" s="73" t="str">
        <x:f>IF(C150="xiaohongshu",BF150,BL150)</x:f>
      </x:c>
      <x:c r="BV150" s="65" t="str">
        <x:f>IF(COUNT(BQ150,AV150)&lt;2,"unknown",IF(BQ150/AV150-1&gt;=0.2,"high",IF(BQ150/AV150-1&lt;=-0.2,"low","normal")))</x:f>
        <x:v>unknown</x:v>
      </x:c>
      <x:c r="BW150" s="65" t="str">
        <x:f>IF(COUNT(BR150,AW150)&lt;2,"unknown",IF(BR150/AW150-1&gt;=0.2,"high",IF(BR150/AW150-1&lt;=-0.2,"low","normal")))</x:f>
        <x:v>unknown</x:v>
      </x:c>
      <x:c r="BX150" s="65" t="str">
        <x:f>IF(COUNT(BS150,AX150)&lt;2,"unknown",IF(BS150/AX150-1&gt;=0.2,"high",IF(BS150/AX150-1&lt;=-0.2,"low","normal")))</x:f>
        <x:v>unknown</x:v>
      </x:c>
      <x:c r="BY150" s="65" t="str">
        <x:f>IF(COUNT(BT150,AY150)&lt;2,"unknown",IF(BT150/AY150-1&gt;=0.2,"high",IF(BT150/AY150-1&lt;=-0.2,"low","normal")))</x:f>
        <x:v>unknown</x:v>
      </x:c>
      <x:c r="BZ150" s="65" t="str">
        <x:f>IF(COUNT(BU150,AZ150)&lt;2,"unknown",IF(BU150/AZ150-1&gt;=0.2,"high",IF(BU150/AZ150-1&lt;=-0.2,"low","normal")))</x:f>
        <x:v>unknown</x:v>
      </x:c>
      <x:c r="CA150" s="65" t="str">
        <x:f>IF(T150&lt;&gt;"complete","pending",IF(OR(L150&lt;&gt;"pure",U150="true",COUNT(BM150,AT150)&lt;2,AND(AC150&lt;&gt;"",COUNT(BO150,AU150)&lt;2)),"not_attributable","attributable"))</x:f>
        <x:v>pending</x:v>
      </x:c>
      <x:c r="CB150" s="65" t="str">
        <x:f>IF(T150&lt;&gt;"complete","not_evaluated",IF(COUNT(BM150,AT150)&lt;2,"insufficient_data",IF(AND(AC150&lt;&gt;"",COUNT(BP150)=1,BP150&lt;=-0.2),"guardrail_fail",IF(AND(CA150="not_attributable",OR(BV150="high",BN150&gt;=0.2)),"watchlist",IF(CA150&lt;&gt;"attributable","insufficient_data",IF(BN150&gt;=0.2,"win",IF(BN150&lt;=-0.2,"loss","inconclusive")))))))</x:f>
        <x:v>not_evaluated</x:v>
      </x:c>
      <x:c r="CC150" s="65" t="str">
        <x:f>IF(T150&lt;&gt;"complete","COLLECT_MORE_DATA",IF(COUNT(BM150,AT150)&lt;2,"FIX_TRACKING",IF(CB150="guardrail_fail","STOP_VARIANT_GUARDRAIL",IF(CB150="watchlist","WATCHLIST_ONLY",IF(AND(BV150="high",BY150="low"),"KEEP_HOOK_REWRITE_CTA",IF(AND(BW150="high",BX150="low"),"KEEP_STRUCTURE_CHANGE_DISCUSSION_ANGLE",IF(AND(BX150="high",BZ150="low"),"DOWNWEIGHT_TEMPLATE",IF(CB150="win","RETEST_WINNER",IF(CB150="loss","RETURN_TO_BASELINE","COLLECT_MORE_DATA")))))))))</x:f>
        <x:v>COLLECT_MORE_DATA</x:v>
      </x:c>
      <x:c r="CD150" s="75"/>
    </x:row>
    <x:row r="151">
      <x:c r="A151" s="68"/>
      <x:c r="B151" s="69"/>
      <x:c r="C151" s="68"/>
      <x:c r="D151" s="68"/>
      <x:c r="E151" s="68"/>
      <x:c r="F151" s="68"/>
      <x:c r="G151" s="68"/>
      <x:c r="H151" s="70"/>
      <x:c r="I151" s="68"/>
      <x:c r="J151" s="68"/>
      <x:c r="K151" s="68"/>
      <x:c r="L151" s="71" t="str">
        <x:f>IF(K151="","unknown",IF(K151=0,"baseline",IF(K151=1,"pure","mixed")))</x:f>
        <x:v>unknown</x:v>
      </x:c>
      <x:c r="M151" s="68"/>
      <x:c r="N151" s="68"/>
      <x:c r="O151" s="68"/>
      <x:c r="P151" s="68"/>
      <x:c r="Q151" s="68"/>
      <x:c r="R151" s="68"/>
      <x:c r="S151" s="68"/>
      <x:c r="T151" s="68"/>
      <x:c r="U151" s="68"/>
      <x:c r="V151" s="68"/>
      <x:c r="W151" s="68"/>
      <x:c r="X151" s="68"/>
      <x:c r="Y151" s="68"/>
      <x:c r="Z151" s="68"/>
      <x:c r="AA151" s="68"/>
      <x:c r="AB151" s="68"/>
      <x:c r="AC151" s="68"/>
      <x:c r="AD151" s="70"/>
      <x:c r="AE151" s="70"/>
      <x:c r="AF151" s="70"/>
      <x:c r="AG151" s="70"/>
      <x:c r="AH151" s="70"/>
      <x:c r="AI151" s="70"/>
      <x:c r="AJ151" s="70"/>
      <x:c r="AK151" s="70"/>
      <x:c r="AL151" s="70"/>
      <x:c r="AM151" s="70"/>
      <x:c r="AN151" s="70"/>
      <x:c r="AO151" s="70"/>
      <x:c r="AP151" s="70"/>
      <x:c r="AQ151" s="70"/>
      <x:c r="AR151" s="70"/>
      <x:c r="AS151" s="70"/>
      <x:c r="AT151" s="72"/>
      <x:c r="AU151" s="72"/>
      <x:c r="AV151" s="72"/>
      <x:c r="AW151" s="72"/>
      <x:c r="AX151" s="72"/>
      <x:c r="AY151" s="72"/>
      <x:c r="AZ151" s="72"/>
      <x:c r="BA151" s="73" t="str">
        <x:f>IF(C151="xiaohongshu",IF(COUNT(AF151,AE151)&lt;2,"",IFERROR(AF151/AE151,"")),"")</x:f>
      </x:c>
      <x:c r="BB151" s="73" t="str">
        <x:f>IF(C151="xiaohongshu",IF(COUNT(AG151,AE151)&lt;2,"",IFERROR(AG151/AE151,"")),"")</x:f>
      </x:c>
      <x:c r="BC151" s="73" t="str">
        <x:f>IF(C151="xiaohongshu",IF(COUNT(AN151,AE151)&lt;2,"",IFERROR(AN151/AE151,"")),"")</x:f>
      </x:c>
      <x:c r="BD151" s="73" t="str">
        <x:f>IF(C151="xiaohongshu",IF(COUNT(AQ151,AE151)&lt;2,"",IFERROR(AQ151/AE151,"")),"")</x:f>
      </x:c>
      <x:c r="BE151" s="73" t="str">
        <x:f>IF(C151="xiaohongshu",IF(COUNT(AI151,AE151)&lt;2,"",IFERROR(AI151/AE151,"")),"")</x:f>
      </x:c>
      <x:c r="BF151" s="73" t="str">
        <x:f>IF(C151="xiaohongshu",IF(OR(COUNT(AE151)=0,COUNT(AR151,AS151)=0),"",IFERROR((AR151+AS151)/AE151,"")),"")</x:f>
      </x:c>
      <x:c r="BG151" s="73" t="str">
        <x:f>IF(C151="x",IF(COUNT(AD151)=0,"",IF(COUNT(AM151)=1,IFERROR(AM151/AD151,""),IF(COUNT(AH151,AI151,AK151,AL151)=0,"",IFERROR(SUM(AH151,AI151,AK151,AL151)/AD151,"")))),"")</x:f>
      </x:c>
      <x:c r="BH151" s="73" t="str">
        <x:f>IF(C151="x",IF(COUNT(AJ151,AD151)&lt;2,"",IFERROR(AJ151/AD151,"")),"")</x:f>
      </x:c>
      <x:c r="BI151" s="73" t="str">
        <x:f>IF(C151="x",IF(COUNT(AO151,AD151)&lt;2,"",IFERROR(AO151/AD151,"")),"")</x:f>
      </x:c>
      <x:c r="BJ151" s="73" t="str">
        <x:f>IF(C151="x",IF(COUNT(AP151,AD151)&lt;2,"",IFERROR(AP151/AD151,"")),"")</x:f>
      </x:c>
      <x:c r="BK151" s="73" t="str">
        <x:f>IF(C151="x",IF(COUNT(AL151,AD151)&lt;2,"",IFERROR(AL151/AD151,"")),"")</x:f>
      </x:c>
      <x:c r="BL151" s="73" t="str">
        <x:f>IF(C151="x",IF(OR(COUNT(AD151)=0,COUNT(AR151,AS151)=0),"",IFERROR((AR151+AS151)/AD151,"")),"")</x:f>
      </x:c>
      <x:c r="BM151" s="73" t="str">
        <x:f>IF(AB151="xhs_save_rate",BA151,IF(AB151="xhs_completion_rate",BB151,IF(AB151="xhs_profile_visit_rate",BC151,IF(AB151="xhs_dm_intent_rate",BD151,IF(AB151="xhs_discussion_rate",BE151,IF(AB151="xhs_product_relevance_rate",BF151,IF(AB151="x_first_screen_engaged_rate_proxy",BG151,IF(AB151="x_qualified_reply_rate",BH151,IF(AB151="x_profile_click_rate",BI151,IF(AB151="x_link_intent_rate",BJ151,IF(AB151="x_bookmark_rate",BK151,IF(AB151="x_product_relevance_rate",BL151,""))))))))))))</x:f>
      </x:c>
      <x:c r="BN151" s="73" t="str">
        <x:f>IFERROR(BM151/AT151-1,"")</x:f>
      </x:c>
      <x:c r="BO151" s="73" t="str">
        <x:f>IF(AC151="","",IF(AC151="xhs_save_rate",BA151,IF(AC151="xhs_completion_rate",BB151,IF(AC151="xhs_profile_visit_rate",BC151,IF(AC151="xhs_dm_intent_rate",BD151,IF(AC151="xhs_discussion_rate",BE151,IF(AC151="xhs_product_relevance_rate",BF151,IF(AC151="x_first_screen_engaged_rate_proxy",BG151,IF(AC151="x_qualified_reply_rate",BH151,IF(AC151="x_profile_click_rate",BI151,IF(AC151="x_link_intent_rate",BJ151,IF(AC151="x_bookmark_rate",BK151,IF(AC151="x_product_relevance_rate",BL151,"")))))))))))))</x:f>
      </x:c>
      <x:c r="BP151" s="73" t="str">
        <x:f>IFERROR(BO151/AU151-1,"")</x:f>
      </x:c>
      <x:c r="BQ151" s="74" t="str">
        <x:f>IF(COUNT(AD151)=0,"",AD151)</x:f>
      </x:c>
      <x:c r="BR151" s="73" t="str">
        <x:f>IF(C151="xiaohongshu",IF(COUNT(BA151,BB151)=2,AVERAGE(BA151,BB151),IF(COUNT(BA151)=1,BA151,BB151)),BK151)</x:f>
      </x:c>
      <x:c r="BS151" s="73" t="str">
        <x:f>IF(C151="xiaohongshu",BE151,BH151)</x:f>
      </x:c>
      <x:c r="BT151" s="73" t="str">
        <x:f>IF(C151="xiaohongshu",IF(I151="save",BA151,IF(I151="discussion",BE151,IF(I151="profile_visit",BC151,IF(I151="dm",BD151,IF(OR(I151="product_question",I151="trial_intent"),BF151,""))))),IF(I151="save",BK151,IF(I151="discussion",BH151,IF(OR(I151="profile_visit",I151="dm"),BI151,IF(I151="link_click",BJ151,IF(OR(I151="product_question",I151="trial_intent"),BL151,""))))))</x:f>
      </x:c>
      <x:c r="BU151" s="73" t="str">
        <x:f>IF(C151="xiaohongshu",BF151,BL151)</x:f>
      </x:c>
      <x:c r="BV151" s="65" t="str">
        <x:f>IF(COUNT(BQ151,AV151)&lt;2,"unknown",IF(BQ151/AV151-1&gt;=0.2,"high",IF(BQ151/AV151-1&lt;=-0.2,"low","normal")))</x:f>
        <x:v>unknown</x:v>
      </x:c>
      <x:c r="BW151" s="65" t="str">
        <x:f>IF(COUNT(BR151,AW151)&lt;2,"unknown",IF(BR151/AW151-1&gt;=0.2,"high",IF(BR151/AW151-1&lt;=-0.2,"low","normal")))</x:f>
        <x:v>unknown</x:v>
      </x:c>
      <x:c r="BX151" s="65" t="str">
        <x:f>IF(COUNT(BS151,AX151)&lt;2,"unknown",IF(BS151/AX151-1&gt;=0.2,"high",IF(BS151/AX151-1&lt;=-0.2,"low","normal")))</x:f>
        <x:v>unknown</x:v>
      </x:c>
      <x:c r="BY151" s="65" t="str">
        <x:f>IF(COUNT(BT151,AY151)&lt;2,"unknown",IF(BT151/AY151-1&gt;=0.2,"high",IF(BT151/AY151-1&lt;=-0.2,"low","normal")))</x:f>
        <x:v>unknown</x:v>
      </x:c>
      <x:c r="BZ151" s="65" t="str">
        <x:f>IF(COUNT(BU151,AZ151)&lt;2,"unknown",IF(BU151/AZ151-1&gt;=0.2,"high",IF(BU151/AZ151-1&lt;=-0.2,"low","normal")))</x:f>
        <x:v>unknown</x:v>
      </x:c>
      <x:c r="CA151" s="65" t="str">
        <x:f>IF(T151&lt;&gt;"complete","pending",IF(OR(L151&lt;&gt;"pure",U151="true",COUNT(BM151,AT151)&lt;2,AND(AC151&lt;&gt;"",COUNT(BO151,AU151)&lt;2)),"not_attributable","attributable"))</x:f>
        <x:v>pending</x:v>
      </x:c>
      <x:c r="CB151" s="65" t="str">
        <x:f>IF(T151&lt;&gt;"complete","not_evaluated",IF(COUNT(BM151,AT151)&lt;2,"insufficient_data",IF(AND(AC151&lt;&gt;"",COUNT(BP151)=1,BP151&lt;=-0.2),"guardrail_fail",IF(AND(CA151="not_attributable",OR(BV151="high",BN151&gt;=0.2)),"watchlist",IF(CA151&lt;&gt;"attributable","insufficient_data",IF(BN151&gt;=0.2,"win",IF(BN151&lt;=-0.2,"loss","inconclusive")))))))</x:f>
        <x:v>not_evaluated</x:v>
      </x:c>
      <x:c r="CC151" s="65" t="str">
        <x:f>IF(T151&lt;&gt;"complete","COLLECT_MORE_DATA",IF(COUNT(BM151,AT151)&lt;2,"FIX_TRACKING",IF(CB151="guardrail_fail","STOP_VARIANT_GUARDRAIL",IF(CB151="watchlist","WATCHLIST_ONLY",IF(AND(BV151="high",BY151="low"),"KEEP_HOOK_REWRITE_CTA",IF(AND(BW151="high",BX151="low"),"KEEP_STRUCTURE_CHANGE_DISCUSSION_ANGLE",IF(AND(BX151="high",BZ151="low"),"DOWNWEIGHT_TEMPLATE",IF(CB151="win","RETEST_WINNER",IF(CB151="loss","RETURN_TO_BASELINE","COLLECT_MORE_DATA")))))))))</x:f>
        <x:v>COLLECT_MORE_DATA</x:v>
      </x:c>
      <x:c r="CD151" s="75"/>
    </x:row>
    <x:row r="152">
      <x:c r="A152" s="68"/>
      <x:c r="B152" s="69"/>
      <x:c r="C152" s="68"/>
      <x:c r="D152" s="68"/>
      <x:c r="E152" s="68"/>
      <x:c r="F152" s="68"/>
      <x:c r="G152" s="68"/>
      <x:c r="H152" s="70"/>
      <x:c r="I152" s="68"/>
      <x:c r="J152" s="68"/>
      <x:c r="K152" s="68"/>
      <x:c r="L152" s="71" t="str">
        <x:f>IF(K152="","unknown",IF(K152=0,"baseline",IF(K152=1,"pure","mixed")))</x:f>
        <x:v>unknown</x:v>
      </x:c>
      <x:c r="M152" s="68"/>
      <x:c r="N152" s="68"/>
      <x:c r="O152" s="68"/>
      <x:c r="P152" s="68"/>
      <x:c r="Q152" s="68"/>
      <x:c r="R152" s="68"/>
      <x:c r="S152" s="68"/>
      <x:c r="T152" s="68"/>
      <x:c r="U152" s="68"/>
      <x:c r="V152" s="68"/>
      <x:c r="W152" s="68"/>
      <x:c r="X152" s="68"/>
      <x:c r="Y152" s="68"/>
      <x:c r="Z152" s="68"/>
      <x:c r="AA152" s="68"/>
      <x:c r="AB152" s="68"/>
      <x:c r="AC152" s="68"/>
      <x:c r="AD152" s="70"/>
      <x:c r="AE152" s="70"/>
      <x:c r="AF152" s="70"/>
      <x:c r="AG152" s="70"/>
      <x:c r="AH152" s="70"/>
      <x:c r="AI152" s="70"/>
      <x:c r="AJ152" s="70"/>
      <x:c r="AK152" s="70"/>
      <x:c r="AL152" s="70"/>
      <x:c r="AM152" s="70"/>
      <x:c r="AN152" s="70"/>
      <x:c r="AO152" s="70"/>
      <x:c r="AP152" s="70"/>
      <x:c r="AQ152" s="70"/>
      <x:c r="AR152" s="70"/>
      <x:c r="AS152" s="70"/>
      <x:c r="AT152" s="72"/>
      <x:c r="AU152" s="72"/>
      <x:c r="AV152" s="72"/>
      <x:c r="AW152" s="72"/>
      <x:c r="AX152" s="72"/>
      <x:c r="AY152" s="72"/>
      <x:c r="AZ152" s="72"/>
      <x:c r="BA152" s="73" t="str">
        <x:f>IF(C152="xiaohongshu",IF(COUNT(AF152,AE152)&lt;2,"",IFERROR(AF152/AE152,"")),"")</x:f>
      </x:c>
      <x:c r="BB152" s="73" t="str">
        <x:f>IF(C152="xiaohongshu",IF(COUNT(AG152,AE152)&lt;2,"",IFERROR(AG152/AE152,"")),"")</x:f>
      </x:c>
      <x:c r="BC152" s="73" t="str">
        <x:f>IF(C152="xiaohongshu",IF(COUNT(AN152,AE152)&lt;2,"",IFERROR(AN152/AE152,"")),"")</x:f>
      </x:c>
      <x:c r="BD152" s="73" t="str">
        <x:f>IF(C152="xiaohongshu",IF(COUNT(AQ152,AE152)&lt;2,"",IFERROR(AQ152/AE152,"")),"")</x:f>
      </x:c>
      <x:c r="BE152" s="73" t="str">
        <x:f>IF(C152="xiaohongshu",IF(COUNT(AI152,AE152)&lt;2,"",IFERROR(AI152/AE152,"")),"")</x:f>
      </x:c>
      <x:c r="BF152" s="73" t="str">
        <x:f>IF(C152="xiaohongshu",IF(OR(COUNT(AE152)=0,COUNT(AR152,AS152)=0),"",IFERROR((AR152+AS152)/AE152,"")),"")</x:f>
      </x:c>
      <x:c r="BG152" s="73" t="str">
        <x:f>IF(C152="x",IF(COUNT(AD152)=0,"",IF(COUNT(AM152)=1,IFERROR(AM152/AD152,""),IF(COUNT(AH152,AI152,AK152,AL152)=0,"",IFERROR(SUM(AH152,AI152,AK152,AL152)/AD152,"")))),"")</x:f>
      </x:c>
      <x:c r="BH152" s="73" t="str">
        <x:f>IF(C152="x",IF(COUNT(AJ152,AD152)&lt;2,"",IFERROR(AJ152/AD152,"")),"")</x:f>
      </x:c>
      <x:c r="BI152" s="73" t="str">
        <x:f>IF(C152="x",IF(COUNT(AO152,AD152)&lt;2,"",IFERROR(AO152/AD152,"")),"")</x:f>
      </x:c>
      <x:c r="BJ152" s="73" t="str">
        <x:f>IF(C152="x",IF(COUNT(AP152,AD152)&lt;2,"",IFERROR(AP152/AD152,"")),"")</x:f>
      </x:c>
      <x:c r="BK152" s="73" t="str">
        <x:f>IF(C152="x",IF(COUNT(AL152,AD152)&lt;2,"",IFERROR(AL152/AD152,"")),"")</x:f>
      </x:c>
      <x:c r="BL152" s="73" t="str">
        <x:f>IF(C152="x",IF(OR(COUNT(AD152)=0,COUNT(AR152,AS152)=0),"",IFERROR((AR152+AS152)/AD152,"")),"")</x:f>
      </x:c>
      <x:c r="BM152" s="73" t="str">
        <x:f>IF(AB152="xhs_save_rate",BA152,IF(AB152="xhs_completion_rate",BB152,IF(AB152="xhs_profile_visit_rate",BC152,IF(AB152="xhs_dm_intent_rate",BD152,IF(AB152="xhs_discussion_rate",BE152,IF(AB152="xhs_product_relevance_rate",BF152,IF(AB152="x_first_screen_engaged_rate_proxy",BG152,IF(AB152="x_qualified_reply_rate",BH152,IF(AB152="x_profile_click_rate",BI152,IF(AB152="x_link_intent_rate",BJ152,IF(AB152="x_bookmark_rate",BK152,IF(AB152="x_product_relevance_rate",BL152,""))))))))))))</x:f>
      </x:c>
      <x:c r="BN152" s="73" t="str">
        <x:f>IFERROR(BM152/AT152-1,"")</x:f>
      </x:c>
      <x:c r="BO152" s="73" t="str">
        <x:f>IF(AC152="","",IF(AC152="xhs_save_rate",BA152,IF(AC152="xhs_completion_rate",BB152,IF(AC152="xhs_profile_visit_rate",BC152,IF(AC152="xhs_dm_intent_rate",BD152,IF(AC152="xhs_discussion_rate",BE152,IF(AC152="xhs_product_relevance_rate",BF152,IF(AC152="x_first_screen_engaged_rate_proxy",BG152,IF(AC152="x_qualified_reply_rate",BH152,IF(AC152="x_profile_click_rate",BI152,IF(AC152="x_link_intent_rate",BJ152,IF(AC152="x_bookmark_rate",BK152,IF(AC152="x_product_relevance_rate",BL152,"")))))))))))))</x:f>
      </x:c>
      <x:c r="BP152" s="73" t="str">
        <x:f>IFERROR(BO152/AU152-1,"")</x:f>
      </x:c>
      <x:c r="BQ152" s="74" t="str">
        <x:f>IF(COUNT(AD152)=0,"",AD152)</x:f>
      </x:c>
      <x:c r="BR152" s="73" t="str">
        <x:f>IF(C152="xiaohongshu",IF(COUNT(BA152,BB152)=2,AVERAGE(BA152,BB152),IF(COUNT(BA152)=1,BA152,BB152)),BK152)</x:f>
      </x:c>
      <x:c r="BS152" s="73" t="str">
        <x:f>IF(C152="xiaohongshu",BE152,BH152)</x:f>
      </x:c>
      <x:c r="BT152" s="73" t="str">
        <x:f>IF(C152="xiaohongshu",IF(I152="save",BA152,IF(I152="discussion",BE152,IF(I152="profile_visit",BC152,IF(I152="dm",BD152,IF(OR(I152="product_question",I152="trial_intent"),BF152,""))))),IF(I152="save",BK152,IF(I152="discussion",BH152,IF(OR(I152="profile_visit",I152="dm"),BI152,IF(I152="link_click",BJ152,IF(OR(I152="product_question",I152="trial_intent"),BL152,""))))))</x:f>
      </x:c>
      <x:c r="BU152" s="73" t="str">
        <x:f>IF(C152="xiaohongshu",BF152,BL152)</x:f>
      </x:c>
      <x:c r="BV152" s="65" t="str">
        <x:f>IF(COUNT(BQ152,AV152)&lt;2,"unknown",IF(BQ152/AV152-1&gt;=0.2,"high",IF(BQ152/AV152-1&lt;=-0.2,"low","normal")))</x:f>
        <x:v>unknown</x:v>
      </x:c>
      <x:c r="BW152" s="65" t="str">
        <x:f>IF(COUNT(BR152,AW152)&lt;2,"unknown",IF(BR152/AW152-1&gt;=0.2,"high",IF(BR152/AW152-1&lt;=-0.2,"low","normal")))</x:f>
        <x:v>unknown</x:v>
      </x:c>
      <x:c r="BX152" s="65" t="str">
        <x:f>IF(COUNT(BS152,AX152)&lt;2,"unknown",IF(BS152/AX152-1&gt;=0.2,"high",IF(BS152/AX152-1&lt;=-0.2,"low","normal")))</x:f>
        <x:v>unknown</x:v>
      </x:c>
      <x:c r="BY152" s="65" t="str">
        <x:f>IF(COUNT(BT152,AY152)&lt;2,"unknown",IF(BT152/AY152-1&gt;=0.2,"high",IF(BT152/AY152-1&lt;=-0.2,"low","normal")))</x:f>
        <x:v>unknown</x:v>
      </x:c>
      <x:c r="BZ152" s="65" t="str">
        <x:f>IF(COUNT(BU152,AZ152)&lt;2,"unknown",IF(BU152/AZ152-1&gt;=0.2,"high",IF(BU152/AZ152-1&lt;=-0.2,"low","normal")))</x:f>
        <x:v>unknown</x:v>
      </x:c>
      <x:c r="CA152" s="65" t="str">
        <x:f>IF(T152&lt;&gt;"complete","pending",IF(OR(L152&lt;&gt;"pure",U152="true",COUNT(BM152,AT152)&lt;2,AND(AC152&lt;&gt;"",COUNT(BO152,AU152)&lt;2)),"not_attributable","attributable"))</x:f>
        <x:v>pending</x:v>
      </x:c>
      <x:c r="CB152" s="65" t="str">
        <x:f>IF(T152&lt;&gt;"complete","not_evaluated",IF(COUNT(BM152,AT152)&lt;2,"insufficient_data",IF(AND(AC152&lt;&gt;"",COUNT(BP152)=1,BP152&lt;=-0.2),"guardrail_fail",IF(AND(CA152="not_attributable",OR(BV152="high",BN152&gt;=0.2)),"watchlist",IF(CA152&lt;&gt;"attributable","insufficient_data",IF(BN152&gt;=0.2,"win",IF(BN152&lt;=-0.2,"loss","inconclusive")))))))</x:f>
        <x:v>not_evaluated</x:v>
      </x:c>
      <x:c r="CC152" s="65" t="str">
        <x:f>IF(T152&lt;&gt;"complete","COLLECT_MORE_DATA",IF(COUNT(BM152,AT152)&lt;2,"FIX_TRACKING",IF(CB152="guardrail_fail","STOP_VARIANT_GUARDRAIL",IF(CB152="watchlist","WATCHLIST_ONLY",IF(AND(BV152="high",BY152="low"),"KEEP_HOOK_REWRITE_CTA",IF(AND(BW152="high",BX152="low"),"KEEP_STRUCTURE_CHANGE_DISCUSSION_ANGLE",IF(AND(BX152="high",BZ152="low"),"DOWNWEIGHT_TEMPLATE",IF(CB152="win","RETEST_WINNER",IF(CB152="loss","RETURN_TO_BASELINE","COLLECT_MORE_DATA")))))))))</x:f>
        <x:v>COLLECT_MORE_DATA</x:v>
      </x:c>
      <x:c r="CD152" s="75"/>
    </x:row>
    <x:row r="153">
      <x:c r="A153" s="68"/>
      <x:c r="B153" s="69"/>
      <x:c r="C153" s="68"/>
      <x:c r="D153" s="68"/>
      <x:c r="E153" s="68"/>
      <x:c r="F153" s="68"/>
      <x:c r="G153" s="68"/>
      <x:c r="H153" s="70"/>
      <x:c r="I153" s="68"/>
      <x:c r="J153" s="68"/>
      <x:c r="K153" s="68"/>
      <x:c r="L153" s="71" t="str">
        <x:f>IF(K153="","unknown",IF(K153=0,"baseline",IF(K153=1,"pure","mixed")))</x:f>
        <x:v>unknown</x:v>
      </x:c>
      <x:c r="M153" s="68"/>
      <x:c r="N153" s="68"/>
      <x:c r="O153" s="68"/>
      <x:c r="P153" s="68"/>
      <x:c r="Q153" s="68"/>
      <x:c r="R153" s="68"/>
      <x:c r="S153" s="68"/>
      <x:c r="T153" s="68"/>
      <x:c r="U153" s="68"/>
      <x:c r="V153" s="68"/>
      <x:c r="W153" s="68"/>
      <x:c r="X153" s="68"/>
      <x:c r="Y153" s="68"/>
      <x:c r="Z153" s="68"/>
      <x:c r="AA153" s="68"/>
      <x:c r="AB153" s="68"/>
      <x:c r="AC153" s="68"/>
      <x:c r="AD153" s="70"/>
      <x:c r="AE153" s="70"/>
      <x:c r="AF153" s="70"/>
      <x:c r="AG153" s="70"/>
      <x:c r="AH153" s="70"/>
      <x:c r="AI153" s="70"/>
      <x:c r="AJ153" s="70"/>
      <x:c r="AK153" s="70"/>
      <x:c r="AL153" s="70"/>
      <x:c r="AM153" s="70"/>
      <x:c r="AN153" s="70"/>
      <x:c r="AO153" s="70"/>
      <x:c r="AP153" s="70"/>
      <x:c r="AQ153" s="70"/>
      <x:c r="AR153" s="70"/>
      <x:c r="AS153" s="70"/>
      <x:c r="AT153" s="72"/>
      <x:c r="AU153" s="72"/>
      <x:c r="AV153" s="72"/>
      <x:c r="AW153" s="72"/>
      <x:c r="AX153" s="72"/>
      <x:c r="AY153" s="72"/>
      <x:c r="AZ153" s="72"/>
      <x:c r="BA153" s="73" t="str">
        <x:f>IF(C153="xiaohongshu",IF(COUNT(AF153,AE153)&lt;2,"",IFERROR(AF153/AE153,"")),"")</x:f>
      </x:c>
      <x:c r="BB153" s="73" t="str">
        <x:f>IF(C153="xiaohongshu",IF(COUNT(AG153,AE153)&lt;2,"",IFERROR(AG153/AE153,"")),"")</x:f>
      </x:c>
      <x:c r="BC153" s="73" t="str">
        <x:f>IF(C153="xiaohongshu",IF(COUNT(AN153,AE153)&lt;2,"",IFERROR(AN153/AE153,"")),"")</x:f>
      </x:c>
      <x:c r="BD153" s="73" t="str">
        <x:f>IF(C153="xiaohongshu",IF(COUNT(AQ153,AE153)&lt;2,"",IFERROR(AQ153/AE153,"")),"")</x:f>
      </x:c>
      <x:c r="BE153" s="73" t="str">
        <x:f>IF(C153="xiaohongshu",IF(COUNT(AI153,AE153)&lt;2,"",IFERROR(AI153/AE153,"")),"")</x:f>
      </x:c>
      <x:c r="BF153" s="73" t="str">
        <x:f>IF(C153="xiaohongshu",IF(OR(COUNT(AE153)=0,COUNT(AR153,AS153)=0),"",IFERROR((AR153+AS153)/AE153,"")),"")</x:f>
      </x:c>
      <x:c r="BG153" s="73" t="str">
        <x:f>IF(C153="x",IF(COUNT(AD153)=0,"",IF(COUNT(AM153)=1,IFERROR(AM153/AD153,""),IF(COUNT(AH153,AI153,AK153,AL153)=0,"",IFERROR(SUM(AH153,AI153,AK153,AL153)/AD153,"")))),"")</x:f>
      </x:c>
      <x:c r="BH153" s="73" t="str">
        <x:f>IF(C153="x",IF(COUNT(AJ153,AD153)&lt;2,"",IFERROR(AJ153/AD153,"")),"")</x:f>
      </x:c>
      <x:c r="BI153" s="73" t="str">
        <x:f>IF(C153="x",IF(COUNT(AO153,AD153)&lt;2,"",IFERROR(AO153/AD153,"")),"")</x:f>
      </x:c>
      <x:c r="BJ153" s="73" t="str">
        <x:f>IF(C153="x",IF(COUNT(AP153,AD153)&lt;2,"",IFERROR(AP153/AD153,"")),"")</x:f>
      </x:c>
      <x:c r="BK153" s="73" t="str">
        <x:f>IF(C153="x",IF(COUNT(AL153,AD153)&lt;2,"",IFERROR(AL153/AD153,"")),"")</x:f>
      </x:c>
      <x:c r="BL153" s="73" t="str">
        <x:f>IF(C153="x",IF(OR(COUNT(AD153)=0,COUNT(AR153,AS153)=0),"",IFERROR((AR153+AS153)/AD153,"")),"")</x:f>
      </x:c>
      <x:c r="BM153" s="73" t="str">
        <x:f>IF(AB153="xhs_save_rate",BA153,IF(AB153="xhs_completion_rate",BB153,IF(AB153="xhs_profile_visit_rate",BC153,IF(AB153="xhs_dm_intent_rate",BD153,IF(AB153="xhs_discussion_rate",BE153,IF(AB153="xhs_product_relevance_rate",BF153,IF(AB153="x_first_screen_engaged_rate_proxy",BG153,IF(AB153="x_qualified_reply_rate",BH153,IF(AB153="x_profile_click_rate",BI153,IF(AB153="x_link_intent_rate",BJ153,IF(AB153="x_bookmark_rate",BK153,IF(AB153="x_product_relevance_rate",BL153,""))))))))))))</x:f>
      </x:c>
      <x:c r="BN153" s="73" t="str">
        <x:f>IFERROR(BM153/AT153-1,"")</x:f>
      </x:c>
      <x:c r="BO153" s="73" t="str">
        <x:f>IF(AC153="","",IF(AC153="xhs_save_rate",BA153,IF(AC153="xhs_completion_rate",BB153,IF(AC153="xhs_profile_visit_rate",BC153,IF(AC153="xhs_dm_intent_rate",BD153,IF(AC153="xhs_discussion_rate",BE153,IF(AC153="xhs_product_relevance_rate",BF153,IF(AC153="x_first_screen_engaged_rate_proxy",BG153,IF(AC153="x_qualified_reply_rate",BH153,IF(AC153="x_profile_click_rate",BI153,IF(AC153="x_link_intent_rate",BJ153,IF(AC153="x_bookmark_rate",BK153,IF(AC153="x_product_relevance_rate",BL153,"")))))))))))))</x:f>
      </x:c>
      <x:c r="BP153" s="73" t="str">
        <x:f>IFERROR(BO153/AU153-1,"")</x:f>
      </x:c>
      <x:c r="BQ153" s="74" t="str">
        <x:f>IF(COUNT(AD153)=0,"",AD153)</x:f>
      </x:c>
      <x:c r="BR153" s="73" t="str">
        <x:f>IF(C153="xiaohongshu",IF(COUNT(BA153,BB153)=2,AVERAGE(BA153,BB153),IF(COUNT(BA153)=1,BA153,BB153)),BK153)</x:f>
      </x:c>
      <x:c r="BS153" s="73" t="str">
        <x:f>IF(C153="xiaohongshu",BE153,BH153)</x:f>
      </x:c>
      <x:c r="BT153" s="73" t="str">
        <x:f>IF(C153="xiaohongshu",IF(I153="save",BA153,IF(I153="discussion",BE153,IF(I153="profile_visit",BC153,IF(I153="dm",BD153,IF(OR(I153="product_question",I153="trial_intent"),BF153,""))))),IF(I153="save",BK153,IF(I153="discussion",BH153,IF(OR(I153="profile_visit",I153="dm"),BI153,IF(I153="link_click",BJ153,IF(OR(I153="product_question",I153="trial_intent"),BL153,""))))))</x:f>
      </x:c>
      <x:c r="BU153" s="73" t="str">
        <x:f>IF(C153="xiaohongshu",BF153,BL153)</x:f>
      </x:c>
      <x:c r="BV153" s="65" t="str">
        <x:f>IF(COUNT(BQ153,AV153)&lt;2,"unknown",IF(BQ153/AV153-1&gt;=0.2,"high",IF(BQ153/AV153-1&lt;=-0.2,"low","normal")))</x:f>
        <x:v>unknown</x:v>
      </x:c>
      <x:c r="BW153" s="65" t="str">
        <x:f>IF(COUNT(BR153,AW153)&lt;2,"unknown",IF(BR153/AW153-1&gt;=0.2,"high",IF(BR153/AW153-1&lt;=-0.2,"low","normal")))</x:f>
        <x:v>unknown</x:v>
      </x:c>
      <x:c r="BX153" s="65" t="str">
        <x:f>IF(COUNT(BS153,AX153)&lt;2,"unknown",IF(BS153/AX153-1&gt;=0.2,"high",IF(BS153/AX153-1&lt;=-0.2,"low","normal")))</x:f>
        <x:v>unknown</x:v>
      </x:c>
      <x:c r="BY153" s="65" t="str">
        <x:f>IF(COUNT(BT153,AY153)&lt;2,"unknown",IF(BT153/AY153-1&gt;=0.2,"high",IF(BT153/AY153-1&lt;=-0.2,"low","normal")))</x:f>
        <x:v>unknown</x:v>
      </x:c>
      <x:c r="BZ153" s="65" t="str">
        <x:f>IF(COUNT(BU153,AZ153)&lt;2,"unknown",IF(BU153/AZ153-1&gt;=0.2,"high",IF(BU153/AZ153-1&lt;=-0.2,"low","normal")))</x:f>
        <x:v>unknown</x:v>
      </x:c>
      <x:c r="CA153" s="65" t="str">
        <x:f>IF(T153&lt;&gt;"complete","pending",IF(OR(L153&lt;&gt;"pure",U153="true",COUNT(BM153,AT153)&lt;2,AND(AC153&lt;&gt;"",COUNT(BO153,AU153)&lt;2)),"not_attributable","attributable"))</x:f>
        <x:v>pending</x:v>
      </x:c>
      <x:c r="CB153" s="65" t="str">
        <x:f>IF(T153&lt;&gt;"complete","not_evaluated",IF(COUNT(BM153,AT153)&lt;2,"insufficient_data",IF(AND(AC153&lt;&gt;"",COUNT(BP153)=1,BP153&lt;=-0.2),"guardrail_fail",IF(AND(CA153="not_attributable",OR(BV153="high",BN153&gt;=0.2)),"watchlist",IF(CA153&lt;&gt;"attributable","insufficient_data",IF(BN153&gt;=0.2,"win",IF(BN153&lt;=-0.2,"loss","inconclusive")))))))</x:f>
        <x:v>not_evaluated</x:v>
      </x:c>
      <x:c r="CC153" s="65" t="str">
        <x:f>IF(T153&lt;&gt;"complete","COLLECT_MORE_DATA",IF(COUNT(BM153,AT153)&lt;2,"FIX_TRACKING",IF(CB153="guardrail_fail","STOP_VARIANT_GUARDRAIL",IF(CB153="watchlist","WATCHLIST_ONLY",IF(AND(BV153="high",BY153="low"),"KEEP_HOOK_REWRITE_CTA",IF(AND(BW153="high",BX153="low"),"KEEP_STRUCTURE_CHANGE_DISCUSSION_ANGLE",IF(AND(BX153="high",BZ153="low"),"DOWNWEIGHT_TEMPLATE",IF(CB153="win","RETEST_WINNER",IF(CB153="loss","RETURN_TO_BASELINE","COLLECT_MORE_DATA")))))))))</x:f>
        <x:v>COLLECT_MORE_DATA</x:v>
      </x:c>
      <x:c r="CD153" s="75"/>
    </x:row>
    <x:row r="154">
      <x:c r="A154" s="68"/>
      <x:c r="B154" s="69"/>
      <x:c r="C154" s="68"/>
      <x:c r="D154" s="68"/>
      <x:c r="E154" s="68"/>
      <x:c r="F154" s="68"/>
      <x:c r="G154" s="68"/>
      <x:c r="H154" s="70"/>
      <x:c r="I154" s="68"/>
      <x:c r="J154" s="68"/>
      <x:c r="K154" s="68"/>
      <x:c r="L154" s="71" t="str">
        <x:f>IF(K154="","unknown",IF(K154=0,"baseline",IF(K154=1,"pure","mixed")))</x:f>
        <x:v>unknown</x:v>
      </x:c>
      <x:c r="M154" s="68"/>
      <x:c r="N154" s="68"/>
      <x:c r="O154" s="68"/>
      <x:c r="P154" s="68"/>
      <x:c r="Q154" s="68"/>
      <x:c r="R154" s="68"/>
      <x:c r="S154" s="68"/>
      <x:c r="T154" s="68"/>
      <x:c r="U154" s="68"/>
      <x:c r="V154" s="68"/>
      <x:c r="W154" s="68"/>
      <x:c r="X154" s="68"/>
      <x:c r="Y154" s="68"/>
      <x:c r="Z154" s="68"/>
      <x:c r="AA154" s="68"/>
      <x:c r="AB154" s="68"/>
      <x:c r="AC154" s="68"/>
      <x:c r="AD154" s="70"/>
      <x:c r="AE154" s="70"/>
      <x:c r="AF154" s="70"/>
      <x:c r="AG154" s="70"/>
      <x:c r="AH154" s="70"/>
      <x:c r="AI154" s="70"/>
      <x:c r="AJ154" s="70"/>
      <x:c r="AK154" s="70"/>
      <x:c r="AL154" s="70"/>
      <x:c r="AM154" s="70"/>
      <x:c r="AN154" s="70"/>
      <x:c r="AO154" s="70"/>
      <x:c r="AP154" s="70"/>
      <x:c r="AQ154" s="70"/>
      <x:c r="AR154" s="70"/>
      <x:c r="AS154" s="70"/>
      <x:c r="AT154" s="72"/>
      <x:c r="AU154" s="72"/>
      <x:c r="AV154" s="72"/>
      <x:c r="AW154" s="72"/>
      <x:c r="AX154" s="72"/>
      <x:c r="AY154" s="72"/>
      <x:c r="AZ154" s="72"/>
      <x:c r="BA154" s="73" t="str">
        <x:f>IF(C154="xiaohongshu",IF(COUNT(AF154,AE154)&lt;2,"",IFERROR(AF154/AE154,"")),"")</x:f>
      </x:c>
      <x:c r="BB154" s="73" t="str">
        <x:f>IF(C154="xiaohongshu",IF(COUNT(AG154,AE154)&lt;2,"",IFERROR(AG154/AE154,"")),"")</x:f>
      </x:c>
      <x:c r="BC154" s="73" t="str">
        <x:f>IF(C154="xiaohongshu",IF(COUNT(AN154,AE154)&lt;2,"",IFERROR(AN154/AE154,"")),"")</x:f>
      </x:c>
      <x:c r="BD154" s="73" t="str">
        <x:f>IF(C154="xiaohongshu",IF(COUNT(AQ154,AE154)&lt;2,"",IFERROR(AQ154/AE154,"")),"")</x:f>
      </x:c>
      <x:c r="BE154" s="73" t="str">
        <x:f>IF(C154="xiaohongshu",IF(COUNT(AI154,AE154)&lt;2,"",IFERROR(AI154/AE154,"")),"")</x:f>
      </x:c>
      <x:c r="BF154" s="73" t="str">
        <x:f>IF(C154="xiaohongshu",IF(OR(COUNT(AE154)=0,COUNT(AR154,AS154)=0),"",IFERROR((AR154+AS154)/AE154,"")),"")</x:f>
      </x:c>
      <x:c r="BG154" s="73" t="str">
        <x:f>IF(C154="x",IF(COUNT(AD154)=0,"",IF(COUNT(AM154)=1,IFERROR(AM154/AD154,""),IF(COUNT(AH154,AI154,AK154,AL154)=0,"",IFERROR(SUM(AH154,AI154,AK154,AL154)/AD154,"")))),"")</x:f>
      </x:c>
      <x:c r="BH154" s="73" t="str">
        <x:f>IF(C154="x",IF(COUNT(AJ154,AD154)&lt;2,"",IFERROR(AJ154/AD154,"")),"")</x:f>
      </x:c>
      <x:c r="BI154" s="73" t="str">
        <x:f>IF(C154="x",IF(COUNT(AO154,AD154)&lt;2,"",IFERROR(AO154/AD154,"")),"")</x:f>
      </x:c>
      <x:c r="BJ154" s="73" t="str">
        <x:f>IF(C154="x",IF(COUNT(AP154,AD154)&lt;2,"",IFERROR(AP154/AD154,"")),"")</x:f>
      </x:c>
      <x:c r="BK154" s="73" t="str">
        <x:f>IF(C154="x",IF(COUNT(AL154,AD154)&lt;2,"",IFERROR(AL154/AD154,"")),"")</x:f>
      </x:c>
      <x:c r="BL154" s="73" t="str">
        <x:f>IF(C154="x",IF(OR(COUNT(AD154)=0,COUNT(AR154,AS154)=0),"",IFERROR((AR154+AS154)/AD154,"")),"")</x:f>
      </x:c>
      <x:c r="BM154" s="73" t="str">
        <x:f>IF(AB154="xhs_save_rate",BA154,IF(AB154="xhs_completion_rate",BB154,IF(AB154="xhs_profile_visit_rate",BC154,IF(AB154="xhs_dm_intent_rate",BD154,IF(AB154="xhs_discussion_rate",BE154,IF(AB154="xhs_product_relevance_rate",BF154,IF(AB154="x_first_screen_engaged_rate_proxy",BG154,IF(AB154="x_qualified_reply_rate",BH154,IF(AB154="x_profile_click_rate",BI154,IF(AB154="x_link_intent_rate",BJ154,IF(AB154="x_bookmark_rate",BK154,IF(AB154="x_product_relevance_rate",BL154,""))))))))))))</x:f>
      </x:c>
      <x:c r="BN154" s="73" t="str">
        <x:f>IFERROR(BM154/AT154-1,"")</x:f>
      </x:c>
      <x:c r="BO154" s="73" t="str">
        <x:f>IF(AC154="","",IF(AC154="xhs_save_rate",BA154,IF(AC154="xhs_completion_rate",BB154,IF(AC154="xhs_profile_visit_rate",BC154,IF(AC154="xhs_dm_intent_rate",BD154,IF(AC154="xhs_discussion_rate",BE154,IF(AC154="xhs_product_relevance_rate",BF154,IF(AC154="x_first_screen_engaged_rate_proxy",BG154,IF(AC154="x_qualified_reply_rate",BH154,IF(AC154="x_profile_click_rate",BI154,IF(AC154="x_link_intent_rate",BJ154,IF(AC154="x_bookmark_rate",BK154,IF(AC154="x_product_relevance_rate",BL154,"")))))))))))))</x:f>
      </x:c>
      <x:c r="BP154" s="73" t="str">
        <x:f>IFERROR(BO154/AU154-1,"")</x:f>
      </x:c>
      <x:c r="BQ154" s="74" t="str">
        <x:f>IF(COUNT(AD154)=0,"",AD154)</x:f>
      </x:c>
      <x:c r="BR154" s="73" t="str">
        <x:f>IF(C154="xiaohongshu",IF(COUNT(BA154,BB154)=2,AVERAGE(BA154,BB154),IF(COUNT(BA154)=1,BA154,BB154)),BK154)</x:f>
      </x:c>
      <x:c r="BS154" s="73" t="str">
        <x:f>IF(C154="xiaohongshu",BE154,BH154)</x:f>
      </x:c>
      <x:c r="BT154" s="73" t="str">
        <x:f>IF(C154="xiaohongshu",IF(I154="save",BA154,IF(I154="discussion",BE154,IF(I154="profile_visit",BC154,IF(I154="dm",BD154,IF(OR(I154="product_question",I154="trial_intent"),BF154,""))))),IF(I154="save",BK154,IF(I154="discussion",BH154,IF(OR(I154="profile_visit",I154="dm"),BI154,IF(I154="link_click",BJ154,IF(OR(I154="product_question",I154="trial_intent"),BL154,""))))))</x:f>
      </x:c>
      <x:c r="BU154" s="73" t="str">
        <x:f>IF(C154="xiaohongshu",BF154,BL154)</x:f>
      </x:c>
      <x:c r="BV154" s="65" t="str">
        <x:f>IF(COUNT(BQ154,AV154)&lt;2,"unknown",IF(BQ154/AV154-1&gt;=0.2,"high",IF(BQ154/AV154-1&lt;=-0.2,"low","normal")))</x:f>
        <x:v>unknown</x:v>
      </x:c>
      <x:c r="BW154" s="65" t="str">
        <x:f>IF(COUNT(BR154,AW154)&lt;2,"unknown",IF(BR154/AW154-1&gt;=0.2,"high",IF(BR154/AW154-1&lt;=-0.2,"low","normal")))</x:f>
        <x:v>unknown</x:v>
      </x:c>
      <x:c r="BX154" s="65" t="str">
        <x:f>IF(COUNT(BS154,AX154)&lt;2,"unknown",IF(BS154/AX154-1&gt;=0.2,"high",IF(BS154/AX154-1&lt;=-0.2,"low","normal")))</x:f>
        <x:v>unknown</x:v>
      </x:c>
      <x:c r="BY154" s="65" t="str">
        <x:f>IF(COUNT(BT154,AY154)&lt;2,"unknown",IF(BT154/AY154-1&gt;=0.2,"high",IF(BT154/AY154-1&lt;=-0.2,"low","normal")))</x:f>
        <x:v>unknown</x:v>
      </x:c>
      <x:c r="BZ154" s="65" t="str">
        <x:f>IF(COUNT(BU154,AZ154)&lt;2,"unknown",IF(BU154/AZ154-1&gt;=0.2,"high",IF(BU154/AZ154-1&lt;=-0.2,"low","normal")))</x:f>
        <x:v>unknown</x:v>
      </x:c>
      <x:c r="CA154" s="65" t="str">
        <x:f>IF(T154&lt;&gt;"complete","pending",IF(OR(L154&lt;&gt;"pure",U154="true",COUNT(BM154,AT154)&lt;2,AND(AC154&lt;&gt;"",COUNT(BO154,AU154)&lt;2)),"not_attributable","attributable"))</x:f>
        <x:v>pending</x:v>
      </x:c>
      <x:c r="CB154" s="65" t="str">
        <x:f>IF(T154&lt;&gt;"complete","not_evaluated",IF(COUNT(BM154,AT154)&lt;2,"insufficient_data",IF(AND(AC154&lt;&gt;"",COUNT(BP154)=1,BP154&lt;=-0.2),"guardrail_fail",IF(AND(CA154="not_attributable",OR(BV154="high",BN154&gt;=0.2)),"watchlist",IF(CA154&lt;&gt;"attributable","insufficient_data",IF(BN154&gt;=0.2,"win",IF(BN154&lt;=-0.2,"loss","inconclusive")))))))</x:f>
        <x:v>not_evaluated</x:v>
      </x:c>
      <x:c r="CC154" s="65" t="str">
        <x:f>IF(T154&lt;&gt;"complete","COLLECT_MORE_DATA",IF(COUNT(BM154,AT154)&lt;2,"FIX_TRACKING",IF(CB154="guardrail_fail","STOP_VARIANT_GUARDRAIL",IF(CB154="watchlist","WATCHLIST_ONLY",IF(AND(BV154="high",BY154="low"),"KEEP_HOOK_REWRITE_CTA",IF(AND(BW154="high",BX154="low"),"KEEP_STRUCTURE_CHANGE_DISCUSSION_ANGLE",IF(AND(BX154="high",BZ154="low"),"DOWNWEIGHT_TEMPLATE",IF(CB154="win","RETEST_WINNER",IF(CB154="loss","RETURN_TO_BASELINE","COLLECT_MORE_DATA")))))))))</x:f>
        <x:v>COLLECT_MORE_DATA</x:v>
      </x:c>
      <x:c r="CD154" s="75"/>
    </x:row>
    <x:row r="155">
      <x:c r="A155" s="68"/>
      <x:c r="B155" s="69"/>
      <x:c r="C155" s="68"/>
      <x:c r="D155" s="68"/>
      <x:c r="E155" s="68"/>
      <x:c r="F155" s="68"/>
      <x:c r="G155" s="68"/>
      <x:c r="H155" s="70"/>
      <x:c r="I155" s="68"/>
      <x:c r="J155" s="68"/>
      <x:c r="K155" s="68"/>
      <x:c r="L155" s="71" t="str">
        <x:f>IF(K155="","unknown",IF(K155=0,"baseline",IF(K155=1,"pure","mixed")))</x:f>
        <x:v>unknown</x:v>
      </x:c>
      <x:c r="M155" s="68"/>
      <x:c r="N155" s="68"/>
      <x:c r="O155" s="68"/>
      <x:c r="P155" s="68"/>
      <x:c r="Q155" s="68"/>
      <x:c r="R155" s="68"/>
      <x:c r="S155" s="68"/>
      <x:c r="T155" s="68"/>
      <x:c r="U155" s="68"/>
      <x:c r="V155" s="68"/>
      <x:c r="W155" s="68"/>
      <x:c r="X155" s="68"/>
      <x:c r="Y155" s="68"/>
      <x:c r="Z155" s="68"/>
      <x:c r="AA155" s="68"/>
      <x:c r="AB155" s="68"/>
      <x:c r="AC155" s="68"/>
      <x:c r="AD155" s="70"/>
      <x:c r="AE155" s="70"/>
      <x:c r="AF155" s="70"/>
      <x:c r="AG155" s="70"/>
      <x:c r="AH155" s="70"/>
      <x:c r="AI155" s="70"/>
      <x:c r="AJ155" s="70"/>
      <x:c r="AK155" s="70"/>
      <x:c r="AL155" s="70"/>
      <x:c r="AM155" s="70"/>
      <x:c r="AN155" s="70"/>
      <x:c r="AO155" s="70"/>
      <x:c r="AP155" s="70"/>
      <x:c r="AQ155" s="70"/>
      <x:c r="AR155" s="70"/>
      <x:c r="AS155" s="70"/>
      <x:c r="AT155" s="72"/>
      <x:c r="AU155" s="72"/>
      <x:c r="AV155" s="72"/>
      <x:c r="AW155" s="72"/>
      <x:c r="AX155" s="72"/>
      <x:c r="AY155" s="72"/>
      <x:c r="AZ155" s="72"/>
      <x:c r="BA155" s="73" t="str">
        <x:f>IF(C155="xiaohongshu",IF(COUNT(AF155,AE155)&lt;2,"",IFERROR(AF155/AE155,"")),"")</x:f>
      </x:c>
      <x:c r="BB155" s="73" t="str">
        <x:f>IF(C155="xiaohongshu",IF(COUNT(AG155,AE155)&lt;2,"",IFERROR(AG155/AE155,"")),"")</x:f>
      </x:c>
      <x:c r="BC155" s="73" t="str">
        <x:f>IF(C155="xiaohongshu",IF(COUNT(AN155,AE155)&lt;2,"",IFERROR(AN155/AE155,"")),"")</x:f>
      </x:c>
      <x:c r="BD155" s="73" t="str">
        <x:f>IF(C155="xiaohongshu",IF(COUNT(AQ155,AE155)&lt;2,"",IFERROR(AQ155/AE155,"")),"")</x:f>
      </x:c>
      <x:c r="BE155" s="73" t="str">
        <x:f>IF(C155="xiaohongshu",IF(COUNT(AI155,AE155)&lt;2,"",IFERROR(AI155/AE155,"")),"")</x:f>
      </x:c>
      <x:c r="BF155" s="73" t="str">
        <x:f>IF(C155="xiaohongshu",IF(OR(COUNT(AE155)=0,COUNT(AR155,AS155)=0),"",IFERROR((AR155+AS155)/AE155,"")),"")</x:f>
      </x:c>
      <x:c r="BG155" s="73" t="str">
        <x:f>IF(C155="x",IF(COUNT(AD155)=0,"",IF(COUNT(AM155)=1,IFERROR(AM155/AD155,""),IF(COUNT(AH155,AI155,AK155,AL155)=0,"",IFERROR(SUM(AH155,AI155,AK155,AL155)/AD155,"")))),"")</x:f>
      </x:c>
      <x:c r="BH155" s="73" t="str">
        <x:f>IF(C155="x",IF(COUNT(AJ155,AD155)&lt;2,"",IFERROR(AJ155/AD155,"")),"")</x:f>
      </x:c>
      <x:c r="BI155" s="73" t="str">
        <x:f>IF(C155="x",IF(COUNT(AO155,AD155)&lt;2,"",IFERROR(AO155/AD155,"")),"")</x:f>
      </x:c>
      <x:c r="BJ155" s="73" t="str">
        <x:f>IF(C155="x",IF(COUNT(AP155,AD155)&lt;2,"",IFERROR(AP155/AD155,"")),"")</x:f>
      </x:c>
      <x:c r="BK155" s="73" t="str">
        <x:f>IF(C155="x",IF(COUNT(AL155,AD155)&lt;2,"",IFERROR(AL155/AD155,"")),"")</x:f>
      </x:c>
      <x:c r="BL155" s="73" t="str">
        <x:f>IF(C155="x",IF(OR(COUNT(AD155)=0,COUNT(AR155,AS155)=0),"",IFERROR((AR155+AS155)/AD155,"")),"")</x:f>
      </x:c>
      <x:c r="BM155" s="73" t="str">
        <x:f>IF(AB155="xhs_save_rate",BA155,IF(AB155="xhs_completion_rate",BB155,IF(AB155="xhs_profile_visit_rate",BC155,IF(AB155="xhs_dm_intent_rate",BD155,IF(AB155="xhs_discussion_rate",BE155,IF(AB155="xhs_product_relevance_rate",BF155,IF(AB155="x_first_screen_engaged_rate_proxy",BG155,IF(AB155="x_qualified_reply_rate",BH155,IF(AB155="x_profile_click_rate",BI155,IF(AB155="x_link_intent_rate",BJ155,IF(AB155="x_bookmark_rate",BK155,IF(AB155="x_product_relevance_rate",BL155,""))))))))))))</x:f>
      </x:c>
      <x:c r="BN155" s="73" t="str">
        <x:f>IFERROR(BM155/AT155-1,"")</x:f>
      </x:c>
      <x:c r="BO155" s="73" t="str">
        <x:f>IF(AC155="","",IF(AC155="xhs_save_rate",BA155,IF(AC155="xhs_completion_rate",BB155,IF(AC155="xhs_profile_visit_rate",BC155,IF(AC155="xhs_dm_intent_rate",BD155,IF(AC155="xhs_discussion_rate",BE155,IF(AC155="xhs_product_relevance_rate",BF155,IF(AC155="x_first_screen_engaged_rate_proxy",BG155,IF(AC155="x_qualified_reply_rate",BH155,IF(AC155="x_profile_click_rate",BI155,IF(AC155="x_link_intent_rate",BJ155,IF(AC155="x_bookmark_rate",BK155,IF(AC155="x_product_relevance_rate",BL155,"")))))))))))))</x:f>
      </x:c>
      <x:c r="BP155" s="73" t="str">
        <x:f>IFERROR(BO155/AU155-1,"")</x:f>
      </x:c>
      <x:c r="BQ155" s="74" t="str">
        <x:f>IF(COUNT(AD155)=0,"",AD155)</x:f>
      </x:c>
      <x:c r="BR155" s="73" t="str">
        <x:f>IF(C155="xiaohongshu",IF(COUNT(BA155,BB155)=2,AVERAGE(BA155,BB155),IF(COUNT(BA155)=1,BA155,BB155)),BK155)</x:f>
      </x:c>
      <x:c r="BS155" s="73" t="str">
        <x:f>IF(C155="xiaohongshu",BE155,BH155)</x:f>
      </x:c>
      <x:c r="BT155" s="73" t="str">
        <x:f>IF(C155="xiaohongshu",IF(I155="save",BA155,IF(I155="discussion",BE155,IF(I155="profile_visit",BC155,IF(I155="dm",BD155,IF(OR(I155="product_question",I155="trial_intent"),BF155,""))))),IF(I155="save",BK155,IF(I155="discussion",BH155,IF(OR(I155="profile_visit",I155="dm"),BI155,IF(I155="link_click",BJ155,IF(OR(I155="product_question",I155="trial_intent"),BL155,""))))))</x:f>
      </x:c>
      <x:c r="BU155" s="73" t="str">
        <x:f>IF(C155="xiaohongshu",BF155,BL155)</x:f>
      </x:c>
      <x:c r="BV155" s="65" t="str">
        <x:f>IF(COUNT(BQ155,AV155)&lt;2,"unknown",IF(BQ155/AV155-1&gt;=0.2,"high",IF(BQ155/AV155-1&lt;=-0.2,"low","normal")))</x:f>
        <x:v>unknown</x:v>
      </x:c>
      <x:c r="BW155" s="65" t="str">
        <x:f>IF(COUNT(BR155,AW155)&lt;2,"unknown",IF(BR155/AW155-1&gt;=0.2,"high",IF(BR155/AW155-1&lt;=-0.2,"low","normal")))</x:f>
        <x:v>unknown</x:v>
      </x:c>
      <x:c r="BX155" s="65" t="str">
        <x:f>IF(COUNT(BS155,AX155)&lt;2,"unknown",IF(BS155/AX155-1&gt;=0.2,"high",IF(BS155/AX155-1&lt;=-0.2,"low","normal")))</x:f>
        <x:v>unknown</x:v>
      </x:c>
      <x:c r="BY155" s="65" t="str">
        <x:f>IF(COUNT(BT155,AY155)&lt;2,"unknown",IF(BT155/AY155-1&gt;=0.2,"high",IF(BT155/AY155-1&lt;=-0.2,"low","normal")))</x:f>
        <x:v>unknown</x:v>
      </x:c>
      <x:c r="BZ155" s="65" t="str">
        <x:f>IF(COUNT(BU155,AZ155)&lt;2,"unknown",IF(BU155/AZ155-1&gt;=0.2,"high",IF(BU155/AZ155-1&lt;=-0.2,"low","normal")))</x:f>
        <x:v>unknown</x:v>
      </x:c>
      <x:c r="CA155" s="65" t="str">
        <x:f>IF(T155&lt;&gt;"complete","pending",IF(OR(L155&lt;&gt;"pure",U155="true",COUNT(BM155,AT155)&lt;2,AND(AC155&lt;&gt;"",COUNT(BO155,AU155)&lt;2)),"not_attributable","attributable"))</x:f>
        <x:v>pending</x:v>
      </x:c>
      <x:c r="CB155" s="65" t="str">
        <x:f>IF(T155&lt;&gt;"complete","not_evaluated",IF(COUNT(BM155,AT155)&lt;2,"insufficient_data",IF(AND(AC155&lt;&gt;"",COUNT(BP155)=1,BP155&lt;=-0.2),"guardrail_fail",IF(AND(CA155="not_attributable",OR(BV155="high",BN155&gt;=0.2)),"watchlist",IF(CA155&lt;&gt;"attributable","insufficient_data",IF(BN155&gt;=0.2,"win",IF(BN155&lt;=-0.2,"loss","inconclusive")))))))</x:f>
        <x:v>not_evaluated</x:v>
      </x:c>
      <x:c r="CC155" s="65" t="str">
        <x:f>IF(T155&lt;&gt;"complete","COLLECT_MORE_DATA",IF(COUNT(BM155,AT155)&lt;2,"FIX_TRACKING",IF(CB155="guardrail_fail","STOP_VARIANT_GUARDRAIL",IF(CB155="watchlist","WATCHLIST_ONLY",IF(AND(BV155="high",BY155="low"),"KEEP_HOOK_REWRITE_CTA",IF(AND(BW155="high",BX155="low"),"KEEP_STRUCTURE_CHANGE_DISCUSSION_ANGLE",IF(AND(BX155="high",BZ155="low"),"DOWNWEIGHT_TEMPLATE",IF(CB155="win","RETEST_WINNER",IF(CB155="loss","RETURN_TO_BASELINE","COLLECT_MORE_DATA")))))))))</x:f>
        <x:v>COLLECT_MORE_DATA</x:v>
      </x:c>
      <x:c r="CD155" s="75"/>
    </x:row>
    <x:row r="156">
      <x:c r="A156" s="68"/>
      <x:c r="B156" s="69"/>
      <x:c r="C156" s="68"/>
      <x:c r="D156" s="68"/>
      <x:c r="E156" s="68"/>
      <x:c r="F156" s="68"/>
      <x:c r="G156" s="68"/>
      <x:c r="H156" s="70"/>
      <x:c r="I156" s="68"/>
      <x:c r="J156" s="68"/>
      <x:c r="K156" s="68"/>
      <x:c r="L156" s="71" t="str">
        <x:f>IF(K156="","unknown",IF(K156=0,"baseline",IF(K156=1,"pure","mixed")))</x:f>
        <x:v>unknown</x:v>
      </x:c>
      <x:c r="M156" s="68"/>
      <x:c r="N156" s="68"/>
      <x:c r="O156" s="68"/>
      <x:c r="P156" s="68"/>
      <x:c r="Q156" s="68"/>
      <x:c r="R156" s="68"/>
      <x:c r="S156" s="68"/>
      <x:c r="T156" s="68"/>
      <x:c r="U156" s="68"/>
      <x:c r="V156" s="68"/>
      <x:c r="W156" s="68"/>
      <x:c r="X156" s="68"/>
      <x:c r="Y156" s="68"/>
      <x:c r="Z156" s="68"/>
      <x:c r="AA156" s="68"/>
      <x:c r="AB156" s="68"/>
      <x:c r="AC156" s="68"/>
      <x:c r="AD156" s="70"/>
      <x:c r="AE156" s="70"/>
      <x:c r="AF156" s="70"/>
      <x:c r="AG156" s="70"/>
      <x:c r="AH156" s="70"/>
      <x:c r="AI156" s="70"/>
      <x:c r="AJ156" s="70"/>
      <x:c r="AK156" s="70"/>
      <x:c r="AL156" s="70"/>
      <x:c r="AM156" s="70"/>
      <x:c r="AN156" s="70"/>
      <x:c r="AO156" s="70"/>
      <x:c r="AP156" s="70"/>
      <x:c r="AQ156" s="70"/>
      <x:c r="AR156" s="70"/>
      <x:c r="AS156" s="70"/>
      <x:c r="AT156" s="72"/>
      <x:c r="AU156" s="72"/>
      <x:c r="AV156" s="72"/>
      <x:c r="AW156" s="72"/>
      <x:c r="AX156" s="72"/>
      <x:c r="AY156" s="72"/>
      <x:c r="AZ156" s="72"/>
      <x:c r="BA156" s="73" t="str">
        <x:f>IF(C156="xiaohongshu",IF(COUNT(AF156,AE156)&lt;2,"",IFERROR(AF156/AE156,"")),"")</x:f>
      </x:c>
      <x:c r="BB156" s="73" t="str">
        <x:f>IF(C156="xiaohongshu",IF(COUNT(AG156,AE156)&lt;2,"",IFERROR(AG156/AE156,"")),"")</x:f>
      </x:c>
      <x:c r="BC156" s="73" t="str">
        <x:f>IF(C156="xiaohongshu",IF(COUNT(AN156,AE156)&lt;2,"",IFERROR(AN156/AE156,"")),"")</x:f>
      </x:c>
      <x:c r="BD156" s="73" t="str">
        <x:f>IF(C156="xiaohongshu",IF(COUNT(AQ156,AE156)&lt;2,"",IFERROR(AQ156/AE156,"")),"")</x:f>
      </x:c>
      <x:c r="BE156" s="73" t="str">
        <x:f>IF(C156="xiaohongshu",IF(COUNT(AI156,AE156)&lt;2,"",IFERROR(AI156/AE156,"")),"")</x:f>
      </x:c>
      <x:c r="BF156" s="73" t="str">
        <x:f>IF(C156="xiaohongshu",IF(OR(COUNT(AE156)=0,COUNT(AR156,AS156)=0),"",IFERROR((AR156+AS156)/AE156,"")),"")</x:f>
      </x:c>
      <x:c r="BG156" s="73" t="str">
        <x:f>IF(C156="x",IF(COUNT(AD156)=0,"",IF(COUNT(AM156)=1,IFERROR(AM156/AD156,""),IF(COUNT(AH156,AI156,AK156,AL156)=0,"",IFERROR(SUM(AH156,AI156,AK156,AL156)/AD156,"")))),"")</x:f>
      </x:c>
      <x:c r="BH156" s="73" t="str">
        <x:f>IF(C156="x",IF(COUNT(AJ156,AD156)&lt;2,"",IFERROR(AJ156/AD156,"")),"")</x:f>
      </x:c>
      <x:c r="BI156" s="73" t="str">
        <x:f>IF(C156="x",IF(COUNT(AO156,AD156)&lt;2,"",IFERROR(AO156/AD156,"")),"")</x:f>
      </x:c>
      <x:c r="BJ156" s="73" t="str">
        <x:f>IF(C156="x",IF(COUNT(AP156,AD156)&lt;2,"",IFERROR(AP156/AD156,"")),"")</x:f>
      </x:c>
      <x:c r="BK156" s="73" t="str">
        <x:f>IF(C156="x",IF(COUNT(AL156,AD156)&lt;2,"",IFERROR(AL156/AD156,"")),"")</x:f>
      </x:c>
      <x:c r="BL156" s="73" t="str">
        <x:f>IF(C156="x",IF(OR(COUNT(AD156)=0,COUNT(AR156,AS156)=0),"",IFERROR((AR156+AS156)/AD156,"")),"")</x:f>
      </x:c>
      <x:c r="BM156" s="73" t="str">
        <x:f>IF(AB156="xhs_save_rate",BA156,IF(AB156="xhs_completion_rate",BB156,IF(AB156="xhs_profile_visit_rate",BC156,IF(AB156="xhs_dm_intent_rate",BD156,IF(AB156="xhs_discussion_rate",BE156,IF(AB156="xhs_product_relevance_rate",BF156,IF(AB156="x_first_screen_engaged_rate_proxy",BG156,IF(AB156="x_qualified_reply_rate",BH156,IF(AB156="x_profile_click_rate",BI156,IF(AB156="x_link_intent_rate",BJ156,IF(AB156="x_bookmark_rate",BK156,IF(AB156="x_product_relevance_rate",BL156,""))))))))))))</x:f>
      </x:c>
      <x:c r="BN156" s="73" t="str">
        <x:f>IFERROR(BM156/AT156-1,"")</x:f>
      </x:c>
      <x:c r="BO156" s="73" t="str">
        <x:f>IF(AC156="","",IF(AC156="xhs_save_rate",BA156,IF(AC156="xhs_completion_rate",BB156,IF(AC156="xhs_profile_visit_rate",BC156,IF(AC156="xhs_dm_intent_rate",BD156,IF(AC156="xhs_discussion_rate",BE156,IF(AC156="xhs_product_relevance_rate",BF156,IF(AC156="x_first_screen_engaged_rate_proxy",BG156,IF(AC156="x_qualified_reply_rate",BH156,IF(AC156="x_profile_click_rate",BI156,IF(AC156="x_link_intent_rate",BJ156,IF(AC156="x_bookmark_rate",BK156,IF(AC156="x_product_relevance_rate",BL156,"")))))))))))))</x:f>
      </x:c>
      <x:c r="BP156" s="73" t="str">
        <x:f>IFERROR(BO156/AU156-1,"")</x:f>
      </x:c>
      <x:c r="BQ156" s="74" t="str">
        <x:f>IF(COUNT(AD156)=0,"",AD156)</x:f>
      </x:c>
      <x:c r="BR156" s="73" t="str">
        <x:f>IF(C156="xiaohongshu",IF(COUNT(BA156,BB156)=2,AVERAGE(BA156,BB156),IF(COUNT(BA156)=1,BA156,BB156)),BK156)</x:f>
      </x:c>
      <x:c r="BS156" s="73" t="str">
        <x:f>IF(C156="xiaohongshu",BE156,BH156)</x:f>
      </x:c>
      <x:c r="BT156" s="73" t="str">
        <x:f>IF(C156="xiaohongshu",IF(I156="save",BA156,IF(I156="discussion",BE156,IF(I156="profile_visit",BC156,IF(I156="dm",BD156,IF(OR(I156="product_question",I156="trial_intent"),BF156,""))))),IF(I156="save",BK156,IF(I156="discussion",BH156,IF(OR(I156="profile_visit",I156="dm"),BI156,IF(I156="link_click",BJ156,IF(OR(I156="product_question",I156="trial_intent"),BL156,""))))))</x:f>
      </x:c>
      <x:c r="BU156" s="73" t="str">
        <x:f>IF(C156="xiaohongshu",BF156,BL156)</x:f>
      </x:c>
      <x:c r="BV156" s="65" t="str">
        <x:f>IF(COUNT(BQ156,AV156)&lt;2,"unknown",IF(BQ156/AV156-1&gt;=0.2,"high",IF(BQ156/AV156-1&lt;=-0.2,"low","normal")))</x:f>
        <x:v>unknown</x:v>
      </x:c>
      <x:c r="BW156" s="65" t="str">
        <x:f>IF(COUNT(BR156,AW156)&lt;2,"unknown",IF(BR156/AW156-1&gt;=0.2,"high",IF(BR156/AW156-1&lt;=-0.2,"low","normal")))</x:f>
        <x:v>unknown</x:v>
      </x:c>
      <x:c r="BX156" s="65" t="str">
        <x:f>IF(COUNT(BS156,AX156)&lt;2,"unknown",IF(BS156/AX156-1&gt;=0.2,"high",IF(BS156/AX156-1&lt;=-0.2,"low","normal")))</x:f>
        <x:v>unknown</x:v>
      </x:c>
      <x:c r="BY156" s="65" t="str">
        <x:f>IF(COUNT(BT156,AY156)&lt;2,"unknown",IF(BT156/AY156-1&gt;=0.2,"high",IF(BT156/AY156-1&lt;=-0.2,"low","normal")))</x:f>
        <x:v>unknown</x:v>
      </x:c>
      <x:c r="BZ156" s="65" t="str">
        <x:f>IF(COUNT(BU156,AZ156)&lt;2,"unknown",IF(BU156/AZ156-1&gt;=0.2,"high",IF(BU156/AZ156-1&lt;=-0.2,"low","normal")))</x:f>
        <x:v>unknown</x:v>
      </x:c>
      <x:c r="CA156" s="65" t="str">
        <x:f>IF(T156&lt;&gt;"complete","pending",IF(OR(L156&lt;&gt;"pure",U156="true",COUNT(BM156,AT156)&lt;2,AND(AC156&lt;&gt;"",COUNT(BO156,AU156)&lt;2)),"not_attributable","attributable"))</x:f>
        <x:v>pending</x:v>
      </x:c>
      <x:c r="CB156" s="65" t="str">
        <x:f>IF(T156&lt;&gt;"complete","not_evaluated",IF(COUNT(BM156,AT156)&lt;2,"insufficient_data",IF(AND(AC156&lt;&gt;"",COUNT(BP156)=1,BP156&lt;=-0.2),"guardrail_fail",IF(AND(CA156="not_attributable",OR(BV156="high",BN156&gt;=0.2)),"watchlist",IF(CA156&lt;&gt;"attributable","insufficient_data",IF(BN156&gt;=0.2,"win",IF(BN156&lt;=-0.2,"loss","inconclusive")))))))</x:f>
        <x:v>not_evaluated</x:v>
      </x:c>
      <x:c r="CC156" s="65" t="str">
        <x:f>IF(T156&lt;&gt;"complete","COLLECT_MORE_DATA",IF(COUNT(BM156,AT156)&lt;2,"FIX_TRACKING",IF(CB156="guardrail_fail","STOP_VARIANT_GUARDRAIL",IF(CB156="watchlist","WATCHLIST_ONLY",IF(AND(BV156="high",BY156="low"),"KEEP_HOOK_REWRITE_CTA",IF(AND(BW156="high",BX156="low"),"KEEP_STRUCTURE_CHANGE_DISCUSSION_ANGLE",IF(AND(BX156="high",BZ156="low"),"DOWNWEIGHT_TEMPLATE",IF(CB156="win","RETEST_WINNER",IF(CB156="loss","RETURN_TO_BASELINE","COLLECT_MORE_DATA")))))))))</x:f>
        <x:v>COLLECT_MORE_DATA</x:v>
      </x:c>
      <x:c r="CD156" s="75"/>
    </x:row>
    <x:row r="157">
      <x:c r="A157" s="68"/>
      <x:c r="B157" s="69"/>
      <x:c r="C157" s="68"/>
      <x:c r="D157" s="68"/>
      <x:c r="E157" s="68"/>
      <x:c r="F157" s="68"/>
      <x:c r="G157" s="68"/>
      <x:c r="H157" s="70"/>
      <x:c r="I157" s="68"/>
      <x:c r="J157" s="68"/>
      <x:c r="K157" s="68"/>
      <x:c r="L157" s="71" t="str">
        <x:f>IF(K157="","unknown",IF(K157=0,"baseline",IF(K157=1,"pure","mixed")))</x:f>
        <x:v>unknown</x:v>
      </x:c>
      <x:c r="M157" s="68"/>
      <x:c r="N157" s="68"/>
      <x:c r="O157" s="68"/>
      <x:c r="P157" s="68"/>
      <x:c r="Q157" s="68"/>
      <x:c r="R157" s="68"/>
      <x:c r="S157" s="68"/>
      <x:c r="T157" s="68"/>
      <x:c r="U157" s="68"/>
      <x:c r="V157" s="68"/>
      <x:c r="W157" s="68"/>
      <x:c r="X157" s="68"/>
      <x:c r="Y157" s="68"/>
      <x:c r="Z157" s="68"/>
      <x:c r="AA157" s="68"/>
      <x:c r="AB157" s="68"/>
      <x:c r="AC157" s="68"/>
      <x:c r="AD157" s="70"/>
      <x:c r="AE157" s="70"/>
      <x:c r="AF157" s="70"/>
      <x:c r="AG157" s="70"/>
      <x:c r="AH157" s="70"/>
      <x:c r="AI157" s="70"/>
      <x:c r="AJ157" s="70"/>
      <x:c r="AK157" s="70"/>
      <x:c r="AL157" s="70"/>
      <x:c r="AM157" s="70"/>
      <x:c r="AN157" s="70"/>
      <x:c r="AO157" s="70"/>
      <x:c r="AP157" s="70"/>
      <x:c r="AQ157" s="70"/>
      <x:c r="AR157" s="70"/>
      <x:c r="AS157" s="70"/>
      <x:c r="AT157" s="72"/>
      <x:c r="AU157" s="72"/>
      <x:c r="AV157" s="72"/>
      <x:c r="AW157" s="72"/>
      <x:c r="AX157" s="72"/>
      <x:c r="AY157" s="72"/>
      <x:c r="AZ157" s="72"/>
      <x:c r="BA157" s="73" t="str">
        <x:f>IF(C157="xiaohongshu",IF(COUNT(AF157,AE157)&lt;2,"",IFERROR(AF157/AE157,"")),"")</x:f>
      </x:c>
      <x:c r="BB157" s="73" t="str">
        <x:f>IF(C157="xiaohongshu",IF(COUNT(AG157,AE157)&lt;2,"",IFERROR(AG157/AE157,"")),"")</x:f>
      </x:c>
      <x:c r="BC157" s="73" t="str">
        <x:f>IF(C157="xiaohongshu",IF(COUNT(AN157,AE157)&lt;2,"",IFERROR(AN157/AE157,"")),"")</x:f>
      </x:c>
      <x:c r="BD157" s="73" t="str">
        <x:f>IF(C157="xiaohongshu",IF(COUNT(AQ157,AE157)&lt;2,"",IFERROR(AQ157/AE157,"")),"")</x:f>
      </x:c>
      <x:c r="BE157" s="73" t="str">
        <x:f>IF(C157="xiaohongshu",IF(COUNT(AI157,AE157)&lt;2,"",IFERROR(AI157/AE157,"")),"")</x:f>
      </x:c>
      <x:c r="BF157" s="73" t="str">
        <x:f>IF(C157="xiaohongshu",IF(OR(COUNT(AE157)=0,COUNT(AR157,AS157)=0),"",IFERROR((AR157+AS157)/AE157,"")),"")</x:f>
      </x:c>
      <x:c r="BG157" s="73" t="str">
        <x:f>IF(C157="x",IF(COUNT(AD157)=0,"",IF(COUNT(AM157)=1,IFERROR(AM157/AD157,""),IF(COUNT(AH157,AI157,AK157,AL157)=0,"",IFERROR(SUM(AH157,AI157,AK157,AL157)/AD157,"")))),"")</x:f>
      </x:c>
      <x:c r="BH157" s="73" t="str">
        <x:f>IF(C157="x",IF(COUNT(AJ157,AD157)&lt;2,"",IFERROR(AJ157/AD157,"")),"")</x:f>
      </x:c>
      <x:c r="BI157" s="73" t="str">
        <x:f>IF(C157="x",IF(COUNT(AO157,AD157)&lt;2,"",IFERROR(AO157/AD157,"")),"")</x:f>
      </x:c>
      <x:c r="BJ157" s="73" t="str">
        <x:f>IF(C157="x",IF(COUNT(AP157,AD157)&lt;2,"",IFERROR(AP157/AD157,"")),"")</x:f>
      </x:c>
      <x:c r="BK157" s="73" t="str">
        <x:f>IF(C157="x",IF(COUNT(AL157,AD157)&lt;2,"",IFERROR(AL157/AD157,"")),"")</x:f>
      </x:c>
      <x:c r="BL157" s="73" t="str">
        <x:f>IF(C157="x",IF(OR(COUNT(AD157)=0,COUNT(AR157,AS157)=0),"",IFERROR((AR157+AS157)/AD157,"")),"")</x:f>
      </x:c>
      <x:c r="BM157" s="73" t="str">
        <x:f>IF(AB157="xhs_save_rate",BA157,IF(AB157="xhs_completion_rate",BB157,IF(AB157="xhs_profile_visit_rate",BC157,IF(AB157="xhs_dm_intent_rate",BD157,IF(AB157="xhs_discussion_rate",BE157,IF(AB157="xhs_product_relevance_rate",BF157,IF(AB157="x_first_screen_engaged_rate_proxy",BG157,IF(AB157="x_qualified_reply_rate",BH157,IF(AB157="x_profile_click_rate",BI157,IF(AB157="x_link_intent_rate",BJ157,IF(AB157="x_bookmark_rate",BK157,IF(AB157="x_product_relevance_rate",BL157,""))))))))))))</x:f>
      </x:c>
      <x:c r="BN157" s="73" t="str">
        <x:f>IFERROR(BM157/AT157-1,"")</x:f>
      </x:c>
      <x:c r="BO157" s="73" t="str">
        <x:f>IF(AC157="","",IF(AC157="xhs_save_rate",BA157,IF(AC157="xhs_completion_rate",BB157,IF(AC157="xhs_profile_visit_rate",BC157,IF(AC157="xhs_dm_intent_rate",BD157,IF(AC157="xhs_discussion_rate",BE157,IF(AC157="xhs_product_relevance_rate",BF157,IF(AC157="x_first_screen_engaged_rate_proxy",BG157,IF(AC157="x_qualified_reply_rate",BH157,IF(AC157="x_profile_click_rate",BI157,IF(AC157="x_link_intent_rate",BJ157,IF(AC157="x_bookmark_rate",BK157,IF(AC157="x_product_relevance_rate",BL157,"")))))))))))))</x:f>
      </x:c>
      <x:c r="BP157" s="73" t="str">
        <x:f>IFERROR(BO157/AU157-1,"")</x:f>
      </x:c>
      <x:c r="BQ157" s="74" t="str">
        <x:f>IF(COUNT(AD157)=0,"",AD157)</x:f>
      </x:c>
      <x:c r="BR157" s="73" t="str">
        <x:f>IF(C157="xiaohongshu",IF(COUNT(BA157,BB157)=2,AVERAGE(BA157,BB157),IF(COUNT(BA157)=1,BA157,BB157)),BK157)</x:f>
      </x:c>
      <x:c r="BS157" s="73" t="str">
        <x:f>IF(C157="xiaohongshu",BE157,BH157)</x:f>
      </x:c>
      <x:c r="BT157" s="73" t="str">
        <x:f>IF(C157="xiaohongshu",IF(I157="save",BA157,IF(I157="discussion",BE157,IF(I157="profile_visit",BC157,IF(I157="dm",BD157,IF(OR(I157="product_question",I157="trial_intent"),BF157,""))))),IF(I157="save",BK157,IF(I157="discussion",BH157,IF(OR(I157="profile_visit",I157="dm"),BI157,IF(I157="link_click",BJ157,IF(OR(I157="product_question",I157="trial_intent"),BL157,""))))))</x:f>
      </x:c>
      <x:c r="BU157" s="73" t="str">
        <x:f>IF(C157="xiaohongshu",BF157,BL157)</x:f>
      </x:c>
      <x:c r="BV157" s="65" t="str">
        <x:f>IF(COUNT(BQ157,AV157)&lt;2,"unknown",IF(BQ157/AV157-1&gt;=0.2,"high",IF(BQ157/AV157-1&lt;=-0.2,"low","normal")))</x:f>
        <x:v>unknown</x:v>
      </x:c>
      <x:c r="BW157" s="65" t="str">
        <x:f>IF(COUNT(BR157,AW157)&lt;2,"unknown",IF(BR157/AW157-1&gt;=0.2,"high",IF(BR157/AW157-1&lt;=-0.2,"low","normal")))</x:f>
        <x:v>unknown</x:v>
      </x:c>
      <x:c r="BX157" s="65" t="str">
        <x:f>IF(COUNT(BS157,AX157)&lt;2,"unknown",IF(BS157/AX157-1&gt;=0.2,"high",IF(BS157/AX157-1&lt;=-0.2,"low","normal")))</x:f>
        <x:v>unknown</x:v>
      </x:c>
      <x:c r="BY157" s="65" t="str">
        <x:f>IF(COUNT(BT157,AY157)&lt;2,"unknown",IF(BT157/AY157-1&gt;=0.2,"high",IF(BT157/AY157-1&lt;=-0.2,"low","normal")))</x:f>
        <x:v>unknown</x:v>
      </x:c>
      <x:c r="BZ157" s="65" t="str">
        <x:f>IF(COUNT(BU157,AZ157)&lt;2,"unknown",IF(BU157/AZ157-1&gt;=0.2,"high",IF(BU157/AZ157-1&lt;=-0.2,"low","normal")))</x:f>
        <x:v>unknown</x:v>
      </x:c>
      <x:c r="CA157" s="65" t="str">
        <x:f>IF(T157&lt;&gt;"complete","pending",IF(OR(L157&lt;&gt;"pure",U157="true",COUNT(BM157,AT157)&lt;2,AND(AC157&lt;&gt;"",COUNT(BO157,AU157)&lt;2)),"not_attributable","attributable"))</x:f>
        <x:v>pending</x:v>
      </x:c>
      <x:c r="CB157" s="65" t="str">
        <x:f>IF(T157&lt;&gt;"complete","not_evaluated",IF(COUNT(BM157,AT157)&lt;2,"insufficient_data",IF(AND(AC157&lt;&gt;"",COUNT(BP157)=1,BP157&lt;=-0.2),"guardrail_fail",IF(AND(CA157="not_attributable",OR(BV157="high",BN157&gt;=0.2)),"watchlist",IF(CA157&lt;&gt;"attributable","insufficient_data",IF(BN157&gt;=0.2,"win",IF(BN157&lt;=-0.2,"loss","inconclusive")))))))</x:f>
        <x:v>not_evaluated</x:v>
      </x:c>
      <x:c r="CC157" s="65" t="str">
        <x:f>IF(T157&lt;&gt;"complete","COLLECT_MORE_DATA",IF(COUNT(BM157,AT157)&lt;2,"FIX_TRACKING",IF(CB157="guardrail_fail","STOP_VARIANT_GUARDRAIL",IF(CB157="watchlist","WATCHLIST_ONLY",IF(AND(BV157="high",BY157="low"),"KEEP_HOOK_REWRITE_CTA",IF(AND(BW157="high",BX157="low"),"KEEP_STRUCTURE_CHANGE_DISCUSSION_ANGLE",IF(AND(BX157="high",BZ157="low"),"DOWNWEIGHT_TEMPLATE",IF(CB157="win","RETEST_WINNER",IF(CB157="loss","RETURN_TO_BASELINE","COLLECT_MORE_DATA")))))))))</x:f>
        <x:v>COLLECT_MORE_DATA</x:v>
      </x:c>
      <x:c r="CD157" s="75"/>
    </x:row>
    <x:row r="158">
      <x:c r="A158" s="68"/>
      <x:c r="B158" s="69"/>
      <x:c r="C158" s="68"/>
      <x:c r="D158" s="68"/>
      <x:c r="E158" s="68"/>
      <x:c r="F158" s="68"/>
      <x:c r="G158" s="68"/>
      <x:c r="H158" s="70"/>
      <x:c r="I158" s="68"/>
      <x:c r="J158" s="68"/>
      <x:c r="K158" s="68"/>
      <x:c r="L158" s="71" t="str">
        <x:f>IF(K158="","unknown",IF(K158=0,"baseline",IF(K158=1,"pure","mixed")))</x:f>
        <x:v>unknown</x:v>
      </x:c>
      <x:c r="M158" s="68"/>
      <x:c r="N158" s="68"/>
      <x:c r="O158" s="68"/>
      <x:c r="P158" s="68"/>
      <x:c r="Q158" s="68"/>
      <x:c r="R158" s="68"/>
      <x:c r="S158" s="68"/>
      <x:c r="T158" s="68"/>
      <x:c r="U158" s="68"/>
      <x:c r="V158" s="68"/>
      <x:c r="W158" s="68"/>
      <x:c r="X158" s="68"/>
      <x:c r="Y158" s="68"/>
      <x:c r="Z158" s="68"/>
      <x:c r="AA158" s="68"/>
      <x:c r="AB158" s="68"/>
      <x:c r="AC158" s="68"/>
      <x:c r="AD158" s="70"/>
      <x:c r="AE158" s="70"/>
      <x:c r="AF158" s="70"/>
      <x:c r="AG158" s="70"/>
      <x:c r="AH158" s="70"/>
      <x:c r="AI158" s="70"/>
      <x:c r="AJ158" s="70"/>
      <x:c r="AK158" s="70"/>
      <x:c r="AL158" s="70"/>
      <x:c r="AM158" s="70"/>
      <x:c r="AN158" s="70"/>
      <x:c r="AO158" s="70"/>
      <x:c r="AP158" s="70"/>
      <x:c r="AQ158" s="70"/>
      <x:c r="AR158" s="70"/>
      <x:c r="AS158" s="70"/>
      <x:c r="AT158" s="72"/>
      <x:c r="AU158" s="72"/>
      <x:c r="AV158" s="72"/>
      <x:c r="AW158" s="72"/>
      <x:c r="AX158" s="72"/>
      <x:c r="AY158" s="72"/>
      <x:c r="AZ158" s="72"/>
      <x:c r="BA158" s="73" t="str">
        <x:f>IF(C158="xiaohongshu",IF(COUNT(AF158,AE158)&lt;2,"",IFERROR(AF158/AE158,"")),"")</x:f>
      </x:c>
      <x:c r="BB158" s="73" t="str">
        <x:f>IF(C158="xiaohongshu",IF(COUNT(AG158,AE158)&lt;2,"",IFERROR(AG158/AE158,"")),"")</x:f>
      </x:c>
      <x:c r="BC158" s="73" t="str">
        <x:f>IF(C158="xiaohongshu",IF(COUNT(AN158,AE158)&lt;2,"",IFERROR(AN158/AE158,"")),"")</x:f>
      </x:c>
      <x:c r="BD158" s="73" t="str">
        <x:f>IF(C158="xiaohongshu",IF(COUNT(AQ158,AE158)&lt;2,"",IFERROR(AQ158/AE158,"")),"")</x:f>
      </x:c>
      <x:c r="BE158" s="73" t="str">
        <x:f>IF(C158="xiaohongshu",IF(COUNT(AI158,AE158)&lt;2,"",IFERROR(AI158/AE158,"")),"")</x:f>
      </x:c>
      <x:c r="BF158" s="73" t="str">
        <x:f>IF(C158="xiaohongshu",IF(OR(COUNT(AE158)=0,COUNT(AR158,AS158)=0),"",IFERROR((AR158+AS158)/AE158,"")),"")</x:f>
      </x:c>
      <x:c r="BG158" s="73" t="str">
        <x:f>IF(C158="x",IF(COUNT(AD158)=0,"",IF(COUNT(AM158)=1,IFERROR(AM158/AD158,""),IF(COUNT(AH158,AI158,AK158,AL158)=0,"",IFERROR(SUM(AH158,AI158,AK158,AL158)/AD158,"")))),"")</x:f>
      </x:c>
      <x:c r="BH158" s="73" t="str">
        <x:f>IF(C158="x",IF(COUNT(AJ158,AD158)&lt;2,"",IFERROR(AJ158/AD158,"")),"")</x:f>
      </x:c>
      <x:c r="BI158" s="73" t="str">
        <x:f>IF(C158="x",IF(COUNT(AO158,AD158)&lt;2,"",IFERROR(AO158/AD158,"")),"")</x:f>
      </x:c>
      <x:c r="BJ158" s="73" t="str">
        <x:f>IF(C158="x",IF(COUNT(AP158,AD158)&lt;2,"",IFERROR(AP158/AD158,"")),"")</x:f>
      </x:c>
      <x:c r="BK158" s="73" t="str">
        <x:f>IF(C158="x",IF(COUNT(AL158,AD158)&lt;2,"",IFERROR(AL158/AD158,"")),"")</x:f>
      </x:c>
      <x:c r="BL158" s="73" t="str">
        <x:f>IF(C158="x",IF(OR(COUNT(AD158)=0,COUNT(AR158,AS158)=0),"",IFERROR((AR158+AS158)/AD158,"")),"")</x:f>
      </x:c>
      <x:c r="BM158" s="73" t="str">
        <x:f>IF(AB158="xhs_save_rate",BA158,IF(AB158="xhs_completion_rate",BB158,IF(AB158="xhs_profile_visit_rate",BC158,IF(AB158="xhs_dm_intent_rate",BD158,IF(AB158="xhs_discussion_rate",BE158,IF(AB158="xhs_product_relevance_rate",BF158,IF(AB158="x_first_screen_engaged_rate_proxy",BG158,IF(AB158="x_qualified_reply_rate",BH158,IF(AB158="x_profile_click_rate",BI158,IF(AB158="x_link_intent_rate",BJ158,IF(AB158="x_bookmark_rate",BK158,IF(AB158="x_product_relevance_rate",BL158,""))))))))))))</x:f>
      </x:c>
      <x:c r="BN158" s="73" t="str">
        <x:f>IFERROR(BM158/AT158-1,"")</x:f>
      </x:c>
      <x:c r="BO158" s="73" t="str">
        <x:f>IF(AC158="","",IF(AC158="xhs_save_rate",BA158,IF(AC158="xhs_completion_rate",BB158,IF(AC158="xhs_profile_visit_rate",BC158,IF(AC158="xhs_dm_intent_rate",BD158,IF(AC158="xhs_discussion_rate",BE158,IF(AC158="xhs_product_relevance_rate",BF158,IF(AC158="x_first_screen_engaged_rate_proxy",BG158,IF(AC158="x_qualified_reply_rate",BH158,IF(AC158="x_profile_click_rate",BI158,IF(AC158="x_link_intent_rate",BJ158,IF(AC158="x_bookmark_rate",BK158,IF(AC158="x_product_relevance_rate",BL158,"")))))))))))))</x:f>
      </x:c>
      <x:c r="BP158" s="73" t="str">
        <x:f>IFERROR(BO158/AU158-1,"")</x:f>
      </x:c>
      <x:c r="BQ158" s="74" t="str">
        <x:f>IF(COUNT(AD158)=0,"",AD158)</x:f>
      </x:c>
      <x:c r="BR158" s="73" t="str">
        <x:f>IF(C158="xiaohongshu",IF(COUNT(BA158,BB158)=2,AVERAGE(BA158,BB158),IF(COUNT(BA158)=1,BA158,BB158)),BK158)</x:f>
      </x:c>
      <x:c r="BS158" s="73" t="str">
        <x:f>IF(C158="xiaohongshu",BE158,BH158)</x:f>
      </x:c>
      <x:c r="BT158" s="73" t="str">
        <x:f>IF(C158="xiaohongshu",IF(I158="save",BA158,IF(I158="discussion",BE158,IF(I158="profile_visit",BC158,IF(I158="dm",BD158,IF(OR(I158="product_question",I158="trial_intent"),BF158,""))))),IF(I158="save",BK158,IF(I158="discussion",BH158,IF(OR(I158="profile_visit",I158="dm"),BI158,IF(I158="link_click",BJ158,IF(OR(I158="product_question",I158="trial_intent"),BL158,""))))))</x:f>
      </x:c>
      <x:c r="BU158" s="73" t="str">
        <x:f>IF(C158="xiaohongshu",BF158,BL158)</x:f>
      </x:c>
      <x:c r="BV158" s="65" t="str">
        <x:f>IF(COUNT(BQ158,AV158)&lt;2,"unknown",IF(BQ158/AV158-1&gt;=0.2,"high",IF(BQ158/AV158-1&lt;=-0.2,"low","normal")))</x:f>
        <x:v>unknown</x:v>
      </x:c>
      <x:c r="BW158" s="65" t="str">
        <x:f>IF(COUNT(BR158,AW158)&lt;2,"unknown",IF(BR158/AW158-1&gt;=0.2,"high",IF(BR158/AW158-1&lt;=-0.2,"low","normal")))</x:f>
        <x:v>unknown</x:v>
      </x:c>
      <x:c r="BX158" s="65" t="str">
        <x:f>IF(COUNT(BS158,AX158)&lt;2,"unknown",IF(BS158/AX158-1&gt;=0.2,"high",IF(BS158/AX158-1&lt;=-0.2,"low","normal")))</x:f>
        <x:v>unknown</x:v>
      </x:c>
      <x:c r="BY158" s="65" t="str">
        <x:f>IF(COUNT(BT158,AY158)&lt;2,"unknown",IF(BT158/AY158-1&gt;=0.2,"high",IF(BT158/AY158-1&lt;=-0.2,"low","normal")))</x:f>
        <x:v>unknown</x:v>
      </x:c>
      <x:c r="BZ158" s="65" t="str">
        <x:f>IF(COUNT(BU158,AZ158)&lt;2,"unknown",IF(BU158/AZ158-1&gt;=0.2,"high",IF(BU158/AZ158-1&lt;=-0.2,"low","normal")))</x:f>
        <x:v>unknown</x:v>
      </x:c>
      <x:c r="CA158" s="65" t="str">
        <x:f>IF(T158&lt;&gt;"complete","pending",IF(OR(L158&lt;&gt;"pure",U158="true",COUNT(BM158,AT158)&lt;2,AND(AC158&lt;&gt;"",COUNT(BO158,AU158)&lt;2)),"not_attributable","attributable"))</x:f>
        <x:v>pending</x:v>
      </x:c>
      <x:c r="CB158" s="65" t="str">
        <x:f>IF(T158&lt;&gt;"complete","not_evaluated",IF(COUNT(BM158,AT158)&lt;2,"insufficient_data",IF(AND(AC158&lt;&gt;"",COUNT(BP158)=1,BP158&lt;=-0.2),"guardrail_fail",IF(AND(CA158="not_attributable",OR(BV158="high",BN158&gt;=0.2)),"watchlist",IF(CA158&lt;&gt;"attributable","insufficient_data",IF(BN158&gt;=0.2,"win",IF(BN158&lt;=-0.2,"loss","inconclusive")))))))</x:f>
        <x:v>not_evaluated</x:v>
      </x:c>
      <x:c r="CC158" s="65" t="str">
        <x:f>IF(T158&lt;&gt;"complete","COLLECT_MORE_DATA",IF(COUNT(BM158,AT158)&lt;2,"FIX_TRACKING",IF(CB158="guardrail_fail","STOP_VARIANT_GUARDRAIL",IF(CB158="watchlist","WATCHLIST_ONLY",IF(AND(BV158="high",BY158="low"),"KEEP_HOOK_REWRITE_CTA",IF(AND(BW158="high",BX158="low"),"KEEP_STRUCTURE_CHANGE_DISCUSSION_ANGLE",IF(AND(BX158="high",BZ158="low"),"DOWNWEIGHT_TEMPLATE",IF(CB158="win","RETEST_WINNER",IF(CB158="loss","RETURN_TO_BASELINE","COLLECT_MORE_DATA")))))))))</x:f>
        <x:v>COLLECT_MORE_DATA</x:v>
      </x:c>
      <x:c r="CD158" s="75"/>
    </x:row>
    <x:row r="159">
      <x:c r="A159" s="68"/>
      <x:c r="B159" s="69"/>
      <x:c r="C159" s="68"/>
      <x:c r="D159" s="68"/>
      <x:c r="E159" s="68"/>
      <x:c r="F159" s="68"/>
      <x:c r="G159" s="68"/>
      <x:c r="H159" s="70"/>
      <x:c r="I159" s="68"/>
      <x:c r="J159" s="68"/>
      <x:c r="K159" s="68"/>
      <x:c r="L159" s="71" t="str">
        <x:f>IF(K159="","unknown",IF(K159=0,"baseline",IF(K159=1,"pure","mixed")))</x:f>
        <x:v>unknown</x:v>
      </x:c>
      <x:c r="M159" s="68"/>
      <x:c r="N159" s="68"/>
      <x:c r="O159" s="68"/>
      <x:c r="P159" s="68"/>
      <x:c r="Q159" s="68"/>
      <x:c r="R159" s="68"/>
      <x:c r="S159" s="68"/>
      <x:c r="T159" s="68"/>
      <x:c r="U159" s="68"/>
      <x:c r="V159" s="68"/>
      <x:c r="W159" s="68"/>
      <x:c r="X159" s="68"/>
      <x:c r="Y159" s="68"/>
      <x:c r="Z159" s="68"/>
      <x:c r="AA159" s="68"/>
      <x:c r="AB159" s="68"/>
      <x:c r="AC159" s="68"/>
      <x:c r="AD159" s="70"/>
      <x:c r="AE159" s="70"/>
      <x:c r="AF159" s="70"/>
      <x:c r="AG159" s="70"/>
      <x:c r="AH159" s="70"/>
      <x:c r="AI159" s="70"/>
      <x:c r="AJ159" s="70"/>
      <x:c r="AK159" s="70"/>
      <x:c r="AL159" s="70"/>
      <x:c r="AM159" s="70"/>
      <x:c r="AN159" s="70"/>
      <x:c r="AO159" s="70"/>
      <x:c r="AP159" s="70"/>
      <x:c r="AQ159" s="70"/>
      <x:c r="AR159" s="70"/>
      <x:c r="AS159" s="70"/>
      <x:c r="AT159" s="72"/>
      <x:c r="AU159" s="72"/>
      <x:c r="AV159" s="72"/>
      <x:c r="AW159" s="72"/>
      <x:c r="AX159" s="72"/>
      <x:c r="AY159" s="72"/>
      <x:c r="AZ159" s="72"/>
      <x:c r="BA159" s="73" t="str">
        <x:f>IF(C159="xiaohongshu",IF(COUNT(AF159,AE159)&lt;2,"",IFERROR(AF159/AE159,"")),"")</x:f>
      </x:c>
      <x:c r="BB159" s="73" t="str">
        <x:f>IF(C159="xiaohongshu",IF(COUNT(AG159,AE159)&lt;2,"",IFERROR(AG159/AE159,"")),"")</x:f>
      </x:c>
      <x:c r="BC159" s="73" t="str">
        <x:f>IF(C159="xiaohongshu",IF(COUNT(AN159,AE159)&lt;2,"",IFERROR(AN159/AE159,"")),"")</x:f>
      </x:c>
      <x:c r="BD159" s="73" t="str">
        <x:f>IF(C159="xiaohongshu",IF(COUNT(AQ159,AE159)&lt;2,"",IFERROR(AQ159/AE159,"")),"")</x:f>
      </x:c>
      <x:c r="BE159" s="73" t="str">
        <x:f>IF(C159="xiaohongshu",IF(COUNT(AI159,AE159)&lt;2,"",IFERROR(AI159/AE159,"")),"")</x:f>
      </x:c>
      <x:c r="BF159" s="73" t="str">
        <x:f>IF(C159="xiaohongshu",IF(OR(COUNT(AE159)=0,COUNT(AR159,AS159)=0),"",IFERROR((AR159+AS159)/AE159,"")),"")</x:f>
      </x:c>
      <x:c r="BG159" s="73" t="str">
        <x:f>IF(C159="x",IF(COUNT(AD159)=0,"",IF(COUNT(AM159)=1,IFERROR(AM159/AD159,""),IF(COUNT(AH159,AI159,AK159,AL159)=0,"",IFERROR(SUM(AH159,AI159,AK159,AL159)/AD159,"")))),"")</x:f>
      </x:c>
      <x:c r="BH159" s="73" t="str">
        <x:f>IF(C159="x",IF(COUNT(AJ159,AD159)&lt;2,"",IFERROR(AJ159/AD159,"")),"")</x:f>
      </x:c>
      <x:c r="BI159" s="73" t="str">
        <x:f>IF(C159="x",IF(COUNT(AO159,AD159)&lt;2,"",IFERROR(AO159/AD159,"")),"")</x:f>
      </x:c>
      <x:c r="BJ159" s="73" t="str">
        <x:f>IF(C159="x",IF(COUNT(AP159,AD159)&lt;2,"",IFERROR(AP159/AD159,"")),"")</x:f>
      </x:c>
      <x:c r="BK159" s="73" t="str">
        <x:f>IF(C159="x",IF(COUNT(AL159,AD159)&lt;2,"",IFERROR(AL159/AD159,"")),"")</x:f>
      </x:c>
      <x:c r="BL159" s="73" t="str">
        <x:f>IF(C159="x",IF(OR(COUNT(AD159)=0,COUNT(AR159,AS159)=0),"",IFERROR((AR159+AS159)/AD159,"")),"")</x:f>
      </x:c>
      <x:c r="BM159" s="73" t="str">
        <x:f>IF(AB159="xhs_save_rate",BA159,IF(AB159="xhs_completion_rate",BB159,IF(AB159="xhs_profile_visit_rate",BC159,IF(AB159="xhs_dm_intent_rate",BD159,IF(AB159="xhs_discussion_rate",BE159,IF(AB159="xhs_product_relevance_rate",BF159,IF(AB159="x_first_screen_engaged_rate_proxy",BG159,IF(AB159="x_qualified_reply_rate",BH159,IF(AB159="x_profile_click_rate",BI159,IF(AB159="x_link_intent_rate",BJ159,IF(AB159="x_bookmark_rate",BK159,IF(AB159="x_product_relevance_rate",BL159,""))))))))))))</x:f>
      </x:c>
      <x:c r="BN159" s="73" t="str">
        <x:f>IFERROR(BM159/AT159-1,"")</x:f>
      </x:c>
      <x:c r="BO159" s="73" t="str">
        <x:f>IF(AC159="","",IF(AC159="xhs_save_rate",BA159,IF(AC159="xhs_completion_rate",BB159,IF(AC159="xhs_profile_visit_rate",BC159,IF(AC159="xhs_dm_intent_rate",BD159,IF(AC159="xhs_discussion_rate",BE159,IF(AC159="xhs_product_relevance_rate",BF159,IF(AC159="x_first_screen_engaged_rate_proxy",BG159,IF(AC159="x_qualified_reply_rate",BH159,IF(AC159="x_profile_click_rate",BI159,IF(AC159="x_link_intent_rate",BJ159,IF(AC159="x_bookmark_rate",BK159,IF(AC159="x_product_relevance_rate",BL159,"")))))))))))))</x:f>
      </x:c>
      <x:c r="BP159" s="73" t="str">
        <x:f>IFERROR(BO159/AU159-1,"")</x:f>
      </x:c>
      <x:c r="BQ159" s="74" t="str">
        <x:f>IF(COUNT(AD159)=0,"",AD159)</x:f>
      </x:c>
      <x:c r="BR159" s="73" t="str">
        <x:f>IF(C159="xiaohongshu",IF(COUNT(BA159,BB159)=2,AVERAGE(BA159,BB159),IF(COUNT(BA159)=1,BA159,BB159)),BK159)</x:f>
      </x:c>
      <x:c r="BS159" s="73" t="str">
        <x:f>IF(C159="xiaohongshu",BE159,BH159)</x:f>
      </x:c>
      <x:c r="BT159" s="73" t="str">
        <x:f>IF(C159="xiaohongshu",IF(I159="save",BA159,IF(I159="discussion",BE159,IF(I159="profile_visit",BC159,IF(I159="dm",BD159,IF(OR(I159="product_question",I159="trial_intent"),BF159,""))))),IF(I159="save",BK159,IF(I159="discussion",BH159,IF(OR(I159="profile_visit",I159="dm"),BI159,IF(I159="link_click",BJ159,IF(OR(I159="product_question",I159="trial_intent"),BL159,""))))))</x:f>
      </x:c>
      <x:c r="BU159" s="73" t="str">
        <x:f>IF(C159="xiaohongshu",BF159,BL159)</x:f>
      </x:c>
      <x:c r="BV159" s="65" t="str">
        <x:f>IF(COUNT(BQ159,AV159)&lt;2,"unknown",IF(BQ159/AV159-1&gt;=0.2,"high",IF(BQ159/AV159-1&lt;=-0.2,"low","normal")))</x:f>
        <x:v>unknown</x:v>
      </x:c>
      <x:c r="BW159" s="65" t="str">
        <x:f>IF(COUNT(BR159,AW159)&lt;2,"unknown",IF(BR159/AW159-1&gt;=0.2,"high",IF(BR159/AW159-1&lt;=-0.2,"low","normal")))</x:f>
        <x:v>unknown</x:v>
      </x:c>
      <x:c r="BX159" s="65" t="str">
        <x:f>IF(COUNT(BS159,AX159)&lt;2,"unknown",IF(BS159/AX159-1&gt;=0.2,"high",IF(BS159/AX159-1&lt;=-0.2,"low","normal")))</x:f>
        <x:v>unknown</x:v>
      </x:c>
      <x:c r="BY159" s="65" t="str">
        <x:f>IF(COUNT(BT159,AY159)&lt;2,"unknown",IF(BT159/AY159-1&gt;=0.2,"high",IF(BT159/AY159-1&lt;=-0.2,"low","normal")))</x:f>
        <x:v>unknown</x:v>
      </x:c>
      <x:c r="BZ159" s="65" t="str">
        <x:f>IF(COUNT(BU159,AZ159)&lt;2,"unknown",IF(BU159/AZ159-1&gt;=0.2,"high",IF(BU159/AZ159-1&lt;=-0.2,"low","normal")))</x:f>
        <x:v>unknown</x:v>
      </x:c>
      <x:c r="CA159" s="65" t="str">
        <x:f>IF(T159&lt;&gt;"complete","pending",IF(OR(L159&lt;&gt;"pure",U159="true",COUNT(BM159,AT159)&lt;2,AND(AC159&lt;&gt;"",COUNT(BO159,AU159)&lt;2)),"not_attributable","attributable"))</x:f>
        <x:v>pending</x:v>
      </x:c>
      <x:c r="CB159" s="65" t="str">
        <x:f>IF(T159&lt;&gt;"complete","not_evaluated",IF(COUNT(BM159,AT159)&lt;2,"insufficient_data",IF(AND(AC159&lt;&gt;"",COUNT(BP159)=1,BP159&lt;=-0.2),"guardrail_fail",IF(AND(CA159="not_attributable",OR(BV159="high",BN159&gt;=0.2)),"watchlist",IF(CA159&lt;&gt;"attributable","insufficient_data",IF(BN159&gt;=0.2,"win",IF(BN159&lt;=-0.2,"loss","inconclusive")))))))</x:f>
        <x:v>not_evaluated</x:v>
      </x:c>
      <x:c r="CC159" s="65" t="str">
        <x:f>IF(T159&lt;&gt;"complete","COLLECT_MORE_DATA",IF(COUNT(BM159,AT159)&lt;2,"FIX_TRACKING",IF(CB159="guardrail_fail","STOP_VARIANT_GUARDRAIL",IF(CB159="watchlist","WATCHLIST_ONLY",IF(AND(BV159="high",BY159="low"),"KEEP_HOOK_REWRITE_CTA",IF(AND(BW159="high",BX159="low"),"KEEP_STRUCTURE_CHANGE_DISCUSSION_ANGLE",IF(AND(BX159="high",BZ159="low"),"DOWNWEIGHT_TEMPLATE",IF(CB159="win","RETEST_WINNER",IF(CB159="loss","RETURN_TO_BASELINE","COLLECT_MORE_DATA")))))))))</x:f>
        <x:v>COLLECT_MORE_DATA</x:v>
      </x:c>
      <x:c r="CD159" s="75"/>
    </x:row>
    <x:row r="160">
      <x:c r="A160" s="68"/>
      <x:c r="B160" s="69"/>
      <x:c r="C160" s="68"/>
      <x:c r="D160" s="68"/>
      <x:c r="E160" s="68"/>
      <x:c r="F160" s="68"/>
      <x:c r="G160" s="68"/>
      <x:c r="H160" s="70"/>
      <x:c r="I160" s="68"/>
      <x:c r="J160" s="68"/>
      <x:c r="K160" s="68"/>
      <x:c r="L160" s="71" t="str">
        <x:f>IF(K160="","unknown",IF(K160=0,"baseline",IF(K160=1,"pure","mixed")))</x:f>
        <x:v>unknown</x:v>
      </x:c>
      <x:c r="M160" s="68"/>
      <x:c r="N160" s="68"/>
      <x:c r="O160" s="68"/>
      <x:c r="P160" s="68"/>
      <x:c r="Q160" s="68"/>
      <x:c r="R160" s="68"/>
      <x:c r="S160" s="68"/>
      <x:c r="T160" s="68"/>
      <x:c r="U160" s="68"/>
      <x:c r="V160" s="68"/>
      <x:c r="W160" s="68"/>
      <x:c r="X160" s="68"/>
      <x:c r="Y160" s="68"/>
      <x:c r="Z160" s="68"/>
      <x:c r="AA160" s="68"/>
      <x:c r="AB160" s="68"/>
      <x:c r="AC160" s="68"/>
      <x:c r="AD160" s="70"/>
      <x:c r="AE160" s="70"/>
      <x:c r="AF160" s="70"/>
      <x:c r="AG160" s="70"/>
      <x:c r="AH160" s="70"/>
      <x:c r="AI160" s="70"/>
      <x:c r="AJ160" s="70"/>
      <x:c r="AK160" s="70"/>
      <x:c r="AL160" s="70"/>
      <x:c r="AM160" s="70"/>
      <x:c r="AN160" s="70"/>
      <x:c r="AO160" s="70"/>
      <x:c r="AP160" s="70"/>
      <x:c r="AQ160" s="70"/>
      <x:c r="AR160" s="70"/>
      <x:c r="AS160" s="70"/>
      <x:c r="AT160" s="72"/>
      <x:c r="AU160" s="72"/>
      <x:c r="AV160" s="72"/>
      <x:c r="AW160" s="72"/>
      <x:c r="AX160" s="72"/>
      <x:c r="AY160" s="72"/>
      <x:c r="AZ160" s="72"/>
      <x:c r="BA160" s="73" t="str">
        <x:f>IF(C160="xiaohongshu",IF(COUNT(AF160,AE160)&lt;2,"",IFERROR(AF160/AE160,"")),"")</x:f>
      </x:c>
      <x:c r="BB160" s="73" t="str">
        <x:f>IF(C160="xiaohongshu",IF(COUNT(AG160,AE160)&lt;2,"",IFERROR(AG160/AE160,"")),"")</x:f>
      </x:c>
      <x:c r="BC160" s="73" t="str">
        <x:f>IF(C160="xiaohongshu",IF(COUNT(AN160,AE160)&lt;2,"",IFERROR(AN160/AE160,"")),"")</x:f>
      </x:c>
      <x:c r="BD160" s="73" t="str">
        <x:f>IF(C160="xiaohongshu",IF(COUNT(AQ160,AE160)&lt;2,"",IFERROR(AQ160/AE160,"")),"")</x:f>
      </x:c>
      <x:c r="BE160" s="73" t="str">
        <x:f>IF(C160="xiaohongshu",IF(COUNT(AI160,AE160)&lt;2,"",IFERROR(AI160/AE160,"")),"")</x:f>
      </x:c>
      <x:c r="BF160" s="73" t="str">
        <x:f>IF(C160="xiaohongshu",IF(OR(COUNT(AE160)=0,COUNT(AR160,AS160)=0),"",IFERROR((AR160+AS160)/AE160,"")),"")</x:f>
      </x:c>
      <x:c r="BG160" s="73" t="str">
        <x:f>IF(C160="x",IF(COUNT(AD160)=0,"",IF(COUNT(AM160)=1,IFERROR(AM160/AD160,""),IF(COUNT(AH160,AI160,AK160,AL160)=0,"",IFERROR(SUM(AH160,AI160,AK160,AL160)/AD160,"")))),"")</x:f>
      </x:c>
      <x:c r="BH160" s="73" t="str">
        <x:f>IF(C160="x",IF(COUNT(AJ160,AD160)&lt;2,"",IFERROR(AJ160/AD160,"")),"")</x:f>
      </x:c>
      <x:c r="BI160" s="73" t="str">
        <x:f>IF(C160="x",IF(COUNT(AO160,AD160)&lt;2,"",IFERROR(AO160/AD160,"")),"")</x:f>
      </x:c>
      <x:c r="BJ160" s="73" t="str">
        <x:f>IF(C160="x",IF(COUNT(AP160,AD160)&lt;2,"",IFERROR(AP160/AD160,"")),"")</x:f>
      </x:c>
      <x:c r="BK160" s="73" t="str">
        <x:f>IF(C160="x",IF(COUNT(AL160,AD160)&lt;2,"",IFERROR(AL160/AD160,"")),"")</x:f>
      </x:c>
      <x:c r="BL160" s="73" t="str">
        <x:f>IF(C160="x",IF(OR(COUNT(AD160)=0,COUNT(AR160,AS160)=0),"",IFERROR((AR160+AS160)/AD160,"")),"")</x:f>
      </x:c>
      <x:c r="BM160" s="73" t="str">
        <x:f>IF(AB160="xhs_save_rate",BA160,IF(AB160="xhs_completion_rate",BB160,IF(AB160="xhs_profile_visit_rate",BC160,IF(AB160="xhs_dm_intent_rate",BD160,IF(AB160="xhs_discussion_rate",BE160,IF(AB160="xhs_product_relevance_rate",BF160,IF(AB160="x_first_screen_engaged_rate_proxy",BG160,IF(AB160="x_qualified_reply_rate",BH160,IF(AB160="x_profile_click_rate",BI160,IF(AB160="x_link_intent_rate",BJ160,IF(AB160="x_bookmark_rate",BK160,IF(AB160="x_product_relevance_rate",BL160,""))))))))))))</x:f>
      </x:c>
      <x:c r="BN160" s="73" t="str">
        <x:f>IFERROR(BM160/AT160-1,"")</x:f>
      </x:c>
      <x:c r="BO160" s="73" t="str">
        <x:f>IF(AC160="","",IF(AC160="xhs_save_rate",BA160,IF(AC160="xhs_completion_rate",BB160,IF(AC160="xhs_profile_visit_rate",BC160,IF(AC160="xhs_dm_intent_rate",BD160,IF(AC160="xhs_discussion_rate",BE160,IF(AC160="xhs_product_relevance_rate",BF160,IF(AC160="x_first_screen_engaged_rate_proxy",BG160,IF(AC160="x_qualified_reply_rate",BH160,IF(AC160="x_profile_click_rate",BI160,IF(AC160="x_link_intent_rate",BJ160,IF(AC160="x_bookmark_rate",BK160,IF(AC160="x_product_relevance_rate",BL160,"")))))))))))))</x:f>
      </x:c>
      <x:c r="BP160" s="73" t="str">
        <x:f>IFERROR(BO160/AU160-1,"")</x:f>
      </x:c>
      <x:c r="BQ160" s="74" t="str">
        <x:f>IF(COUNT(AD160)=0,"",AD160)</x:f>
      </x:c>
      <x:c r="BR160" s="73" t="str">
        <x:f>IF(C160="xiaohongshu",IF(COUNT(BA160,BB160)=2,AVERAGE(BA160,BB160),IF(COUNT(BA160)=1,BA160,BB160)),BK160)</x:f>
      </x:c>
      <x:c r="BS160" s="73" t="str">
        <x:f>IF(C160="xiaohongshu",BE160,BH160)</x:f>
      </x:c>
      <x:c r="BT160" s="73" t="str">
        <x:f>IF(C160="xiaohongshu",IF(I160="save",BA160,IF(I160="discussion",BE160,IF(I160="profile_visit",BC160,IF(I160="dm",BD160,IF(OR(I160="product_question",I160="trial_intent"),BF160,""))))),IF(I160="save",BK160,IF(I160="discussion",BH160,IF(OR(I160="profile_visit",I160="dm"),BI160,IF(I160="link_click",BJ160,IF(OR(I160="product_question",I160="trial_intent"),BL160,""))))))</x:f>
      </x:c>
      <x:c r="BU160" s="73" t="str">
        <x:f>IF(C160="xiaohongshu",BF160,BL160)</x:f>
      </x:c>
      <x:c r="BV160" s="65" t="str">
        <x:f>IF(COUNT(BQ160,AV160)&lt;2,"unknown",IF(BQ160/AV160-1&gt;=0.2,"high",IF(BQ160/AV160-1&lt;=-0.2,"low","normal")))</x:f>
        <x:v>unknown</x:v>
      </x:c>
      <x:c r="BW160" s="65" t="str">
        <x:f>IF(COUNT(BR160,AW160)&lt;2,"unknown",IF(BR160/AW160-1&gt;=0.2,"high",IF(BR160/AW160-1&lt;=-0.2,"low","normal")))</x:f>
        <x:v>unknown</x:v>
      </x:c>
      <x:c r="BX160" s="65" t="str">
        <x:f>IF(COUNT(BS160,AX160)&lt;2,"unknown",IF(BS160/AX160-1&gt;=0.2,"high",IF(BS160/AX160-1&lt;=-0.2,"low","normal")))</x:f>
        <x:v>unknown</x:v>
      </x:c>
      <x:c r="BY160" s="65" t="str">
        <x:f>IF(COUNT(BT160,AY160)&lt;2,"unknown",IF(BT160/AY160-1&gt;=0.2,"high",IF(BT160/AY160-1&lt;=-0.2,"low","normal")))</x:f>
        <x:v>unknown</x:v>
      </x:c>
      <x:c r="BZ160" s="65" t="str">
        <x:f>IF(COUNT(BU160,AZ160)&lt;2,"unknown",IF(BU160/AZ160-1&gt;=0.2,"high",IF(BU160/AZ160-1&lt;=-0.2,"low","normal")))</x:f>
        <x:v>unknown</x:v>
      </x:c>
      <x:c r="CA160" s="65" t="str">
        <x:f>IF(T160&lt;&gt;"complete","pending",IF(OR(L160&lt;&gt;"pure",U160="true",COUNT(BM160,AT160)&lt;2,AND(AC160&lt;&gt;"",COUNT(BO160,AU160)&lt;2)),"not_attributable","attributable"))</x:f>
        <x:v>pending</x:v>
      </x:c>
      <x:c r="CB160" s="65" t="str">
        <x:f>IF(T160&lt;&gt;"complete","not_evaluated",IF(COUNT(BM160,AT160)&lt;2,"insufficient_data",IF(AND(AC160&lt;&gt;"",COUNT(BP160)=1,BP160&lt;=-0.2),"guardrail_fail",IF(AND(CA160="not_attributable",OR(BV160="high",BN160&gt;=0.2)),"watchlist",IF(CA160&lt;&gt;"attributable","insufficient_data",IF(BN160&gt;=0.2,"win",IF(BN160&lt;=-0.2,"loss","inconclusive")))))))</x:f>
        <x:v>not_evaluated</x:v>
      </x:c>
      <x:c r="CC160" s="65" t="str">
        <x:f>IF(T160&lt;&gt;"complete","COLLECT_MORE_DATA",IF(COUNT(BM160,AT160)&lt;2,"FIX_TRACKING",IF(CB160="guardrail_fail","STOP_VARIANT_GUARDRAIL",IF(CB160="watchlist","WATCHLIST_ONLY",IF(AND(BV160="high",BY160="low"),"KEEP_HOOK_REWRITE_CTA",IF(AND(BW160="high",BX160="low"),"KEEP_STRUCTURE_CHANGE_DISCUSSION_ANGLE",IF(AND(BX160="high",BZ160="low"),"DOWNWEIGHT_TEMPLATE",IF(CB160="win","RETEST_WINNER",IF(CB160="loss","RETURN_TO_BASELINE","COLLECT_MORE_DATA")))))))))</x:f>
        <x:v>COLLECT_MORE_DATA</x:v>
      </x:c>
      <x:c r="CD160" s="75"/>
    </x:row>
    <x:row r="161">
      <x:c r="A161" s="68"/>
      <x:c r="B161" s="69"/>
      <x:c r="C161" s="68"/>
      <x:c r="D161" s="68"/>
      <x:c r="E161" s="68"/>
      <x:c r="F161" s="68"/>
      <x:c r="G161" s="68"/>
      <x:c r="H161" s="70"/>
      <x:c r="I161" s="68"/>
      <x:c r="J161" s="68"/>
      <x:c r="K161" s="68"/>
      <x:c r="L161" s="71" t="str">
        <x:f>IF(K161="","unknown",IF(K161=0,"baseline",IF(K161=1,"pure","mixed")))</x:f>
        <x:v>unknown</x:v>
      </x:c>
      <x:c r="M161" s="68"/>
      <x:c r="N161" s="68"/>
      <x:c r="O161" s="68"/>
      <x:c r="P161" s="68"/>
      <x:c r="Q161" s="68"/>
      <x:c r="R161" s="68"/>
      <x:c r="S161" s="68"/>
      <x:c r="T161" s="68"/>
      <x:c r="U161" s="68"/>
      <x:c r="V161" s="68"/>
      <x:c r="W161" s="68"/>
      <x:c r="X161" s="68"/>
      <x:c r="Y161" s="68"/>
      <x:c r="Z161" s="68"/>
      <x:c r="AA161" s="68"/>
      <x:c r="AB161" s="68"/>
      <x:c r="AC161" s="68"/>
      <x:c r="AD161" s="70"/>
      <x:c r="AE161" s="70"/>
      <x:c r="AF161" s="70"/>
      <x:c r="AG161" s="70"/>
      <x:c r="AH161" s="70"/>
      <x:c r="AI161" s="70"/>
      <x:c r="AJ161" s="70"/>
      <x:c r="AK161" s="70"/>
      <x:c r="AL161" s="70"/>
      <x:c r="AM161" s="70"/>
      <x:c r="AN161" s="70"/>
      <x:c r="AO161" s="70"/>
      <x:c r="AP161" s="70"/>
      <x:c r="AQ161" s="70"/>
      <x:c r="AR161" s="70"/>
      <x:c r="AS161" s="70"/>
      <x:c r="AT161" s="72"/>
      <x:c r="AU161" s="72"/>
      <x:c r="AV161" s="72"/>
      <x:c r="AW161" s="72"/>
      <x:c r="AX161" s="72"/>
      <x:c r="AY161" s="72"/>
      <x:c r="AZ161" s="72"/>
      <x:c r="BA161" s="73" t="str">
        <x:f>IF(C161="xiaohongshu",IF(COUNT(AF161,AE161)&lt;2,"",IFERROR(AF161/AE161,"")),"")</x:f>
      </x:c>
      <x:c r="BB161" s="73" t="str">
        <x:f>IF(C161="xiaohongshu",IF(COUNT(AG161,AE161)&lt;2,"",IFERROR(AG161/AE161,"")),"")</x:f>
      </x:c>
      <x:c r="BC161" s="73" t="str">
        <x:f>IF(C161="xiaohongshu",IF(COUNT(AN161,AE161)&lt;2,"",IFERROR(AN161/AE161,"")),"")</x:f>
      </x:c>
      <x:c r="BD161" s="73" t="str">
        <x:f>IF(C161="xiaohongshu",IF(COUNT(AQ161,AE161)&lt;2,"",IFERROR(AQ161/AE161,"")),"")</x:f>
      </x:c>
      <x:c r="BE161" s="73" t="str">
        <x:f>IF(C161="xiaohongshu",IF(COUNT(AI161,AE161)&lt;2,"",IFERROR(AI161/AE161,"")),"")</x:f>
      </x:c>
      <x:c r="BF161" s="73" t="str">
        <x:f>IF(C161="xiaohongshu",IF(OR(COUNT(AE161)=0,COUNT(AR161,AS161)=0),"",IFERROR((AR161+AS161)/AE161,"")),"")</x:f>
      </x:c>
      <x:c r="BG161" s="73" t="str">
        <x:f>IF(C161="x",IF(COUNT(AD161)=0,"",IF(COUNT(AM161)=1,IFERROR(AM161/AD161,""),IF(COUNT(AH161,AI161,AK161,AL161)=0,"",IFERROR(SUM(AH161,AI161,AK161,AL161)/AD161,"")))),"")</x:f>
      </x:c>
      <x:c r="BH161" s="73" t="str">
        <x:f>IF(C161="x",IF(COUNT(AJ161,AD161)&lt;2,"",IFERROR(AJ161/AD161,"")),"")</x:f>
      </x:c>
      <x:c r="BI161" s="73" t="str">
        <x:f>IF(C161="x",IF(COUNT(AO161,AD161)&lt;2,"",IFERROR(AO161/AD161,"")),"")</x:f>
      </x:c>
      <x:c r="BJ161" s="73" t="str">
        <x:f>IF(C161="x",IF(COUNT(AP161,AD161)&lt;2,"",IFERROR(AP161/AD161,"")),"")</x:f>
      </x:c>
      <x:c r="BK161" s="73" t="str">
        <x:f>IF(C161="x",IF(COUNT(AL161,AD161)&lt;2,"",IFERROR(AL161/AD161,"")),"")</x:f>
      </x:c>
      <x:c r="BL161" s="73" t="str">
        <x:f>IF(C161="x",IF(OR(COUNT(AD161)=0,COUNT(AR161,AS161)=0),"",IFERROR((AR161+AS161)/AD161,"")),"")</x:f>
      </x:c>
      <x:c r="BM161" s="73" t="str">
        <x:f>IF(AB161="xhs_save_rate",BA161,IF(AB161="xhs_completion_rate",BB161,IF(AB161="xhs_profile_visit_rate",BC161,IF(AB161="xhs_dm_intent_rate",BD161,IF(AB161="xhs_discussion_rate",BE161,IF(AB161="xhs_product_relevance_rate",BF161,IF(AB161="x_first_screen_engaged_rate_proxy",BG161,IF(AB161="x_qualified_reply_rate",BH161,IF(AB161="x_profile_click_rate",BI161,IF(AB161="x_link_intent_rate",BJ161,IF(AB161="x_bookmark_rate",BK161,IF(AB161="x_product_relevance_rate",BL161,""))))))))))))</x:f>
      </x:c>
      <x:c r="BN161" s="73" t="str">
        <x:f>IFERROR(BM161/AT161-1,"")</x:f>
      </x:c>
      <x:c r="BO161" s="73" t="str">
        <x:f>IF(AC161="","",IF(AC161="xhs_save_rate",BA161,IF(AC161="xhs_completion_rate",BB161,IF(AC161="xhs_profile_visit_rate",BC161,IF(AC161="xhs_dm_intent_rate",BD161,IF(AC161="xhs_discussion_rate",BE161,IF(AC161="xhs_product_relevance_rate",BF161,IF(AC161="x_first_screen_engaged_rate_proxy",BG161,IF(AC161="x_qualified_reply_rate",BH161,IF(AC161="x_profile_click_rate",BI161,IF(AC161="x_link_intent_rate",BJ161,IF(AC161="x_bookmark_rate",BK161,IF(AC161="x_product_relevance_rate",BL161,"")))))))))))))</x:f>
      </x:c>
      <x:c r="BP161" s="73" t="str">
        <x:f>IFERROR(BO161/AU161-1,"")</x:f>
      </x:c>
      <x:c r="BQ161" s="74" t="str">
        <x:f>IF(COUNT(AD161)=0,"",AD161)</x:f>
      </x:c>
      <x:c r="BR161" s="73" t="str">
        <x:f>IF(C161="xiaohongshu",IF(COUNT(BA161,BB161)=2,AVERAGE(BA161,BB161),IF(COUNT(BA161)=1,BA161,BB161)),BK161)</x:f>
      </x:c>
      <x:c r="BS161" s="73" t="str">
        <x:f>IF(C161="xiaohongshu",BE161,BH161)</x:f>
      </x:c>
      <x:c r="BT161" s="73" t="str">
        <x:f>IF(C161="xiaohongshu",IF(I161="save",BA161,IF(I161="discussion",BE161,IF(I161="profile_visit",BC161,IF(I161="dm",BD161,IF(OR(I161="product_question",I161="trial_intent"),BF161,""))))),IF(I161="save",BK161,IF(I161="discussion",BH161,IF(OR(I161="profile_visit",I161="dm"),BI161,IF(I161="link_click",BJ161,IF(OR(I161="product_question",I161="trial_intent"),BL161,""))))))</x:f>
      </x:c>
      <x:c r="BU161" s="73" t="str">
        <x:f>IF(C161="xiaohongshu",BF161,BL161)</x:f>
      </x:c>
      <x:c r="BV161" s="65" t="str">
        <x:f>IF(COUNT(BQ161,AV161)&lt;2,"unknown",IF(BQ161/AV161-1&gt;=0.2,"high",IF(BQ161/AV161-1&lt;=-0.2,"low","normal")))</x:f>
        <x:v>unknown</x:v>
      </x:c>
      <x:c r="BW161" s="65" t="str">
        <x:f>IF(COUNT(BR161,AW161)&lt;2,"unknown",IF(BR161/AW161-1&gt;=0.2,"high",IF(BR161/AW161-1&lt;=-0.2,"low","normal")))</x:f>
        <x:v>unknown</x:v>
      </x:c>
      <x:c r="BX161" s="65" t="str">
        <x:f>IF(COUNT(BS161,AX161)&lt;2,"unknown",IF(BS161/AX161-1&gt;=0.2,"high",IF(BS161/AX161-1&lt;=-0.2,"low","normal")))</x:f>
        <x:v>unknown</x:v>
      </x:c>
      <x:c r="BY161" s="65" t="str">
        <x:f>IF(COUNT(BT161,AY161)&lt;2,"unknown",IF(BT161/AY161-1&gt;=0.2,"high",IF(BT161/AY161-1&lt;=-0.2,"low","normal")))</x:f>
        <x:v>unknown</x:v>
      </x:c>
      <x:c r="BZ161" s="65" t="str">
        <x:f>IF(COUNT(BU161,AZ161)&lt;2,"unknown",IF(BU161/AZ161-1&gt;=0.2,"high",IF(BU161/AZ161-1&lt;=-0.2,"low","normal")))</x:f>
        <x:v>unknown</x:v>
      </x:c>
      <x:c r="CA161" s="65" t="str">
        <x:f>IF(T161&lt;&gt;"complete","pending",IF(OR(L161&lt;&gt;"pure",U161="true",COUNT(BM161,AT161)&lt;2,AND(AC161&lt;&gt;"",COUNT(BO161,AU161)&lt;2)),"not_attributable","attributable"))</x:f>
        <x:v>pending</x:v>
      </x:c>
      <x:c r="CB161" s="65" t="str">
        <x:f>IF(T161&lt;&gt;"complete","not_evaluated",IF(COUNT(BM161,AT161)&lt;2,"insufficient_data",IF(AND(AC161&lt;&gt;"",COUNT(BP161)=1,BP161&lt;=-0.2),"guardrail_fail",IF(AND(CA161="not_attributable",OR(BV161="high",BN161&gt;=0.2)),"watchlist",IF(CA161&lt;&gt;"attributable","insufficient_data",IF(BN161&gt;=0.2,"win",IF(BN161&lt;=-0.2,"loss","inconclusive")))))))</x:f>
        <x:v>not_evaluated</x:v>
      </x:c>
      <x:c r="CC161" s="65" t="str">
        <x:f>IF(T161&lt;&gt;"complete","COLLECT_MORE_DATA",IF(COUNT(BM161,AT161)&lt;2,"FIX_TRACKING",IF(CB161="guardrail_fail","STOP_VARIANT_GUARDRAIL",IF(CB161="watchlist","WATCHLIST_ONLY",IF(AND(BV161="high",BY161="low"),"KEEP_HOOK_REWRITE_CTA",IF(AND(BW161="high",BX161="low"),"KEEP_STRUCTURE_CHANGE_DISCUSSION_ANGLE",IF(AND(BX161="high",BZ161="low"),"DOWNWEIGHT_TEMPLATE",IF(CB161="win","RETEST_WINNER",IF(CB161="loss","RETURN_TO_BASELINE","COLLECT_MORE_DATA")))))))))</x:f>
        <x:v>COLLECT_MORE_DATA</x:v>
      </x:c>
      <x:c r="CD161" s="75"/>
    </x:row>
    <x:row r="162">
      <x:c r="A162" s="68"/>
      <x:c r="B162" s="69"/>
      <x:c r="C162" s="68"/>
      <x:c r="D162" s="68"/>
      <x:c r="E162" s="68"/>
      <x:c r="F162" s="68"/>
      <x:c r="G162" s="68"/>
      <x:c r="H162" s="70"/>
      <x:c r="I162" s="68"/>
      <x:c r="J162" s="68"/>
      <x:c r="K162" s="68"/>
      <x:c r="L162" s="71" t="str">
        <x:f>IF(K162="","unknown",IF(K162=0,"baseline",IF(K162=1,"pure","mixed")))</x:f>
        <x:v>unknown</x:v>
      </x:c>
      <x:c r="M162" s="68"/>
      <x:c r="N162" s="68"/>
      <x:c r="O162" s="68"/>
      <x:c r="P162" s="68"/>
      <x:c r="Q162" s="68"/>
      <x:c r="R162" s="68"/>
      <x:c r="S162" s="68"/>
      <x:c r="T162" s="68"/>
      <x:c r="U162" s="68"/>
      <x:c r="V162" s="68"/>
      <x:c r="W162" s="68"/>
      <x:c r="X162" s="68"/>
      <x:c r="Y162" s="68"/>
      <x:c r="Z162" s="68"/>
      <x:c r="AA162" s="68"/>
      <x:c r="AB162" s="68"/>
      <x:c r="AC162" s="68"/>
      <x:c r="AD162" s="70"/>
      <x:c r="AE162" s="70"/>
      <x:c r="AF162" s="70"/>
      <x:c r="AG162" s="70"/>
      <x:c r="AH162" s="70"/>
      <x:c r="AI162" s="70"/>
      <x:c r="AJ162" s="70"/>
      <x:c r="AK162" s="70"/>
      <x:c r="AL162" s="70"/>
      <x:c r="AM162" s="70"/>
      <x:c r="AN162" s="70"/>
      <x:c r="AO162" s="70"/>
      <x:c r="AP162" s="70"/>
      <x:c r="AQ162" s="70"/>
      <x:c r="AR162" s="70"/>
      <x:c r="AS162" s="70"/>
      <x:c r="AT162" s="72"/>
      <x:c r="AU162" s="72"/>
      <x:c r="AV162" s="72"/>
      <x:c r="AW162" s="72"/>
      <x:c r="AX162" s="72"/>
      <x:c r="AY162" s="72"/>
      <x:c r="AZ162" s="72"/>
      <x:c r="BA162" s="73" t="str">
        <x:f>IF(C162="xiaohongshu",IF(COUNT(AF162,AE162)&lt;2,"",IFERROR(AF162/AE162,"")),"")</x:f>
      </x:c>
      <x:c r="BB162" s="73" t="str">
        <x:f>IF(C162="xiaohongshu",IF(COUNT(AG162,AE162)&lt;2,"",IFERROR(AG162/AE162,"")),"")</x:f>
      </x:c>
      <x:c r="BC162" s="73" t="str">
        <x:f>IF(C162="xiaohongshu",IF(COUNT(AN162,AE162)&lt;2,"",IFERROR(AN162/AE162,"")),"")</x:f>
      </x:c>
      <x:c r="BD162" s="73" t="str">
        <x:f>IF(C162="xiaohongshu",IF(COUNT(AQ162,AE162)&lt;2,"",IFERROR(AQ162/AE162,"")),"")</x:f>
      </x:c>
      <x:c r="BE162" s="73" t="str">
        <x:f>IF(C162="xiaohongshu",IF(COUNT(AI162,AE162)&lt;2,"",IFERROR(AI162/AE162,"")),"")</x:f>
      </x:c>
      <x:c r="BF162" s="73" t="str">
        <x:f>IF(C162="xiaohongshu",IF(OR(COUNT(AE162)=0,COUNT(AR162,AS162)=0),"",IFERROR((AR162+AS162)/AE162,"")),"")</x:f>
      </x:c>
      <x:c r="BG162" s="73" t="str">
        <x:f>IF(C162="x",IF(COUNT(AD162)=0,"",IF(COUNT(AM162)=1,IFERROR(AM162/AD162,""),IF(COUNT(AH162,AI162,AK162,AL162)=0,"",IFERROR(SUM(AH162,AI162,AK162,AL162)/AD162,"")))),"")</x:f>
      </x:c>
      <x:c r="BH162" s="73" t="str">
        <x:f>IF(C162="x",IF(COUNT(AJ162,AD162)&lt;2,"",IFERROR(AJ162/AD162,"")),"")</x:f>
      </x:c>
      <x:c r="BI162" s="73" t="str">
        <x:f>IF(C162="x",IF(COUNT(AO162,AD162)&lt;2,"",IFERROR(AO162/AD162,"")),"")</x:f>
      </x:c>
      <x:c r="BJ162" s="73" t="str">
        <x:f>IF(C162="x",IF(COUNT(AP162,AD162)&lt;2,"",IFERROR(AP162/AD162,"")),"")</x:f>
      </x:c>
      <x:c r="BK162" s="73" t="str">
        <x:f>IF(C162="x",IF(COUNT(AL162,AD162)&lt;2,"",IFERROR(AL162/AD162,"")),"")</x:f>
      </x:c>
      <x:c r="BL162" s="73" t="str">
        <x:f>IF(C162="x",IF(OR(COUNT(AD162)=0,COUNT(AR162,AS162)=0),"",IFERROR((AR162+AS162)/AD162,"")),"")</x:f>
      </x:c>
      <x:c r="BM162" s="73" t="str">
        <x:f>IF(AB162="xhs_save_rate",BA162,IF(AB162="xhs_completion_rate",BB162,IF(AB162="xhs_profile_visit_rate",BC162,IF(AB162="xhs_dm_intent_rate",BD162,IF(AB162="xhs_discussion_rate",BE162,IF(AB162="xhs_product_relevance_rate",BF162,IF(AB162="x_first_screen_engaged_rate_proxy",BG162,IF(AB162="x_qualified_reply_rate",BH162,IF(AB162="x_profile_click_rate",BI162,IF(AB162="x_link_intent_rate",BJ162,IF(AB162="x_bookmark_rate",BK162,IF(AB162="x_product_relevance_rate",BL162,""))))))))))))</x:f>
      </x:c>
      <x:c r="BN162" s="73" t="str">
        <x:f>IFERROR(BM162/AT162-1,"")</x:f>
      </x:c>
      <x:c r="BO162" s="73" t="str">
        <x:f>IF(AC162="","",IF(AC162="xhs_save_rate",BA162,IF(AC162="xhs_completion_rate",BB162,IF(AC162="xhs_profile_visit_rate",BC162,IF(AC162="xhs_dm_intent_rate",BD162,IF(AC162="xhs_discussion_rate",BE162,IF(AC162="xhs_product_relevance_rate",BF162,IF(AC162="x_first_screen_engaged_rate_proxy",BG162,IF(AC162="x_qualified_reply_rate",BH162,IF(AC162="x_profile_click_rate",BI162,IF(AC162="x_link_intent_rate",BJ162,IF(AC162="x_bookmark_rate",BK162,IF(AC162="x_product_relevance_rate",BL162,"")))))))))))))</x:f>
      </x:c>
      <x:c r="BP162" s="73" t="str">
        <x:f>IFERROR(BO162/AU162-1,"")</x:f>
      </x:c>
      <x:c r="BQ162" s="74" t="str">
        <x:f>IF(COUNT(AD162)=0,"",AD162)</x:f>
      </x:c>
      <x:c r="BR162" s="73" t="str">
        <x:f>IF(C162="xiaohongshu",IF(COUNT(BA162,BB162)=2,AVERAGE(BA162,BB162),IF(COUNT(BA162)=1,BA162,BB162)),BK162)</x:f>
      </x:c>
      <x:c r="BS162" s="73" t="str">
        <x:f>IF(C162="xiaohongshu",BE162,BH162)</x:f>
      </x:c>
      <x:c r="BT162" s="73" t="str">
        <x:f>IF(C162="xiaohongshu",IF(I162="save",BA162,IF(I162="discussion",BE162,IF(I162="profile_visit",BC162,IF(I162="dm",BD162,IF(OR(I162="product_question",I162="trial_intent"),BF162,""))))),IF(I162="save",BK162,IF(I162="discussion",BH162,IF(OR(I162="profile_visit",I162="dm"),BI162,IF(I162="link_click",BJ162,IF(OR(I162="product_question",I162="trial_intent"),BL162,""))))))</x:f>
      </x:c>
      <x:c r="BU162" s="73" t="str">
        <x:f>IF(C162="xiaohongshu",BF162,BL162)</x:f>
      </x:c>
      <x:c r="BV162" s="65" t="str">
        <x:f>IF(COUNT(BQ162,AV162)&lt;2,"unknown",IF(BQ162/AV162-1&gt;=0.2,"high",IF(BQ162/AV162-1&lt;=-0.2,"low","normal")))</x:f>
        <x:v>unknown</x:v>
      </x:c>
      <x:c r="BW162" s="65" t="str">
        <x:f>IF(COUNT(BR162,AW162)&lt;2,"unknown",IF(BR162/AW162-1&gt;=0.2,"high",IF(BR162/AW162-1&lt;=-0.2,"low","normal")))</x:f>
        <x:v>unknown</x:v>
      </x:c>
      <x:c r="BX162" s="65" t="str">
        <x:f>IF(COUNT(BS162,AX162)&lt;2,"unknown",IF(BS162/AX162-1&gt;=0.2,"high",IF(BS162/AX162-1&lt;=-0.2,"low","normal")))</x:f>
        <x:v>unknown</x:v>
      </x:c>
      <x:c r="BY162" s="65" t="str">
        <x:f>IF(COUNT(BT162,AY162)&lt;2,"unknown",IF(BT162/AY162-1&gt;=0.2,"high",IF(BT162/AY162-1&lt;=-0.2,"low","normal")))</x:f>
        <x:v>unknown</x:v>
      </x:c>
      <x:c r="BZ162" s="65" t="str">
        <x:f>IF(COUNT(BU162,AZ162)&lt;2,"unknown",IF(BU162/AZ162-1&gt;=0.2,"high",IF(BU162/AZ162-1&lt;=-0.2,"low","normal")))</x:f>
        <x:v>unknown</x:v>
      </x:c>
      <x:c r="CA162" s="65" t="str">
        <x:f>IF(T162&lt;&gt;"complete","pending",IF(OR(L162&lt;&gt;"pure",U162="true",COUNT(BM162,AT162)&lt;2,AND(AC162&lt;&gt;"",COUNT(BO162,AU162)&lt;2)),"not_attributable","attributable"))</x:f>
        <x:v>pending</x:v>
      </x:c>
      <x:c r="CB162" s="65" t="str">
        <x:f>IF(T162&lt;&gt;"complete","not_evaluated",IF(COUNT(BM162,AT162)&lt;2,"insufficient_data",IF(AND(AC162&lt;&gt;"",COUNT(BP162)=1,BP162&lt;=-0.2),"guardrail_fail",IF(AND(CA162="not_attributable",OR(BV162="high",BN162&gt;=0.2)),"watchlist",IF(CA162&lt;&gt;"attributable","insufficient_data",IF(BN162&gt;=0.2,"win",IF(BN162&lt;=-0.2,"loss","inconclusive")))))))</x:f>
        <x:v>not_evaluated</x:v>
      </x:c>
      <x:c r="CC162" s="65" t="str">
        <x:f>IF(T162&lt;&gt;"complete","COLLECT_MORE_DATA",IF(COUNT(BM162,AT162)&lt;2,"FIX_TRACKING",IF(CB162="guardrail_fail","STOP_VARIANT_GUARDRAIL",IF(CB162="watchlist","WATCHLIST_ONLY",IF(AND(BV162="high",BY162="low"),"KEEP_HOOK_REWRITE_CTA",IF(AND(BW162="high",BX162="low"),"KEEP_STRUCTURE_CHANGE_DISCUSSION_ANGLE",IF(AND(BX162="high",BZ162="low"),"DOWNWEIGHT_TEMPLATE",IF(CB162="win","RETEST_WINNER",IF(CB162="loss","RETURN_TO_BASELINE","COLLECT_MORE_DATA")))))))))</x:f>
        <x:v>COLLECT_MORE_DATA</x:v>
      </x:c>
      <x:c r="CD162" s="75"/>
    </x:row>
    <x:row r="163">
      <x:c r="A163" s="68"/>
      <x:c r="B163" s="69"/>
      <x:c r="C163" s="68"/>
      <x:c r="D163" s="68"/>
      <x:c r="E163" s="68"/>
      <x:c r="F163" s="68"/>
      <x:c r="G163" s="68"/>
      <x:c r="H163" s="70"/>
      <x:c r="I163" s="68"/>
      <x:c r="J163" s="68"/>
      <x:c r="K163" s="68"/>
      <x:c r="L163" s="71" t="str">
        <x:f>IF(K163="","unknown",IF(K163=0,"baseline",IF(K163=1,"pure","mixed")))</x:f>
        <x:v>unknown</x:v>
      </x:c>
      <x:c r="M163" s="68"/>
      <x:c r="N163" s="68"/>
      <x:c r="O163" s="68"/>
      <x:c r="P163" s="68"/>
      <x:c r="Q163" s="68"/>
      <x:c r="R163" s="68"/>
      <x:c r="S163" s="68"/>
      <x:c r="T163" s="68"/>
      <x:c r="U163" s="68"/>
      <x:c r="V163" s="68"/>
      <x:c r="W163" s="68"/>
      <x:c r="X163" s="68"/>
      <x:c r="Y163" s="68"/>
      <x:c r="Z163" s="68"/>
      <x:c r="AA163" s="68"/>
      <x:c r="AB163" s="68"/>
      <x:c r="AC163" s="68"/>
      <x:c r="AD163" s="70"/>
      <x:c r="AE163" s="70"/>
      <x:c r="AF163" s="70"/>
      <x:c r="AG163" s="70"/>
      <x:c r="AH163" s="70"/>
      <x:c r="AI163" s="70"/>
      <x:c r="AJ163" s="70"/>
      <x:c r="AK163" s="70"/>
      <x:c r="AL163" s="70"/>
      <x:c r="AM163" s="70"/>
      <x:c r="AN163" s="70"/>
      <x:c r="AO163" s="70"/>
      <x:c r="AP163" s="70"/>
      <x:c r="AQ163" s="70"/>
      <x:c r="AR163" s="70"/>
      <x:c r="AS163" s="70"/>
      <x:c r="AT163" s="72"/>
      <x:c r="AU163" s="72"/>
      <x:c r="AV163" s="72"/>
      <x:c r="AW163" s="72"/>
      <x:c r="AX163" s="72"/>
      <x:c r="AY163" s="72"/>
      <x:c r="AZ163" s="72"/>
      <x:c r="BA163" s="73" t="str">
        <x:f>IF(C163="xiaohongshu",IF(COUNT(AF163,AE163)&lt;2,"",IFERROR(AF163/AE163,"")),"")</x:f>
      </x:c>
      <x:c r="BB163" s="73" t="str">
        <x:f>IF(C163="xiaohongshu",IF(COUNT(AG163,AE163)&lt;2,"",IFERROR(AG163/AE163,"")),"")</x:f>
      </x:c>
      <x:c r="BC163" s="73" t="str">
        <x:f>IF(C163="xiaohongshu",IF(COUNT(AN163,AE163)&lt;2,"",IFERROR(AN163/AE163,"")),"")</x:f>
      </x:c>
      <x:c r="BD163" s="73" t="str">
        <x:f>IF(C163="xiaohongshu",IF(COUNT(AQ163,AE163)&lt;2,"",IFERROR(AQ163/AE163,"")),"")</x:f>
      </x:c>
      <x:c r="BE163" s="73" t="str">
        <x:f>IF(C163="xiaohongshu",IF(COUNT(AI163,AE163)&lt;2,"",IFERROR(AI163/AE163,"")),"")</x:f>
      </x:c>
      <x:c r="BF163" s="73" t="str">
        <x:f>IF(C163="xiaohongshu",IF(OR(COUNT(AE163)=0,COUNT(AR163,AS163)=0),"",IFERROR((AR163+AS163)/AE163,"")),"")</x:f>
      </x:c>
      <x:c r="BG163" s="73" t="str">
        <x:f>IF(C163="x",IF(COUNT(AD163)=0,"",IF(COUNT(AM163)=1,IFERROR(AM163/AD163,""),IF(COUNT(AH163,AI163,AK163,AL163)=0,"",IFERROR(SUM(AH163,AI163,AK163,AL163)/AD163,"")))),"")</x:f>
      </x:c>
      <x:c r="BH163" s="73" t="str">
        <x:f>IF(C163="x",IF(COUNT(AJ163,AD163)&lt;2,"",IFERROR(AJ163/AD163,"")),"")</x:f>
      </x:c>
      <x:c r="BI163" s="73" t="str">
        <x:f>IF(C163="x",IF(COUNT(AO163,AD163)&lt;2,"",IFERROR(AO163/AD163,"")),"")</x:f>
      </x:c>
      <x:c r="BJ163" s="73" t="str">
        <x:f>IF(C163="x",IF(COUNT(AP163,AD163)&lt;2,"",IFERROR(AP163/AD163,"")),"")</x:f>
      </x:c>
      <x:c r="BK163" s="73" t="str">
        <x:f>IF(C163="x",IF(COUNT(AL163,AD163)&lt;2,"",IFERROR(AL163/AD163,"")),"")</x:f>
      </x:c>
      <x:c r="BL163" s="73" t="str">
        <x:f>IF(C163="x",IF(OR(COUNT(AD163)=0,COUNT(AR163,AS163)=0),"",IFERROR((AR163+AS163)/AD163,"")),"")</x:f>
      </x:c>
      <x:c r="BM163" s="73" t="str">
        <x:f>IF(AB163="xhs_save_rate",BA163,IF(AB163="xhs_completion_rate",BB163,IF(AB163="xhs_profile_visit_rate",BC163,IF(AB163="xhs_dm_intent_rate",BD163,IF(AB163="xhs_discussion_rate",BE163,IF(AB163="xhs_product_relevance_rate",BF163,IF(AB163="x_first_screen_engaged_rate_proxy",BG163,IF(AB163="x_qualified_reply_rate",BH163,IF(AB163="x_profile_click_rate",BI163,IF(AB163="x_link_intent_rate",BJ163,IF(AB163="x_bookmark_rate",BK163,IF(AB163="x_product_relevance_rate",BL163,""))))))))))))</x:f>
      </x:c>
      <x:c r="BN163" s="73" t="str">
        <x:f>IFERROR(BM163/AT163-1,"")</x:f>
      </x:c>
      <x:c r="BO163" s="73" t="str">
        <x:f>IF(AC163="","",IF(AC163="xhs_save_rate",BA163,IF(AC163="xhs_completion_rate",BB163,IF(AC163="xhs_profile_visit_rate",BC163,IF(AC163="xhs_dm_intent_rate",BD163,IF(AC163="xhs_discussion_rate",BE163,IF(AC163="xhs_product_relevance_rate",BF163,IF(AC163="x_first_screen_engaged_rate_proxy",BG163,IF(AC163="x_qualified_reply_rate",BH163,IF(AC163="x_profile_click_rate",BI163,IF(AC163="x_link_intent_rate",BJ163,IF(AC163="x_bookmark_rate",BK163,IF(AC163="x_product_relevance_rate",BL163,"")))))))))))))</x:f>
      </x:c>
      <x:c r="BP163" s="73" t="str">
        <x:f>IFERROR(BO163/AU163-1,"")</x:f>
      </x:c>
      <x:c r="BQ163" s="74" t="str">
        <x:f>IF(COUNT(AD163)=0,"",AD163)</x:f>
      </x:c>
      <x:c r="BR163" s="73" t="str">
        <x:f>IF(C163="xiaohongshu",IF(COUNT(BA163,BB163)=2,AVERAGE(BA163,BB163),IF(COUNT(BA163)=1,BA163,BB163)),BK163)</x:f>
      </x:c>
      <x:c r="BS163" s="73" t="str">
        <x:f>IF(C163="xiaohongshu",BE163,BH163)</x:f>
      </x:c>
      <x:c r="BT163" s="73" t="str">
        <x:f>IF(C163="xiaohongshu",IF(I163="save",BA163,IF(I163="discussion",BE163,IF(I163="profile_visit",BC163,IF(I163="dm",BD163,IF(OR(I163="product_question",I163="trial_intent"),BF163,""))))),IF(I163="save",BK163,IF(I163="discussion",BH163,IF(OR(I163="profile_visit",I163="dm"),BI163,IF(I163="link_click",BJ163,IF(OR(I163="product_question",I163="trial_intent"),BL163,""))))))</x:f>
      </x:c>
      <x:c r="BU163" s="73" t="str">
        <x:f>IF(C163="xiaohongshu",BF163,BL163)</x:f>
      </x:c>
      <x:c r="BV163" s="65" t="str">
        <x:f>IF(COUNT(BQ163,AV163)&lt;2,"unknown",IF(BQ163/AV163-1&gt;=0.2,"high",IF(BQ163/AV163-1&lt;=-0.2,"low","normal")))</x:f>
        <x:v>unknown</x:v>
      </x:c>
      <x:c r="BW163" s="65" t="str">
        <x:f>IF(COUNT(BR163,AW163)&lt;2,"unknown",IF(BR163/AW163-1&gt;=0.2,"high",IF(BR163/AW163-1&lt;=-0.2,"low","normal")))</x:f>
        <x:v>unknown</x:v>
      </x:c>
      <x:c r="BX163" s="65" t="str">
        <x:f>IF(COUNT(BS163,AX163)&lt;2,"unknown",IF(BS163/AX163-1&gt;=0.2,"high",IF(BS163/AX163-1&lt;=-0.2,"low","normal")))</x:f>
        <x:v>unknown</x:v>
      </x:c>
      <x:c r="BY163" s="65" t="str">
        <x:f>IF(COUNT(BT163,AY163)&lt;2,"unknown",IF(BT163/AY163-1&gt;=0.2,"high",IF(BT163/AY163-1&lt;=-0.2,"low","normal")))</x:f>
        <x:v>unknown</x:v>
      </x:c>
      <x:c r="BZ163" s="65" t="str">
        <x:f>IF(COUNT(BU163,AZ163)&lt;2,"unknown",IF(BU163/AZ163-1&gt;=0.2,"high",IF(BU163/AZ163-1&lt;=-0.2,"low","normal")))</x:f>
        <x:v>unknown</x:v>
      </x:c>
      <x:c r="CA163" s="65" t="str">
        <x:f>IF(T163&lt;&gt;"complete","pending",IF(OR(L163&lt;&gt;"pure",U163="true",COUNT(BM163,AT163)&lt;2,AND(AC163&lt;&gt;"",COUNT(BO163,AU163)&lt;2)),"not_attributable","attributable"))</x:f>
        <x:v>pending</x:v>
      </x:c>
      <x:c r="CB163" s="65" t="str">
        <x:f>IF(T163&lt;&gt;"complete","not_evaluated",IF(COUNT(BM163,AT163)&lt;2,"insufficient_data",IF(AND(AC163&lt;&gt;"",COUNT(BP163)=1,BP163&lt;=-0.2),"guardrail_fail",IF(AND(CA163="not_attributable",OR(BV163="high",BN163&gt;=0.2)),"watchlist",IF(CA163&lt;&gt;"attributable","insufficient_data",IF(BN163&gt;=0.2,"win",IF(BN163&lt;=-0.2,"loss","inconclusive")))))))</x:f>
        <x:v>not_evaluated</x:v>
      </x:c>
      <x:c r="CC163" s="65" t="str">
        <x:f>IF(T163&lt;&gt;"complete","COLLECT_MORE_DATA",IF(COUNT(BM163,AT163)&lt;2,"FIX_TRACKING",IF(CB163="guardrail_fail","STOP_VARIANT_GUARDRAIL",IF(CB163="watchlist","WATCHLIST_ONLY",IF(AND(BV163="high",BY163="low"),"KEEP_HOOK_REWRITE_CTA",IF(AND(BW163="high",BX163="low"),"KEEP_STRUCTURE_CHANGE_DISCUSSION_ANGLE",IF(AND(BX163="high",BZ163="low"),"DOWNWEIGHT_TEMPLATE",IF(CB163="win","RETEST_WINNER",IF(CB163="loss","RETURN_TO_BASELINE","COLLECT_MORE_DATA")))))))))</x:f>
        <x:v>COLLECT_MORE_DATA</x:v>
      </x:c>
      <x:c r="CD163" s="75"/>
    </x:row>
    <x:row r="164">
      <x:c r="A164" s="68"/>
      <x:c r="B164" s="69"/>
      <x:c r="C164" s="68"/>
      <x:c r="D164" s="68"/>
      <x:c r="E164" s="68"/>
      <x:c r="F164" s="68"/>
      <x:c r="G164" s="68"/>
      <x:c r="H164" s="70"/>
      <x:c r="I164" s="68"/>
      <x:c r="J164" s="68"/>
      <x:c r="K164" s="68"/>
      <x:c r="L164" s="71" t="str">
        <x:f>IF(K164="","unknown",IF(K164=0,"baseline",IF(K164=1,"pure","mixed")))</x:f>
        <x:v>unknown</x:v>
      </x:c>
      <x:c r="M164" s="68"/>
      <x:c r="N164" s="68"/>
      <x:c r="O164" s="68"/>
      <x:c r="P164" s="68"/>
      <x:c r="Q164" s="68"/>
      <x:c r="R164" s="68"/>
      <x:c r="S164" s="68"/>
      <x:c r="T164" s="68"/>
      <x:c r="U164" s="68"/>
      <x:c r="V164" s="68"/>
      <x:c r="W164" s="68"/>
      <x:c r="X164" s="68"/>
      <x:c r="Y164" s="68"/>
      <x:c r="Z164" s="68"/>
      <x:c r="AA164" s="68"/>
      <x:c r="AB164" s="68"/>
      <x:c r="AC164" s="68"/>
      <x:c r="AD164" s="70"/>
      <x:c r="AE164" s="70"/>
      <x:c r="AF164" s="70"/>
      <x:c r="AG164" s="70"/>
      <x:c r="AH164" s="70"/>
      <x:c r="AI164" s="70"/>
      <x:c r="AJ164" s="70"/>
      <x:c r="AK164" s="70"/>
      <x:c r="AL164" s="70"/>
      <x:c r="AM164" s="70"/>
      <x:c r="AN164" s="70"/>
      <x:c r="AO164" s="70"/>
      <x:c r="AP164" s="70"/>
      <x:c r="AQ164" s="70"/>
      <x:c r="AR164" s="70"/>
      <x:c r="AS164" s="70"/>
      <x:c r="AT164" s="72"/>
      <x:c r="AU164" s="72"/>
      <x:c r="AV164" s="72"/>
      <x:c r="AW164" s="72"/>
      <x:c r="AX164" s="72"/>
      <x:c r="AY164" s="72"/>
      <x:c r="AZ164" s="72"/>
      <x:c r="BA164" s="73" t="str">
        <x:f>IF(C164="xiaohongshu",IF(COUNT(AF164,AE164)&lt;2,"",IFERROR(AF164/AE164,"")),"")</x:f>
      </x:c>
      <x:c r="BB164" s="73" t="str">
        <x:f>IF(C164="xiaohongshu",IF(COUNT(AG164,AE164)&lt;2,"",IFERROR(AG164/AE164,"")),"")</x:f>
      </x:c>
      <x:c r="BC164" s="73" t="str">
        <x:f>IF(C164="xiaohongshu",IF(COUNT(AN164,AE164)&lt;2,"",IFERROR(AN164/AE164,"")),"")</x:f>
      </x:c>
      <x:c r="BD164" s="73" t="str">
        <x:f>IF(C164="xiaohongshu",IF(COUNT(AQ164,AE164)&lt;2,"",IFERROR(AQ164/AE164,"")),"")</x:f>
      </x:c>
      <x:c r="BE164" s="73" t="str">
        <x:f>IF(C164="xiaohongshu",IF(COUNT(AI164,AE164)&lt;2,"",IFERROR(AI164/AE164,"")),"")</x:f>
      </x:c>
      <x:c r="BF164" s="73" t="str">
        <x:f>IF(C164="xiaohongshu",IF(OR(COUNT(AE164)=0,COUNT(AR164,AS164)=0),"",IFERROR((AR164+AS164)/AE164,"")),"")</x:f>
      </x:c>
      <x:c r="BG164" s="73" t="str">
        <x:f>IF(C164="x",IF(COUNT(AD164)=0,"",IF(COUNT(AM164)=1,IFERROR(AM164/AD164,""),IF(COUNT(AH164,AI164,AK164,AL164)=0,"",IFERROR(SUM(AH164,AI164,AK164,AL164)/AD164,"")))),"")</x:f>
      </x:c>
      <x:c r="BH164" s="73" t="str">
        <x:f>IF(C164="x",IF(COUNT(AJ164,AD164)&lt;2,"",IFERROR(AJ164/AD164,"")),"")</x:f>
      </x:c>
      <x:c r="BI164" s="73" t="str">
        <x:f>IF(C164="x",IF(COUNT(AO164,AD164)&lt;2,"",IFERROR(AO164/AD164,"")),"")</x:f>
      </x:c>
      <x:c r="BJ164" s="73" t="str">
        <x:f>IF(C164="x",IF(COUNT(AP164,AD164)&lt;2,"",IFERROR(AP164/AD164,"")),"")</x:f>
      </x:c>
      <x:c r="BK164" s="73" t="str">
        <x:f>IF(C164="x",IF(COUNT(AL164,AD164)&lt;2,"",IFERROR(AL164/AD164,"")),"")</x:f>
      </x:c>
      <x:c r="BL164" s="73" t="str">
        <x:f>IF(C164="x",IF(OR(COUNT(AD164)=0,COUNT(AR164,AS164)=0),"",IFERROR((AR164+AS164)/AD164,"")),"")</x:f>
      </x:c>
      <x:c r="BM164" s="73" t="str">
        <x:f>IF(AB164="xhs_save_rate",BA164,IF(AB164="xhs_completion_rate",BB164,IF(AB164="xhs_profile_visit_rate",BC164,IF(AB164="xhs_dm_intent_rate",BD164,IF(AB164="xhs_discussion_rate",BE164,IF(AB164="xhs_product_relevance_rate",BF164,IF(AB164="x_first_screen_engaged_rate_proxy",BG164,IF(AB164="x_qualified_reply_rate",BH164,IF(AB164="x_profile_click_rate",BI164,IF(AB164="x_link_intent_rate",BJ164,IF(AB164="x_bookmark_rate",BK164,IF(AB164="x_product_relevance_rate",BL164,""))))))))))))</x:f>
      </x:c>
      <x:c r="BN164" s="73" t="str">
        <x:f>IFERROR(BM164/AT164-1,"")</x:f>
      </x:c>
      <x:c r="BO164" s="73" t="str">
        <x:f>IF(AC164="","",IF(AC164="xhs_save_rate",BA164,IF(AC164="xhs_completion_rate",BB164,IF(AC164="xhs_profile_visit_rate",BC164,IF(AC164="xhs_dm_intent_rate",BD164,IF(AC164="xhs_discussion_rate",BE164,IF(AC164="xhs_product_relevance_rate",BF164,IF(AC164="x_first_screen_engaged_rate_proxy",BG164,IF(AC164="x_qualified_reply_rate",BH164,IF(AC164="x_profile_click_rate",BI164,IF(AC164="x_link_intent_rate",BJ164,IF(AC164="x_bookmark_rate",BK164,IF(AC164="x_product_relevance_rate",BL164,"")))))))))))))</x:f>
      </x:c>
      <x:c r="BP164" s="73" t="str">
        <x:f>IFERROR(BO164/AU164-1,"")</x:f>
      </x:c>
      <x:c r="BQ164" s="74" t="str">
        <x:f>IF(COUNT(AD164)=0,"",AD164)</x:f>
      </x:c>
      <x:c r="BR164" s="73" t="str">
        <x:f>IF(C164="xiaohongshu",IF(COUNT(BA164,BB164)=2,AVERAGE(BA164,BB164),IF(COUNT(BA164)=1,BA164,BB164)),BK164)</x:f>
      </x:c>
      <x:c r="BS164" s="73" t="str">
        <x:f>IF(C164="xiaohongshu",BE164,BH164)</x:f>
      </x:c>
      <x:c r="BT164" s="73" t="str">
        <x:f>IF(C164="xiaohongshu",IF(I164="save",BA164,IF(I164="discussion",BE164,IF(I164="profile_visit",BC164,IF(I164="dm",BD164,IF(OR(I164="product_question",I164="trial_intent"),BF164,""))))),IF(I164="save",BK164,IF(I164="discussion",BH164,IF(OR(I164="profile_visit",I164="dm"),BI164,IF(I164="link_click",BJ164,IF(OR(I164="product_question",I164="trial_intent"),BL164,""))))))</x:f>
      </x:c>
      <x:c r="BU164" s="73" t="str">
        <x:f>IF(C164="xiaohongshu",BF164,BL164)</x:f>
      </x:c>
      <x:c r="BV164" s="65" t="str">
        <x:f>IF(COUNT(BQ164,AV164)&lt;2,"unknown",IF(BQ164/AV164-1&gt;=0.2,"high",IF(BQ164/AV164-1&lt;=-0.2,"low","normal")))</x:f>
        <x:v>unknown</x:v>
      </x:c>
      <x:c r="BW164" s="65" t="str">
        <x:f>IF(COUNT(BR164,AW164)&lt;2,"unknown",IF(BR164/AW164-1&gt;=0.2,"high",IF(BR164/AW164-1&lt;=-0.2,"low","normal")))</x:f>
        <x:v>unknown</x:v>
      </x:c>
      <x:c r="BX164" s="65" t="str">
        <x:f>IF(COUNT(BS164,AX164)&lt;2,"unknown",IF(BS164/AX164-1&gt;=0.2,"high",IF(BS164/AX164-1&lt;=-0.2,"low","normal")))</x:f>
        <x:v>unknown</x:v>
      </x:c>
      <x:c r="BY164" s="65" t="str">
        <x:f>IF(COUNT(BT164,AY164)&lt;2,"unknown",IF(BT164/AY164-1&gt;=0.2,"high",IF(BT164/AY164-1&lt;=-0.2,"low","normal")))</x:f>
        <x:v>unknown</x:v>
      </x:c>
      <x:c r="BZ164" s="65" t="str">
        <x:f>IF(COUNT(BU164,AZ164)&lt;2,"unknown",IF(BU164/AZ164-1&gt;=0.2,"high",IF(BU164/AZ164-1&lt;=-0.2,"low","normal")))</x:f>
        <x:v>unknown</x:v>
      </x:c>
      <x:c r="CA164" s="65" t="str">
        <x:f>IF(T164&lt;&gt;"complete","pending",IF(OR(L164&lt;&gt;"pure",U164="true",COUNT(BM164,AT164)&lt;2,AND(AC164&lt;&gt;"",COUNT(BO164,AU164)&lt;2)),"not_attributable","attributable"))</x:f>
        <x:v>pending</x:v>
      </x:c>
      <x:c r="CB164" s="65" t="str">
        <x:f>IF(T164&lt;&gt;"complete","not_evaluated",IF(COUNT(BM164,AT164)&lt;2,"insufficient_data",IF(AND(AC164&lt;&gt;"",COUNT(BP164)=1,BP164&lt;=-0.2),"guardrail_fail",IF(AND(CA164="not_attributable",OR(BV164="high",BN164&gt;=0.2)),"watchlist",IF(CA164&lt;&gt;"attributable","insufficient_data",IF(BN164&gt;=0.2,"win",IF(BN164&lt;=-0.2,"loss","inconclusive")))))))</x:f>
        <x:v>not_evaluated</x:v>
      </x:c>
      <x:c r="CC164" s="65" t="str">
        <x:f>IF(T164&lt;&gt;"complete","COLLECT_MORE_DATA",IF(COUNT(BM164,AT164)&lt;2,"FIX_TRACKING",IF(CB164="guardrail_fail","STOP_VARIANT_GUARDRAIL",IF(CB164="watchlist","WATCHLIST_ONLY",IF(AND(BV164="high",BY164="low"),"KEEP_HOOK_REWRITE_CTA",IF(AND(BW164="high",BX164="low"),"KEEP_STRUCTURE_CHANGE_DISCUSSION_ANGLE",IF(AND(BX164="high",BZ164="low"),"DOWNWEIGHT_TEMPLATE",IF(CB164="win","RETEST_WINNER",IF(CB164="loss","RETURN_TO_BASELINE","COLLECT_MORE_DATA")))))))))</x:f>
        <x:v>COLLECT_MORE_DATA</x:v>
      </x:c>
      <x:c r="CD164" s="75"/>
    </x:row>
    <x:row r="165">
      <x:c r="A165" s="68"/>
      <x:c r="B165" s="69"/>
      <x:c r="C165" s="68"/>
      <x:c r="D165" s="68"/>
      <x:c r="E165" s="68"/>
      <x:c r="F165" s="68"/>
      <x:c r="G165" s="68"/>
      <x:c r="H165" s="70"/>
      <x:c r="I165" s="68"/>
      <x:c r="J165" s="68"/>
      <x:c r="K165" s="68"/>
      <x:c r="L165" s="71" t="str">
        <x:f>IF(K165="","unknown",IF(K165=0,"baseline",IF(K165=1,"pure","mixed")))</x:f>
        <x:v>unknown</x:v>
      </x:c>
      <x:c r="M165" s="68"/>
      <x:c r="N165" s="68"/>
      <x:c r="O165" s="68"/>
      <x:c r="P165" s="68"/>
      <x:c r="Q165" s="68"/>
      <x:c r="R165" s="68"/>
      <x:c r="S165" s="68"/>
      <x:c r="T165" s="68"/>
      <x:c r="U165" s="68"/>
      <x:c r="V165" s="68"/>
      <x:c r="W165" s="68"/>
      <x:c r="X165" s="68"/>
      <x:c r="Y165" s="68"/>
      <x:c r="Z165" s="68"/>
      <x:c r="AA165" s="68"/>
      <x:c r="AB165" s="68"/>
      <x:c r="AC165" s="68"/>
      <x:c r="AD165" s="70"/>
      <x:c r="AE165" s="70"/>
      <x:c r="AF165" s="70"/>
      <x:c r="AG165" s="70"/>
      <x:c r="AH165" s="70"/>
      <x:c r="AI165" s="70"/>
      <x:c r="AJ165" s="70"/>
      <x:c r="AK165" s="70"/>
      <x:c r="AL165" s="70"/>
      <x:c r="AM165" s="70"/>
      <x:c r="AN165" s="70"/>
      <x:c r="AO165" s="70"/>
      <x:c r="AP165" s="70"/>
      <x:c r="AQ165" s="70"/>
      <x:c r="AR165" s="70"/>
      <x:c r="AS165" s="70"/>
      <x:c r="AT165" s="72"/>
      <x:c r="AU165" s="72"/>
      <x:c r="AV165" s="72"/>
      <x:c r="AW165" s="72"/>
      <x:c r="AX165" s="72"/>
      <x:c r="AY165" s="72"/>
      <x:c r="AZ165" s="72"/>
      <x:c r="BA165" s="73" t="str">
        <x:f>IF(C165="xiaohongshu",IF(COUNT(AF165,AE165)&lt;2,"",IFERROR(AF165/AE165,"")),"")</x:f>
      </x:c>
      <x:c r="BB165" s="73" t="str">
        <x:f>IF(C165="xiaohongshu",IF(COUNT(AG165,AE165)&lt;2,"",IFERROR(AG165/AE165,"")),"")</x:f>
      </x:c>
      <x:c r="BC165" s="73" t="str">
        <x:f>IF(C165="xiaohongshu",IF(COUNT(AN165,AE165)&lt;2,"",IFERROR(AN165/AE165,"")),"")</x:f>
      </x:c>
      <x:c r="BD165" s="73" t="str">
        <x:f>IF(C165="xiaohongshu",IF(COUNT(AQ165,AE165)&lt;2,"",IFERROR(AQ165/AE165,"")),"")</x:f>
      </x:c>
      <x:c r="BE165" s="73" t="str">
        <x:f>IF(C165="xiaohongshu",IF(COUNT(AI165,AE165)&lt;2,"",IFERROR(AI165/AE165,"")),"")</x:f>
      </x:c>
      <x:c r="BF165" s="73" t="str">
        <x:f>IF(C165="xiaohongshu",IF(OR(COUNT(AE165)=0,COUNT(AR165,AS165)=0),"",IFERROR((AR165+AS165)/AE165,"")),"")</x:f>
      </x:c>
      <x:c r="BG165" s="73" t="str">
        <x:f>IF(C165="x",IF(COUNT(AD165)=0,"",IF(COUNT(AM165)=1,IFERROR(AM165/AD165,""),IF(COUNT(AH165,AI165,AK165,AL165)=0,"",IFERROR(SUM(AH165,AI165,AK165,AL165)/AD165,"")))),"")</x:f>
      </x:c>
      <x:c r="BH165" s="73" t="str">
        <x:f>IF(C165="x",IF(COUNT(AJ165,AD165)&lt;2,"",IFERROR(AJ165/AD165,"")),"")</x:f>
      </x:c>
      <x:c r="BI165" s="73" t="str">
        <x:f>IF(C165="x",IF(COUNT(AO165,AD165)&lt;2,"",IFERROR(AO165/AD165,"")),"")</x:f>
      </x:c>
      <x:c r="BJ165" s="73" t="str">
        <x:f>IF(C165="x",IF(COUNT(AP165,AD165)&lt;2,"",IFERROR(AP165/AD165,"")),"")</x:f>
      </x:c>
      <x:c r="BK165" s="73" t="str">
        <x:f>IF(C165="x",IF(COUNT(AL165,AD165)&lt;2,"",IFERROR(AL165/AD165,"")),"")</x:f>
      </x:c>
      <x:c r="BL165" s="73" t="str">
        <x:f>IF(C165="x",IF(OR(COUNT(AD165)=0,COUNT(AR165,AS165)=0),"",IFERROR((AR165+AS165)/AD165,"")),"")</x:f>
      </x:c>
      <x:c r="BM165" s="73" t="str">
        <x:f>IF(AB165="xhs_save_rate",BA165,IF(AB165="xhs_completion_rate",BB165,IF(AB165="xhs_profile_visit_rate",BC165,IF(AB165="xhs_dm_intent_rate",BD165,IF(AB165="xhs_discussion_rate",BE165,IF(AB165="xhs_product_relevance_rate",BF165,IF(AB165="x_first_screen_engaged_rate_proxy",BG165,IF(AB165="x_qualified_reply_rate",BH165,IF(AB165="x_profile_click_rate",BI165,IF(AB165="x_link_intent_rate",BJ165,IF(AB165="x_bookmark_rate",BK165,IF(AB165="x_product_relevance_rate",BL165,""))))))))))))</x:f>
      </x:c>
      <x:c r="BN165" s="73" t="str">
        <x:f>IFERROR(BM165/AT165-1,"")</x:f>
      </x:c>
      <x:c r="BO165" s="73" t="str">
        <x:f>IF(AC165="","",IF(AC165="xhs_save_rate",BA165,IF(AC165="xhs_completion_rate",BB165,IF(AC165="xhs_profile_visit_rate",BC165,IF(AC165="xhs_dm_intent_rate",BD165,IF(AC165="xhs_discussion_rate",BE165,IF(AC165="xhs_product_relevance_rate",BF165,IF(AC165="x_first_screen_engaged_rate_proxy",BG165,IF(AC165="x_qualified_reply_rate",BH165,IF(AC165="x_profile_click_rate",BI165,IF(AC165="x_link_intent_rate",BJ165,IF(AC165="x_bookmark_rate",BK165,IF(AC165="x_product_relevance_rate",BL165,"")))))))))))))</x:f>
      </x:c>
      <x:c r="BP165" s="73" t="str">
        <x:f>IFERROR(BO165/AU165-1,"")</x:f>
      </x:c>
      <x:c r="BQ165" s="74" t="str">
        <x:f>IF(COUNT(AD165)=0,"",AD165)</x:f>
      </x:c>
      <x:c r="BR165" s="73" t="str">
        <x:f>IF(C165="xiaohongshu",IF(COUNT(BA165,BB165)=2,AVERAGE(BA165,BB165),IF(COUNT(BA165)=1,BA165,BB165)),BK165)</x:f>
      </x:c>
      <x:c r="BS165" s="73" t="str">
        <x:f>IF(C165="xiaohongshu",BE165,BH165)</x:f>
      </x:c>
      <x:c r="BT165" s="73" t="str">
        <x:f>IF(C165="xiaohongshu",IF(I165="save",BA165,IF(I165="discussion",BE165,IF(I165="profile_visit",BC165,IF(I165="dm",BD165,IF(OR(I165="product_question",I165="trial_intent"),BF165,""))))),IF(I165="save",BK165,IF(I165="discussion",BH165,IF(OR(I165="profile_visit",I165="dm"),BI165,IF(I165="link_click",BJ165,IF(OR(I165="product_question",I165="trial_intent"),BL165,""))))))</x:f>
      </x:c>
      <x:c r="BU165" s="73" t="str">
        <x:f>IF(C165="xiaohongshu",BF165,BL165)</x:f>
      </x:c>
      <x:c r="BV165" s="65" t="str">
        <x:f>IF(COUNT(BQ165,AV165)&lt;2,"unknown",IF(BQ165/AV165-1&gt;=0.2,"high",IF(BQ165/AV165-1&lt;=-0.2,"low","normal")))</x:f>
        <x:v>unknown</x:v>
      </x:c>
      <x:c r="BW165" s="65" t="str">
        <x:f>IF(COUNT(BR165,AW165)&lt;2,"unknown",IF(BR165/AW165-1&gt;=0.2,"high",IF(BR165/AW165-1&lt;=-0.2,"low","normal")))</x:f>
        <x:v>unknown</x:v>
      </x:c>
      <x:c r="BX165" s="65" t="str">
        <x:f>IF(COUNT(BS165,AX165)&lt;2,"unknown",IF(BS165/AX165-1&gt;=0.2,"high",IF(BS165/AX165-1&lt;=-0.2,"low","normal")))</x:f>
        <x:v>unknown</x:v>
      </x:c>
      <x:c r="BY165" s="65" t="str">
        <x:f>IF(COUNT(BT165,AY165)&lt;2,"unknown",IF(BT165/AY165-1&gt;=0.2,"high",IF(BT165/AY165-1&lt;=-0.2,"low","normal")))</x:f>
        <x:v>unknown</x:v>
      </x:c>
      <x:c r="BZ165" s="65" t="str">
        <x:f>IF(COUNT(BU165,AZ165)&lt;2,"unknown",IF(BU165/AZ165-1&gt;=0.2,"high",IF(BU165/AZ165-1&lt;=-0.2,"low","normal")))</x:f>
        <x:v>unknown</x:v>
      </x:c>
      <x:c r="CA165" s="65" t="str">
        <x:f>IF(T165&lt;&gt;"complete","pending",IF(OR(L165&lt;&gt;"pure",U165="true",COUNT(BM165,AT165)&lt;2,AND(AC165&lt;&gt;"",COUNT(BO165,AU165)&lt;2)),"not_attributable","attributable"))</x:f>
        <x:v>pending</x:v>
      </x:c>
      <x:c r="CB165" s="65" t="str">
        <x:f>IF(T165&lt;&gt;"complete","not_evaluated",IF(COUNT(BM165,AT165)&lt;2,"insufficient_data",IF(AND(AC165&lt;&gt;"",COUNT(BP165)=1,BP165&lt;=-0.2),"guardrail_fail",IF(AND(CA165="not_attributable",OR(BV165="high",BN165&gt;=0.2)),"watchlist",IF(CA165&lt;&gt;"attributable","insufficient_data",IF(BN165&gt;=0.2,"win",IF(BN165&lt;=-0.2,"loss","inconclusive")))))))</x:f>
        <x:v>not_evaluated</x:v>
      </x:c>
      <x:c r="CC165" s="65" t="str">
        <x:f>IF(T165&lt;&gt;"complete","COLLECT_MORE_DATA",IF(COUNT(BM165,AT165)&lt;2,"FIX_TRACKING",IF(CB165="guardrail_fail","STOP_VARIANT_GUARDRAIL",IF(CB165="watchlist","WATCHLIST_ONLY",IF(AND(BV165="high",BY165="low"),"KEEP_HOOK_REWRITE_CTA",IF(AND(BW165="high",BX165="low"),"KEEP_STRUCTURE_CHANGE_DISCUSSION_ANGLE",IF(AND(BX165="high",BZ165="low"),"DOWNWEIGHT_TEMPLATE",IF(CB165="win","RETEST_WINNER",IF(CB165="loss","RETURN_TO_BASELINE","COLLECT_MORE_DATA")))))))))</x:f>
        <x:v>COLLECT_MORE_DATA</x:v>
      </x:c>
      <x:c r="CD165" s="75"/>
    </x:row>
    <x:row r="166">
      <x:c r="A166" s="68"/>
      <x:c r="B166" s="69"/>
      <x:c r="C166" s="68"/>
      <x:c r="D166" s="68"/>
      <x:c r="E166" s="68"/>
      <x:c r="F166" s="68"/>
      <x:c r="G166" s="68"/>
      <x:c r="H166" s="70"/>
      <x:c r="I166" s="68"/>
      <x:c r="J166" s="68"/>
      <x:c r="K166" s="68"/>
      <x:c r="L166" s="71" t="str">
        <x:f>IF(K166="","unknown",IF(K166=0,"baseline",IF(K166=1,"pure","mixed")))</x:f>
        <x:v>unknown</x:v>
      </x:c>
      <x:c r="M166" s="68"/>
      <x:c r="N166" s="68"/>
      <x:c r="O166" s="68"/>
      <x:c r="P166" s="68"/>
      <x:c r="Q166" s="68"/>
      <x:c r="R166" s="68"/>
      <x:c r="S166" s="68"/>
      <x:c r="T166" s="68"/>
      <x:c r="U166" s="68"/>
      <x:c r="V166" s="68"/>
      <x:c r="W166" s="68"/>
      <x:c r="X166" s="68"/>
      <x:c r="Y166" s="68"/>
      <x:c r="Z166" s="68"/>
      <x:c r="AA166" s="68"/>
      <x:c r="AB166" s="68"/>
      <x:c r="AC166" s="68"/>
      <x:c r="AD166" s="70"/>
      <x:c r="AE166" s="70"/>
      <x:c r="AF166" s="70"/>
      <x:c r="AG166" s="70"/>
      <x:c r="AH166" s="70"/>
      <x:c r="AI166" s="70"/>
      <x:c r="AJ166" s="70"/>
      <x:c r="AK166" s="70"/>
      <x:c r="AL166" s="70"/>
      <x:c r="AM166" s="70"/>
      <x:c r="AN166" s="70"/>
      <x:c r="AO166" s="70"/>
      <x:c r="AP166" s="70"/>
      <x:c r="AQ166" s="70"/>
      <x:c r="AR166" s="70"/>
      <x:c r="AS166" s="70"/>
      <x:c r="AT166" s="72"/>
      <x:c r="AU166" s="72"/>
      <x:c r="AV166" s="72"/>
      <x:c r="AW166" s="72"/>
      <x:c r="AX166" s="72"/>
      <x:c r="AY166" s="72"/>
      <x:c r="AZ166" s="72"/>
      <x:c r="BA166" s="73" t="str">
        <x:f>IF(C166="xiaohongshu",IF(COUNT(AF166,AE166)&lt;2,"",IFERROR(AF166/AE166,"")),"")</x:f>
      </x:c>
      <x:c r="BB166" s="73" t="str">
        <x:f>IF(C166="xiaohongshu",IF(COUNT(AG166,AE166)&lt;2,"",IFERROR(AG166/AE166,"")),"")</x:f>
      </x:c>
      <x:c r="BC166" s="73" t="str">
        <x:f>IF(C166="xiaohongshu",IF(COUNT(AN166,AE166)&lt;2,"",IFERROR(AN166/AE166,"")),"")</x:f>
      </x:c>
      <x:c r="BD166" s="73" t="str">
        <x:f>IF(C166="xiaohongshu",IF(COUNT(AQ166,AE166)&lt;2,"",IFERROR(AQ166/AE166,"")),"")</x:f>
      </x:c>
      <x:c r="BE166" s="73" t="str">
        <x:f>IF(C166="xiaohongshu",IF(COUNT(AI166,AE166)&lt;2,"",IFERROR(AI166/AE166,"")),"")</x:f>
      </x:c>
      <x:c r="BF166" s="73" t="str">
        <x:f>IF(C166="xiaohongshu",IF(OR(COUNT(AE166)=0,COUNT(AR166,AS166)=0),"",IFERROR((AR166+AS166)/AE166,"")),"")</x:f>
      </x:c>
      <x:c r="BG166" s="73" t="str">
        <x:f>IF(C166="x",IF(COUNT(AD166)=0,"",IF(COUNT(AM166)=1,IFERROR(AM166/AD166,""),IF(COUNT(AH166,AI166,AK166,AL166)=0,"",IFERROR(SUM(AH166,AI166,AK166,AL166)/AD166,"")))),"")</x:f>
      </x:c>
      <x:c r="BH166" s="73" t="str">
        <x:f>IF(C166="x",IF(COUNT(AJ166,AD166)&lt;2,"",IFERROR(AJ166/AD166,"")),"")</x:f>
      </x:c>
      <x:c r="BI166" s="73" t="str">
        <x:f>IF(C166="x",IF(COUNT(AO166,AD166)&lt;2,"",IFERROR(AO166/AD166,"")),"")</x:f>
      </x:c>
      <x:c r="BJ166" s="73" t="str">
        <x:f>IF(C166="x",IF(COUNT(AP166,AD166)&lt;2,"",IFERROR(AP166/AD166,"")),"")</x:f>
      </x:c>
      <x:c r="BK166" s="73" t="str">
        <x:f>IF(C166="x",IF(COUNT(AL166,AD166)&lt;2,"",IFERROR(AL166/AD166,"")),"")</x:f>
      </x:c>
      <x:c r="BL166" s="73" t="str">
        <x:f>IF(C166="x",IF(OR(COUNT(AD166)=0,COUNT(AR166,AS166)=0),"",IFERROR((AR166+AS166)/AD166,"")),"")</x:f>
      </x:c>
      <x:c r="BM166" s="73" t="str">
        <x:f>IF(AB166="xhs_save_rate",BA166,IF(AB166="xhs_completion_rate",BB166,IF(AB166="xhs_profile_visit_rate",BC166,IF(AB166="xhs_dm_intent_rate",BD166,IF(AB166="xhs_discussion_rate",BE166,IF(AB166="xhs_product_relevance_rate",BF166,IF(AB166="x_first_screen_engaged_rate_proxy",BG166,IF(AB166="x_qualified_reply_rate",BH166,IF(AB166="x_profile_click_rate",BI166,IF(AB166="x_link_intent_rate",BJ166,IF(AB166="x_bookmark_rate",BK166,IF(AB166="x_product_relevance_rate",BL166,""))))))))))))</x:f>
      </x:c>
      <x:c r="BN166" s="73" t="str">
        <x:f>IFERROR(BM166/AT166-1,"")</x:f>
      </x:c>
      <x:c r="BO166" s="73" t="str">
        <x:f>IF(AC166="","",IF(AC166="xhs_save_rate",BA166,IF(AC166="xhs_completion_rate",BB166,IF(AC166="xhs_profile_visit_rate",BC166,IF(AC166="xhs_dm_intent_rate",BD166,IF(AC166="xhs_discussion_rate",BE166,IF(AC166="xhs_product_relevance_rate",BF166,IF(AC166="x_first_screen_engaged_rate_proxy",BG166,IF(AC166="x_qualified_reply_rate",BH166,IF(AC166="x_profile_click_rate",BI166,IF(AC166="x_link_intent_rate",BJ166,IF(AC166="x_bookmark_rate",BK166,IF(AC166="x_product_relevance_rate",BL166,"")))))))))))))</x:f>
      </x:c>
      <x:c r="BP166" s="73" t="str">
        <x:f>IFERROR(BO166/AU166-1,"")</x:f>
      </x:c>
      <x:c r="BQ166" s="74" t="str">
        <x:f>IF(COUNT(AD166)=0,"",AD166)</x:f>
      </x:c>
      <x:c r="BR166" s="73" t="str">
        <x:f>IF(C166="xiaohongshu",IF(COUNT(BA166,BB166)=2,AVERAGE(BA166,BB166),IF(COUNT(BA166)=1,BA166,BB166)),BK166)</x:f>
      </x:c>
      <x:c r="BS166" s="73" t="str">
        <x:f>IF(C166="xiaohongshu",BE166,BH166)</x:f>
      </x:c>
      <x:c r="BT166" s="73" t="str">
        <x:f>IF(C166="xiaohongshu",IF(I166="save",BA166,IF(I166="discussion",BE166,IF(I166="profile_visit",BC166,IF(I166="dm",BD166,IF(OR(I166="product_question",I166="trial_intent"),BF166,""))))),IF(I166="save",BK166,IF(I166="discussion",BH166,IF(OR(I166="profile_visit",I166="dm"),BI166,IF(I166="link_click",BJ166,IF(OR(I166="product_question",I166="trial_intent"),BL166,""))))))</x:f>
      </x:c>
      <x:c r="BU166" s="73" t="str">
        <x:f>IF(C166="xiaohongshu",BF166,BL166)</x:f>
      </x:c>
      <x:c r="BV166" s="65" t="str">
        <x:f>IF(COUNT(BQ166,AV166)&lt;2,"unknown",IF(BQ166/AV166-1&gt;=0.2,"high",IF(BQ166/AV166-1&lt;=-0.2,"low","normal")))</x:f>
        <x:v>unknown</x:v>
      </x:c>
      <x:c r="BW166" s="65" t="str">
        <x:f>IF(COUNT(BR166,AW166)&lt;2,"unknown",IF(BR166/AW166-1&gt;=0.2,"high",IF(BR166/AW166-1&lt;=-0.2,"low","normal")))</x:f>
        <x:v>unknown</x:v>
      </x:c>
      <x:c r="BX166" s="65" t="str">
        <x:f>IF(COUNT(BS166,AX166)&lt;2,"unknown",IF(BS166/AX166-1&gt;=0.2,"high",IF(BS166/AX166-1&lt;=-0.2,"low","normal")))</x:f>
        <x:v>unknown</x:v>
      </x:c>
      <x:c r="BY166" s="65" t="str">
        <x:f>IF(COUNT(BT166,AY166)&lt;2,"unknown",IF(BT166/AY166-1&gt;=0.2,"high",IF(BT166/AY166-1&lt;=-0.2,"low","normal")))</x:f>
        <x:v>unknown</x:v>
      </x:c>
      <x:c r="BZ166" s="65" t="str">
        <x:f>IF(COUNT(BU166,AZ166)&lt;2,"unknown",IF(BU166/AZ166-1&gt;=0.2,"high",IF(BU166/AZ166-1&lt;=-0.2,"low","normal")))</x:f>
        <x:v>unknown</x:v>
      </x:c>
      <x:c r="CA166" s="65" t="str">
        <x:f>IF(T166&lt;&gt;"complete","pending",IF(OR(L166&lt;&gt;"pure",U166="true",COUNT(BM166,AT166)&lt;2,AND(AC166&lt;&gt;"",COUNT(BO166,AU166)&lt;2)),"not_attributable","attributable"))</x:f>
        <x:v>pending</x:v>
      </x:c>
      <x:c r="CB166" s="65" t="str">
        <x:f>IF(T166&lt;&gt;"complete","not_evaluated",IF(COUNT(BM166,AT166)&lt;2,"insufficient_data",IF(AND(AC166&lt;&gt;"",COUNT(BP166)=1,BP166&lt;=-0.2),"guardrail_fail",IF(AND(CA166="not_attributable",OR(BV166="high",BN166&gt;=0.2)),"watchlist",IF(CA166&lt;&gt;"attributable","insufficient_data",IF(BN166&gt;=0.2,"win",IF(BN166&lt;=-0.2,"loss","inconclusive")))))))</x:f>
        <x:v>not_evaluated</x:v>
      </x:c>
      <x:c r="CC166" s="65" t="str">
        <x:f>IF(T166&lt;&gt;"complete","COLLECT_MORE_DATA",IF(COUNT(BM166,AT166)&lt;2,"FIX_TRACKING",IF(CB166="guardrail_fail","STOP_VARIANT_GUARDRAIL",IF(CB166="watchlist","WATCHLIST_ONLY",IF(AND(BV166="high",BY166="low"),"KEEP_HOOK_REWRITE_CTA",IF(AND(BW166="high",BX166="low"),"KEEP_STRUCTURE_CHANGE_DISCUSSION_ANGLE",IF(AND(BX166="high",BZ166="low"),"DOWNWEIGHT_TEMPLATE",IF(CB166="win","RETEST_WINNER",IF(CB166="loss","RETURN_TO_BASELINE","COLLECT_MORE_DATA")))))))))</x:f>
        <x:v>COLLECT_MORE_DATA</x:v>
      </x:c>
      <x:c r="CD166" s="75"/>
    </x:row>
    <x:row r="167">
      <x:c r="A167" s="68"/>
      <x:c r="B167" s="69"/>
      <x:c r="C167" s="68"/>
      <x:c r="D167" s="68"/>
      <x:c r="E167" s="68"/>
      <x:c r="F167" s="68"/>
      <x:c r="G167" s="68"/>
      <x:c r="H167" s="70"/>
      <x:c r="I167" s="68"/>
      <x:c r="J167" s="68"/>
      <x:c r="K167" s="68"/>
      <x:c r="L167" s="71" t="str">
        <x:f>IF(K167="","unknown",IF(K167=0,"baseline",IF(K167=1,"pure","mixed")))</x:f>
        <x:v>unknown</x:v>
      </x:c>
      <x:c r="M167" s="68"/>
      <x:c r="N167" s="68"/>
      <x:c r="O167" s="68"/>
      <x:c r="P167" s="68"/>
      <x:c r="Q167" s="68"/>
      <x:c r="R167" s="68"/>
      <x:c r="S167" s="68"/>
      <x:c r="T167" s="68"/>
      <x:c r="U167" s="68"/>
      <x:c r="V167" s="68"/>
      <x:c r="W167" s="68"/>
      <x:c r="X167" s="68"/>
      <x:c r="Y167" s="68"/>
      <x:c r="Z167" s="68"/>
      <x:c r="AA167" s="68"/>
      <x:c r="AB167" s="68"/>
      <x:c r="AC167" s="68"/>
      <x:c r="AD167" s="70"/>
      <x:c r="AE167" s="70"/>
      <x:c r="AF167" s="70"/>
      <x:c r="AG167" s="70"/>
      <x:c r="AH167" s="70"/>
      <x:c r="AI167" s="70"/>
      <x:c r="AJ167" s="70"/>
      <x:c r="AK167" s="70"/>
      <x:c r="AL167" s="70"/>
      <x:c r="AM167" s="70"/>
      <x:c r="AN167" s="70"/>
      <x:c r="AO167" s="70"/>
      <x:c r="AP167" s="70"/>
      <x:c r="AQ167" s="70"/>
      <x:c r="AR167" s="70"/>
      <x:c r="AS167" s="70"/>
      <x:c r="AT167" s="72"/>
      <x:c r="AU167" s="72"/>
      <x:c r="AV167" s="72"/>
      <x:c r="AW167" s="72"/>
      <x:c r="AX167" s="72"/>
      <x:c r="AY167" s="72"/>
      <x:c r="AZ167" s="72"/>
      <x:c r="BA167" s="73" t="str">
        <x:f>IF(C167="xiaohongshu",IF(COUNT(AF167,AE167)&lt;2,"",IFERROR(AF167/AE167,"")),"")</x:f>
      </x:c>
      <x:c r="BB167" s="73" t="str">
        <x:f>IF(C167="xiaohongshu",IF(COUNT(AG167,AE167)&lt;2,"",IFERROR(AG167/AE167,"")),"")</x:f>
      </x:c>
      <x:c r="BC167" s="73" t="str">
        <x:f>IF(C167="xiaohongshu",IF(COUNT(AN167,AE167)&lt;2,"",IFERROR(AN167/AE167,"")),"")</x:f>
      </x:c>
      <x:c r="BD167" s="73" t="str">
        <x:f>IF(C167="xiaohongshu",IF(COUNT(AQ167,AE167)&lt;2,"",IFERROR(AQ167/AE167,"")),"")</x:f>
      </x:c>
      <x:c r="BE167" s="73" t="str">
        <x:f>IF(C167="xiaohongshu",IF(COUNT(AI167,AE167)&lt;2,"",IFERROR(AI167/AE167,"")),"")</x:f>
      </x:c>
      <x:c r="BF167" s="73" t="str">
        <x:f>IF(C167="xiaohongshu",IF(OR(COUNT(AE167)=0,COUNT(AR167,AS167)=0),"",IFERROR((AR167+AS167)/AE167,"")),"")</x:f>
      </x:c>
      <x:c r="BG167" s="73" t="str">
        <x:f>IF(C167="x",IF(COUNT(AD167)=0,"",IF(COUNT(AM167)=1,IFERROR(AM167/AD167,""),IF(COUNT(AH167,AI167,AK167,AL167)=0,"",IFERROR(SUM(AH167,AI167,AK167,AL167)/AD167,"")))),"")</x:f>
      </x:c>
      <x:c r="BH167" s="73" t="str">
        <x:f>IF(C167="x",IF(COUNT(AJ167,AD167)&lt;2,"",IFERROR(AJ167/AD167,"")),"")</x:f>
      </x:c>
      <x:c r="BI167" s="73" t="str">
        <x:f>IF(C167="x",IF(COUNT(AO167,AD167)&lt;2,"",IFERROR(AO167/AD167,"")),"")</x:f>
      </x:c>
      <x:c r="BJ167" s="73" t="str">
        <x:f>IF(C167="x",IF(COUNT(AP167,AD167)&lt;2,"",IFERROR(AP167/AD167,"")),"")</x:f>
      </x:c>
      <x:c r="BK167" s="73" t="str">
        <x:f>IF(C167="x",IF(COUNT(AL167,AD167)&lt;2,"",IFERROR(AL167/AD167,"")),"")</x:f>
      </x:c>
      <x:c r="BL167" s="73" t="str">
        <x:f>IF(C167="x",IF(OR(COUNT(AD167)=0,COUNT(AR167,AS167)=0),"",IFERROR((AR167+AS167)/AD167,"")),"")</x:f>
      </x:c>
      <x:c r="BM167" s="73" t="str">
        <x:f>IF(AB167="xhs_save_rate",BA167,IF(AB167="xhs_completion_rate",BB167,IF(AB167="xhs_profile_visit_rate",BC167,IF(AB167="xhs_dm_intent_rate",BD167,IF(AB167="xhs_discussion_rate",BE167,IF(AB167="xhs_product_relevance_rate",BF167,IF(AB167="x_first_screen_engaged_rate_proxy",BG167,IF(AB167="x_qualified_reply_rate",BH167,IF(AB167="x_profile_click_rate",BI167,IF(AB167="x_link_intent_rate",BJ167,IF(AB167="x_bookmark_rate",BK167,IF(AB167="x_product_relevance_rate",BL167,""))))))))))))</x:f>
      </x:c>
      <x:c r="BN167" s="73" t="str">
        <x:f>IFERROR(BM167/AT167-1,"")</x:f>
      </x:c>
      <x:c r="BO167" s="73" t="str">
        <x:f>IF(AC167="","",IF(AC167="xhs_save_rate",BA167,IF(AC167="xhs_completion_rate",BB167,IF(AC167="xhs_profile_visit_rate",BC167,IF(AC167="xhs_dm_intent_rate",BD167,IF(AC167="xhs_discussion_rate",BE167,IF(AC167="xhs_product_relevance_rate",BF167,IF(AC167="x_first_screen_engaged_rate_proxy",BG167,IF(AC167="x_qualified_reply_rate",BH167,IF(AC167="x_profile_click_rate",BI167,IF(AC167="x_link_intent_rate",BJ167,IF(AC167="x_bookmark_rate",BK167,IF(AC167="x_product_relevance_rate",BL167,"")))))))))))))</x:f>
      </x:c>
      <x:c r="BP167" s="73" t="str">
        <x:f>IFERROR(BO167/AU167-1,"")</x:f>
      </x:c>
      <x:c r="BQ167" s="74" t="str">
        <x:f>IF(COUNT(AD167)=0,"",AD167)</x:f>
      </x:c>
      <x:c r="BR167" s="73" t="str">
        <x:f>IF(C167="xiaohongshu",IF(COUNT(BA167,BB167)=2,AVERAGE(BA167,BB167),IF(COUNT(BA167)=1,BA167,BB167)),BK167)</x:f>
      </x:c>
      <x:c r="BS167" s="73" t="str">
        <x:f>IF(C167="xiaohongshu",BE167,BH167)</x:f>
      </x:c>
      <x:c r="BT167" s="73" t="str">
        <x:f>IF(C167="xiaohongshu",IF(I167="save",BA167,IF(I167="discussion",BE167,IF(I167="profile_visit",BC167,IF(I167="dm",BD167,IF(OR(I167="product_question",I167="trial_intent"),BF167,""))))),IF(I167="save",BK167,IF(I167="discussion",BH167,IF(OR(I167="profile_visit",I167="dm"),BI167,IF(I167="link_click",BJ167,IF(OR(I167="product_question",I167="trial_intent"),BL167,""))))))</x:f>
      </x:c>
      <x:c r="BU167" s="73" t="str">
        <x:f>IF(C167="xiaohongshu",BF167,BL167)</x:f>
      </x:c>
      <x:c r="BV167" s="65" t="str">
        <x:f>IF(COUNT(BQ167,AV167)&lt;2,"unknown",IF(BQ167/AV167-1&gt;=0.2,"high",IF(BQ167/AV167-1&lt;=-0.2,"low","normal")))</x:f>
        <x:v>unknown</x:v>
      </x:c>
      <x:c r="BW167" s="65" t="str">
        <x:f>IF(COUNT(BR167,AW167)&lt;2,"unknown",IF(BR167/AW167-1&gt;=0.2,"high",IF(BR167/AW167-1&lt;=-0.2,"low","normal")))</x:f>
        <x:v>unknown</x:v>
      </x:c>
      <x:c r="BX167" s="65" t="str">
        <x:f>IF(COUNT(BS167,AX167)&lt;2,"unknown",IF(BS167/AX167-1&gt;=0.2,"high",IF(BS167/AX167-1&lt;=-0.2,"low","normal")))</x:f>
        <x:v>unknown</x:v>
      </x:c>
      <x:c r="BY167" s="65" t="str">
        <x:f>IF(COUNT(BT167,AY167)&lt;2,"unknown",IF(BT167/AY167-1&gt;=0.2,"high",IF(BT167/AY167-1&lt;=-0.2,"low","normal")))</x:f>
        <x:v>unknown</x:v>
      </x:c>
      <x:c r="BZ167" s="65" t="str">
        <x:f>IF(COUNT(BU167,AZ167)&lt;2,"unknown",IF(BU167/AZ167-1&gt;=0.2,"high",IF(BU167/AZ167-1&lt;=-0.2,"low","normal")))</x:f>
        <x:v>unknown</x:v>
      </x:c>
      <x:c r="CA167" s="65" t="str">
        <x:f>IF(T167&lt;&gt;"complete","pending",IF(OR(L167&lt;&gt;"pure",U167="true",COUNT(BM167,AT167)&lt;2,AND(AC167&lt;&gt;"",COUNT(BO167,AU167)&lt;2)),"not_attributable","attributable"))</x:f>
        <x:v>pending</x:v>
      </x:c>
      <x:c r="CB167" s="65" t="str">
        <x:f>IF(T167&lt;&gt;"complete","not_evaluated",IF(COUNT(BM167,AT167)&lt;2,"insufficient_data",IF(AND(AC167&lt;&gt;"",COUNT(BP167)=1,BP167&lt;=-0.2),"guardrail_fail",IF(AND(CA167="not_attributable",OR(BV167="high",BN167&gt;=0.2)),"watchlist",IF(CA167&lt;&gt;"attributable","insufficient_data",IF(BN167&gt;=0.2,"win",IF(BN167&lt;=-0.2,"loss","inconclusive")))))))</x:f>
        <x:v>not_evaluated</x:v>
      </x:c>
      <x:c r="CC167" s="65" t="str">
        <x:f>IF(T167&lt;&gt;"complete","COLLECT_MORE_DATA",IF(COUNT(BM167,AT167)&lt;2,"FIX_TRACKING",IF(CB167="guardrail_fail","STOP_VARIANT_GUARDRAIL",IF(CB167="watchlist","WATCHLIST_ONLY",IF(AND(BV167="high",BY167="low"),"KEEP_HOOK_REWRITE_CTA",IF(AND(BW167="high",BX167="low"),"KEEP_STRUCTURE_CHANGE_DISCUSSION_ANGLE",IF(AND(BX167="high",BZ167="low"),"DOWNWEIGHT_TEMPLATE",IF(CB167="win","RETEST_WINNER",IF(CB167="loss","RETURN_TO_BASELINE","COLLECT_MORE_DATA")))))))))</x:f>
        <x:v>COLLECT_MORE_DATA</x:v>
      </x:c>
      <x:c r="CD167" s="75"/>
    </x:row>
    <x:row r="168">
      <x:c r="A168" s="68"/>
      <x:c r="B168" s="69"/>
      <x:c r="C168" s="68"/>
      <x:c r="D168" s="68"/>
      <x:c r="E168" s="68"/>
      <x:c r="F168" s="68"/>
      <x:c r="G168" s="68"/>
      <x:c r="H168" s="70"/>
      <x:c r="I168" s="68"/>
      <x:c r="J168" s="68"/>
      <x:c r="K168" s="68"/>
      <x:c r="L168" s="71" t="str">
        <x:f>IF(K168="","unknown",IF(K168=0,"baseline",IF(K168=1,"pure","mixed")))</x:f>
        <x:v>unknown</x:v>
      </x:c>
      <x:c r="M168" s="68"/>
      <x:c r="N168" s="68"/>
      <x:c r="O168" s="68"/>
      <x:c r="P168" s="68"/>
      <x:c r="Q168" s="68"/>
      <x:c r="R168" s="68"/>
      <x:c r="S168" s="68"/>
      <x:c r="T168" s="68"/>
      <x:c r="U168" s="68"/>
      <x:c r="V168" s="68"/>
      <x:c r="W168" s="68"/>
      <x:c r="X168" s="68"/>
      <x:c r="Y168" s="68"/>
      <x:c r="Z168" s="68"/>
      <x:c r="AA168" s="68"/>
      <x:c r="AB168" s="68"/>
      <x:c r="AC168" s="68"/>
      <x:c r="AD168" s="70"/>
      <x:c r="AE168" s="70"/>
      <x:c r="AF168" s="70"/>
      <x:c r="AG168" s="70"/>
      <x:c r="AH168" s="70"/>
      <x:c r="AI168" s="70"/>
      <x:c r="AJ168" s="70"/>
      <x:c r="AK168" s="70"/>
      <x:c r="AL168" s="70"/>
      <x:c r="AM168" s="70"/>
      <x:c r="AN168" s="70"/>
      <x:c r="AO168" s="70"/>
      <x:c r="AP168" s="70"/>
      <x:c r="AQ168" s="70"/>
      <x:c r="AR168" s="70"/>
      <x:c r="AS168" s="70"/>
      <x:c r="AT168" s="72"/>
      <x:c r="AU168" s="72"/>
      <x:c r="AV168" s="72"/>
      <x:c r="AW168" s="72"/>
      <x:c r="AX168" s="72"/>
      <x:c r="AY168" s="72"/>
      <x:c r="AZ168" s="72"/>
      <x:c r="BA168" s="73" t="str">
        <x:f>IF(C168="xiaohongshu",IF(COUNT(AF168,AE168)&lt;2,"",IFERROR(AF168/AE168,"")),"")</x:f>
      </x:c>
      <x:c r="BB168" s="73" t="str">
        <x:f>IF(C168="xiaohongshu",IF(COUNT(AG168,AE168)&lt;2,"",IFERROR(AG168/AE168,"")),"")</x:f>
      </x:c>
      <x:c r="BC168" s="73" t="str">
        <x:f>IF(C168="xiaohongshu",IF(COUNT(AN168,AE168)&lt;2,"",IFERROR(AN168/AE168,"")),"")</x:f>
      </x:c>
      <x:c r="BD168" s="73" t="str">
        <x:f>IF(C168="xiaohongshu",IF(COUNT(AQ168,AE168)&lt;2,"",IFERROR(AQ168/AE168,"")),"")</x:f>
      </x:c>
      <x:c r="BE168" s="73" t="str">
        <x:f>IF(C168="xiaohongshu",IF(COUNT(AI168,AE168)&lt;2,"",IFERROR(AI168/AE168,"")),"")</x:f>
      </x:c>
      <x:c r="BF168" s="73" t="str">
        <x:f>IF(C168="xiaohongshu",IF(OR(COUNT(AE168)=0,COUNT(AR168,AS168)=0),"",IFERROR((AR168+AS168)/AE168,"")),"")</x:f>
      </x:c>
      <x:c r="BG168" s="73" t="str">
        <x:f>IF(C168="x",IF(COUNT(AD168)=0,"",IF(COUNT(AM168)=1,IFERROR(AM168/AD168,""),IF(COUNT(AH168,AI168,AK168,AL168)=0,"",IFERROR(SUM(AH168,AI168,AK168,AL168)/AD168,"")))),"")</x:f>
      </x:c>
      <x:c r="BH168" s="73" t="str">
        <x:f>IF(C168="x",IF(COUNT(AJ168,AD168)&lt;2,"",IFERROR(AJ168/AD168,"")),"")</x:f>
      </x:c>
      <x:c r="BI168" s="73" t="str">
        <x:f>IF(C168="x",IF(COUNT(AO168,AD168)&lt;2,"",IFERROR(AO168/AD168,"")),"")</x:f>
      </x:c>
      <x:c r="BJ168" s="73" t="str">
        <x:f>IF(C168="x",IF(COUNT(AP168,AD168)&lt;2,"",IFERROR(AP168/AD168,"")),"")</x:f>
      </x:c>
      <x:c r="BK168" s="73" t="str">
        <x:f>IF(C168="x",IF(COUNT(AL168,AD168)&lt;2,"",IFERROR(AL168/AD168,"")),"")</x:f>
      </x:c>
      <x:c r="BL168" s="73" t="str">
        <x:f>IF(C168="x",IF(OR(COUNT(AD168)=0,COUNT(AR168,AS168)=0),"",IFERROR((AR168+AS168)/AD168,"")),"")</x:f>
      </x:c>
      <x:c r="BM168" s="73" t="str">
        <x:f>IF(AB168="xhs_save_rate",BA168,IF(AB168="xhs_completion_rate",BB168,IF(AB168="xhs_profile_visit_rate",BC168,IF(AB168="xhs_dm_intent_rate",BD168,IF(AB168="xhs_discussion_rate",BE168,IF(AB168="xhs_product_relevance_rate",BF168,IF(AB168="x_first_screen_engaged_rate_proxy",BG168,IF(AB168="x_qualified_reply_rate",BH168,IF(AB168="x_profile_click_rate",BI168,IF(AB168="x_link_intent_rate",BJ168,IF(AB168="x_bookmark_rate",BK168,IF(AB168="x_product_relevance_rate",BL168,""))))))))))))</x:f>
      </x:c>
      <x:c r="BN168" s="73" t="str">
        <x:f>IFERROR(BM168/AT168-1,"")</x:f>
      </x:c>
      <x:c r="BO168" s="73" t="str">
        <x:f>IF(AC168="","",IF(AC168="xhs_save_rate",BA168,IF(AC168="xhs_completion_rate",BB168,IF(AC168="xhs_profile_visit_rate",BC168,IF(AC168="xhs_dm_intent_rate",BD168,IF(AC168="xhs_discussion_rate",BE168,IF(AC168="xhs_product_relevance_rate",BF168,IF(AC168="x_first_screen_engaged_rate_proxy",BG168,IF(AC168="x_qualified_reply_rate",BH168,IF(AC168="x_profile_click_rate",BI168,IF(AC168="x_link_intent_rate",BJ168,IF(AC168="x_bookmark_rate",BK168,IF(AC168="x_product_relevance_rate",BL168,"")))))))))))))</x:f>
      </x:c>
      <x:c r="BP168" s="73" t="str">
        <x:f>IFERROR(BO168/AU168-1,"")</x:f>
      </x:c>
      <x:c r="BQ168" s="74" t="str">
        <x:f>IF(COUNT(AD168)=0,"",AD168)</x:f>
      </x:c>
      <x:c r="BR168" s="73" t="str">
        <x:f>IF(C168="xiaohongshu",IF(COUNT(BA168,BB168)=2,AVERAGE(BA168,BB168),IF(COUNT(BA168)=1,BA168,BB168)),BK168)</x:f>
      </x:c>
      <x:c r="BS168" s="73" t="str">
        <x:f>IF(C168="xiaohongshu",BE168,BH168)</x:f>
      </x:c>
      <x:c r="BT168" s="73" t="str">
        <x:f>IF(C168="xiaohongshu",IF(I168="save",BA168,IF(I168="discussion",BE168,IF(I168="profile_visit",BC168,IF(I168="dm",BD168,IF(OR(I168="product_question",I168="trial_intent"),BF168,""))))),IF(I168="save",BK168,IF(I168="discussion",BH168,IF(OR(I168="profile_visit",I168="dm"),BI168,IF(I168="link_click",BJ168,IF(OR(I168="product_question",I168="trial_intent"),BL168,""))))))</x:f>
      </x:c>
      <x:c r="BU168" s="73" t="str">
        <x:f>IF(C168="xiaohongshu",BF168,BL168)</x:f>
      </x:c>
      <x:c r="BV168" s="65" t="str">
        <x:f>IF(COUNT(BQ168,AV168)&lt;2,"unknown",IF(BQ168/AV168-1&gt;=0.2,"high",IF(BQ168/AV168-1&lt;=-0.2,"low","normal")))</x:f>
        <x:v>unknown</x:v>
      </x:c>
      <x:c r="BW168" s="65" t="str">
        <x:f>IF(COUNT(BR168,AW168)&lt;2,"unknown",IF(BR168/AW168-1&gt;=0.2,"high",IF(BR168/AW168-1&lt;=-0.2,"low","normal")))</x:f>
        <x:v>unknown</x:v>
      </x:c>
      <x:c r="BX168" s="65" t="str">
        <x:f>IF(COUNT(BS168,AX168)&lt;2,"unknown",IF(BS168/AX168-1&gt;=0.2,"high",IF(BS168/AX168-1&lt;=-0.2,"low","normal")))</x:f>
        <x:v>unknown</x:v>
      </x:c>
      <x:c r="BY168" s="65" t="str">
        <x:f>IF(COUNT(BT168,AY168)&lt;2,"unknown",IF(BT168/AY168-1&gt;=0.2,"high",IF(BT168/AY168-1&lt;=-0.2,"low","normal")))</x:f>
        <x:v>unknown</x:v>
      </x:c>
      <x:c r="BZ168" s="65" t="str">
        <x:f>IF(COUNT(BU168,AZ168)&lt;2,"unknown",IF(BU168/AZ168-1&gt;=0.2,"high",IF(BU168/AZ168-1&lt;=-0.2,"low","normal")))</x:f>
        <x:v>unknown</x:v>
      </x:c>
      <x:c r="CA168" s="65" t="str">
        <x:f>IF(T168&lt;&gt;"complete","pending",IF(OR(L168&lt;&gt;"pure",U168="true",COUNT(BM168,AT168)&lt;2,AND(AC168&lt;&gt;"",COUNT(BO168,AU168)&lt;2)),"not_attributable","attributable"))</x:f>
        <x:v>pending</x:v>
      </x:c>
      <x:c r="CB168" s="65" t="str">
        <x:f>IF(T168&lt;&gt;"complete","not_evaluated",IF(COUNT(BM168,AT168)&lt;2,"insufficient_data",IF(AND(AC168&lt;&gt;"",COUNT(BP168)=1,BP168&lt;=-0.2),"guardrail_fail",IF(AND(CA168="not_attributable",OR(BV168="high",BN168&gt;=0.2)),"watchlist",IF(CA168&lt;&gt;"attributable","insufficient_data",IF(BN168&gt;=0.2,"win",IF(BN168&lt;=-0.2,"loss","inconclusive")))))))</x:f>
        <x:v>not_evaluated</x:v>
      </x:c>
      <x:c r="CC168" s="65" t="str">
        <x:f>IF(T168&lt;&gt;"complete","COLLECT_MORE_DATA",IF(COUNT(BM168,AT168)&lt;2,"FIX_TRACKING",IF(CB168="guardrail_fail","STOP_VARIANT_GUARDRAIL",IF(CB168="watchlist","WATCHLIST_ONLY",IF(AND(BV168="high",BY168="low"),"KEEP_HOOK_REWRITE_CTA",IF(AND(BW168="high",BX168="low"),"KEEP_STRUCTURE_CHANGE_DISCUSSION_ANGLE",IF(AND(BX168="high",BZ168="low"),"DOWNWEIGHT_TEMPLATE",IF(CB168="win","RETEST_WINNER",IF(CB168="loss","RETURN_TO_BASELINE","COLLECT_MORE_DATA")))))))))</x:f>
        <x:v>COLLECT_MORE_DATA</x:v>
      </x:c>
      <x:c r="CD168" s="75"/>
    </x:row>
    <x:row r="169">
      <x:c r="A169" s="68"/>
      <x:c r="B169" s="69"/>
      <x:c r="C169" s="68"/>
      <x:c r="D169" s="68"/>
      <x:c r="E169" s="68"/>
      <x:c r="F169" s="68"/>
      <x:c r="G169" s="68"/>
      <x:c r="H169" s="70"/>
      <x:c r="I169" s="68"/>
      <x:c r="J169" s="68"/>
      <x:c r="K169" s="68"/>
      <x:c r="L169" s="71" t="str">
        <x:f>IF(K169="","unknown",IF(K169=0,"baseline",IF(K169=1,"pure","mixed")))</x:f>
        <x:v>unknown</x:v>
      </x:c>
      <x:c r="M169" s="68"/>
      <x:c r="N169" s="68"/>
      <x:c r="O169" s="68"/>
      <x:c r="P169" s="68"/>
      <x:c r="Q169" s="68"/>
      <x:c r="R169" s="68"/>
      <x:c r="S169" s="68"/>
      <x:c r="T169" s="68"/>
      <x:c r="U169" s="68"/>
      <x:c r="V169" s="68"/>
      <x:c r="W169" s="68"/>
      <x:c r="X169" s="68"/>
      <x:c r="Y169" s="68"/>
      <x:c r="Z169" s="68"/>
      <x:c r="AA169" s="68"/>
      <x:c r="AB169" s="68"/>
      <x:c r="AC169" s="68"/>
      <x:c r="AD169" s="70"/>
      <x:c r="AE169" s="70"/>
      <x:c r="AF169" s="70"/>
      <x:c r="AG169" s="70"/>
      <x:c r="AH169" s="70"/>
      <x:c r="AI169" s="70"/>
      <x:c r="AJ169" s="70"/>
      <x:c r="AK169" s="70"/>
      <x:c r="AL169" s="70"/>
      <x:c r="AM169" s="70"/>
      <x:c r="AN169" s="70"/>
      <x:c r="AO169" s="70"/>
      <x:c r="AP169" s="70"/>
      <x:c r="AQ169" s="70"/>
      <x:c r="AR169" s="70"/>
      <x:c r="AS169" s="70"/>
      <x:c r="AT169" s="72"/>
      <x:c r="AU169" s="72"/>
      <x:c r="AV169" s="72"/>
      <x:c r="AW169" s="72"/>
      <x:c r="AX169" s="72"/>
      <x:c r="AY169" s="72"/>
      <x:c r="AZ169" s="72"/>
      <x:c r="BA169" s="73" t="str">
        <x:f>IF(C169="xiaohongshu",IF(COUNT(AF169,AE169)&lt;2,"",IFERROR(AF169/AE169,"")),"")</x:f>
      </x:c>
      <x:c r="BB169" s="73" t="str">
        <x:f>IF(C169="xiaohongshu",IF(COUNT(AG169,AE169)&lt;2,"",IFERROR(AG169/AE169,"")),"")</x:f>
      </x:c>
      <x:c r="BC169" s="73" t="str">
        <x:f>IF(C169="xiaohongshu",IF(COUNT(AN169,AE169)&lt;2,"",IFERROR(AN169/AE169,"")),"")</x:f>
      </x:c>
      <x:c r="BD169" s="73" t="str">
        <x:f>IF(C169="xiaohongshu",IF(COUNT(AQ169,AE169)&lt;2,"",IFERROR(AQ169/AE169,"")),"")</x:f>
      </x:c>
      <x:c r="BE169" s="73" t="str">
        <x:f>IF(C169="xiaohongshu",IF(COUNT(AI169,AE169)&lt;2,"",IFERROR(AI169/AE169,"")),"")</x:f>
      </x:c>
      <x:c r="BF169" s="73" t="str">
        <x:f>IF(C169="xiaohongshu",IF(OR(COUNT(AE169)=0,COUNT(AR169,AS169)=0),"",IFERROR((AR169+AS169)/AE169,"")),"")</x:f>
      </x:c>
      <x:c r="BG169" s="73" t="str">
        <x:f>IF(C169="x",IF(COUNT(AD169)=0,"",IF(COUNT(AM169)=1,IFERROR(AM169/AD169,""),IF(COUNT(AH169,AI169,AK169,AL169)=0,"",IFERROR(SUM(AH169,AI169,AK169,AL169)/AD169,"")))),"")</x:f>
      </x:c>
      <x:c r="BH169" s="73" t="str">
        <x:f>IF(C169="x",IF(COUNT(AJ169,AD169)&lt;2,"",IFERROR(AJ169/AD169,"")),"")</x:f>
      </x:c>
      <x:c r="BI169" s="73" t="str">
        <x:f>IF(C169="x",IF(COUNT(AO169,AD169)&lt;2,"",IFERROR(AO169/AD169,"")),"")</x:f>
      </x:c>
      <x:c r="BJ169" s="73" t="str">
        <x:f>IF(C169="x",IF(COUNT(AP169,AD169)&lt;2,"",IFERROR(AP169/AD169,"")),"")</x:f>
      </x:c>
      <x:c r="BK169" s="73" t="str">
        <x:f>IF(C169="x",IF(COUNT(AL169,AD169)&lt;2,"",IFERROR(AL169/AD169,"")),"")</x:f>
      </x:c>
      <x:c r="BL169" s="73" t="str">
        <x:f>IF(C169="x",IF(OR(COUNT(AD169)=0,COUNT(AR169,AS169)=0),"",IFERROR((AR169+AS169)/AD169,"")),"")</x:f>
      </x:c>
      <x:c r="BM169" s="73" t="str">
        <x:f>IF(AB169="xhs_save_rate",BA169,IF(AB169="xhs_completion_rate",BB169,IF(AB169="xhs_profile_visit_rate",BC169,IF(AB169="xhs_dm_intent_rate",BD169,IF(AB169="xhs_discussion_rate",BE169,IF(AB169="xhs_product_relevance_rate",BF169,IF(AB169="x_first_screen_engaged_rate_proxy",BG169,IF(AB169="x_qualified_reply_rate",BH169,IF(AB169="x_profile_click_rate",BI169,IF(AB169="x_link_intent_rate",BJ169,IF(AB169="x_bookmark_rate",BK169,IF(AB169="x_product_relevance_rate",BL169,""))))))))))))</x:f>
      </x:c>
      <x:c r="BN169" s="73" t="str">
        <x:f>IFERROR(BM169/AT169-1,"")</x:f>
      </x:c>
      <x:c r="BO169" s="73" t="str">
        <x:f>IF(AC169="","",IF(AC169="xhs_save_rate",BA169,IF(AC169="xhs_completion_rate",BB169,IF(AC169="xhs_profile_visit_rate",BC169,IF(AC169="xhs_dm_intent_rate",BD169,IF(AC169="xhs_discussion_rate",BE169,IF(AC169="xhs_product_relevance_rate",BF169,IF(AC169="x_first_screen_engaged_rate_proxy",BG169,IF(AC169="x_qualified_reply_rate",BH169,IF(AC169="x_profile_click_rate",BI169,IF(AC169="x_link_intent_rate",BJ169,IF(AC169="x_bookmark_rate",BK169,IF(AC169="x_product_relevance_rate",BL169,"")))))))))))))</x:f>
      </x:c>
      <x:c r="BP169" s="73" t="str">
        <x:f>IFERROR(BO169/AU169-1,"")</x:f>
      </x:c>
      <x:c r="BQ169" s="74" t="str">
        <x:f>IF(COUNT(AD169)=0,"",AD169)</x:f>
      </x:c>
      <x:c r="BR169" s="73" t="str">
        <x:f>IF(C169="xiaohongshu",IF(COUNT(BA169,BB169)=2,AVERAGE(BA169,BB169),IF(COUNT(BA169)=1,BA169,BB169)),BK169)</x:f>
      </x:c>
      <x:c r="BS169" s="73" t="str">
        <x:f>IF(C169="xiaohongshu",BE169,BH169)</x:f>
      </x:c>
      <x:c r="BT169" s="73" t="str">
        <x:f>IF(C169="xiaohongshu",IF(I169="save",BA169,IF(I169="discussion",BE169,IF(I169="profile_visit",BC169,IF(I169="dm",BD169,IF(OR(I169="product_question",I169="trial_intent"),BF169,""))))),IF(I169="save",BK169,IF(I169="discussion",BH169,IF(OR(I169="profile_visit",I169="dm"),BI169,IF(I169="link_click",BJ169,IF(OR(I169="product_question",I169="trial_intent"),BL169,""))))))</x:f>
      </x:c>
      <x:c r="BU169" s="73" t="str">
        <x:f>IF(C169="xiaohongshu",BF169,BL169)</x:f>
      </x:c>
      <x:c r="BV169" s="65" t="str">
        <x:f>IF(COUNT(BQ169,AV169)&lt;2,"unknown",IF(BQ169/AV169-1&gt;=0.2,"high",IF(BQ169/AV169-1&lt;=-0.2,"low","normal")))</x:f>
        <x:v>unknown</x:v>
      </x:c>
      <x:c r="BW169" s="65" t="str">
        <x:f>IF(COUNT(BR169,AW169)&lt;2,"unknown",IF(BR169/AW169-1&gt;=0.2,"high",IF(BR169/AW169-1&lt;=-0.2,"low","normal")))</x:f>
        <x:v>unknown</x:v>
      </x:c>
      <x:c r="BX169" s="65" t="str">
        <x:f>IF(COUNT(BS169,AX169)&lt;2,"unknown",IF(BS169/AX169-1&gt;=0.2,"high",IF(BS169/AX169-1&lt;=-0.2,"low","normal")))</x:f>
        <x:v>unknown</x:v>
      </x:c>
      <x:c r="BY169" s="65" t="str">
        <x:f>IF(COUNT(BT169,AY169)&lt;2,"unknown",IF(BT169/AY169-1&gt;=0.2,"high",IF(BT169/AY169-1&lt;=-0.2,"low","normal")))</x:f>
        <x:v>unknown</x:v>
      </x:c>
      <x:c r="BZ169" s="65" t="str">
        <x:f>IF(COUNT(BU169,AZ169)&lt;2,"unknown",IF(BU169/AZ169-1&gt;=0.2,"high",IF(BU169/AZ169-1&lt;=-0.2,"low","normal")))</x:f>
        <x:v>unknown</x:v>
      </x:c>
      <x:c r="CA169" s="65" t="str">
        <x:f>IF(T169&lt;&gt;"complete","pending",IF(OR(L169&lt;&gt;"pure",U169="true",COUNT(BM169,AT169)&lt;2,AND(AC169&lt;&gt;"",COUNT(BO169,AU169)&lt;2)),"not_attributable","attributable"))</x:f>
        <x:v>pending</x:v>
      </x:c>
      <x:c r="CB169" s="65" t="str">
        <x:f>IF(T169&lt;&gt;"complete","not_evaluated",IF(COUNT(BM169,AT169)&lt;2,"insufficient_data",IF(AND(AC169&lt;&gt;"",COUNT(BP169)=1,BP169&lt;=-0.2),"guardrail_fail",IF(AND(CA169="not_attributable",OR(BV169="high",BN169&gt;=0.2)),"watchlist",IF(CA169&lt;&gt;"attributable","insufficient_data",IF(BN169&gt;=0.2,"win",IF(BN169&lt;=-0.2,"loss","inconclusive")))))))</x:f>
        <x:v>not_evaluated</x:v>
      </x:c>
      <x:c r="CC169" s="65" t="str">
        <x:f>IF(T169&lt;&gt;"complete","COLLECT_MORE_DATA",IF(COUNT(BM169,AT169)&lt;2,"FIX_TRACKING",IF(CB169="guardrail_fail","STOP_VARIANT_GUARDRAIL",IF(CB169="watchlist","WATCHLIST_ONLY",IF(AND(BV169="high",BY169="low"),"KEEP_HOOK_REWRITE_CTA",IF(AND(BW169="high",BX169="low"),"KEEP_STRUCTURE_CHANGE_DISCUSSION_ANGLE",IF(AND(BX169="high",BZ169="low"),"DOWNWEIGHT_TEMPLATE",IF(CB169="win","RETEST_WINNER",IF(CB169="loss","RETURN_TO_BASELINE","COLLECT_MORE_DATA")))))))))</x:f>
        <x:v>COLLECT_MORE_DATA</x:v>
      </x:c>
      <x:c r="CD169" s="75"/>
    </x:row>
    <x:row r="170">
      <x:c r="A170" s="68"/>
      <x:c r="B170" s="69"/>
      <x:c r="C170" s="68"/>
      <x:c r="D170" s="68"/>
      <x:c r="E170" s="68"/>
      <x:c r="F170" s="68"/>
      <x:c r="G170" s="68"/>
      <x:c r="H170" s="70"/>
      <x:c r="I170" s="68"/>
      <x:c r="J170" s="68"/>
      <x:c r="K170" s="68"/>
      <x:c r="L170" s="71" t="str">
        <x:f>IF(K170="","unknown",IF(K170=0,"baseline",IF(K170=1,"pure","mixed")))</x:f>
        <x:v>unknown</x:v>
      </x:c>
      <x:c r="M170" s="68"/>
      <x:c r="N170" s="68"/>
      <x:c r="O170" s="68"/>
      <x:c r="P170" s="68"/>
      <x:c r="Q170" s="68"/>
      <x:c r="R170" s="68"/>
      <x:c r="S170" s="68"/>
      <x:c r="T170" s="68"/>
      <x:c r="U170" s="68"/>
      <x:c r="V170" s="68"/>
      <x:c r="W170" s="68"/>
      <x:c r="X170" s="68"/>
      <x:c r="Y170" s="68"/>
      <x:c r="Z170" s="68"/>
      <x:c r="AA170" s="68"/>
      <x:c r="AB170" s="68"/>
      <x:c r="AC170" s="68"/>
      <x:c r="AD170" s="70"/>
      <x:c r="AE170" s="70"/>
      <x:c r="AF170" s="70"/>
      <x:c r="AG170" s="70"/>
      <x:c r="AH170" s="70"/>
      <x:c r="AI170" s="70"/>
      <x:c r="AJ170" s="70"/>
      <x:c r="AK170" s="70"/>
      <x:c r="AL170" s="70"/>
      <x:c r="AM170" s="70"/>
      <x:c r="AN170" s="70"/>
      <x:c r="AO170" s="70"/>
      <x:c r="AP170" s="70"/>
      <x:c r="AQ170" s="70"/>
      <x:c r="AR170" s="70"/>
      <x:c r="AS170" s="70"/>
      <x:c r="AT170" s="72"/>
      <x:c r="AU170" s="72"/>
      <x:c r="AV170" s="72"/>
      <x:c r="AW170" s="72"/>
      <x:c r="AX170" s="72"/>
      <x:c r="AY170" s="72"/>
      <x:c r="AZ170" s="72"/>
      <x:c r="BA170" s="73" t="str">
        <x:f>IF(C170="xiaohongshu",IF(COUNT(AF170,AE170)&lt;2,"",IFERROR(AF170/AE170,"")),"")</x:f>
      </x:c>
      <x:c r="BB170" s="73" t="str">
        <x:f>IF(C170="xiaohongshu",IF(COUNT(AG170,AE170)&lt;2,"",IFERROR(AG170/AE170,"")),"")</x:f>
      </x:c>
      <x:c r="BC170" s="73" t="str">
        <x:f>IF(C170="xiaohongshu",IF(COUNT(AN170,AE170)&lt;2,"",IFERROR(AN170/AE170,"")),"")</x:f>
      </x:c>
      <x:c r="BD170" s="73" t="str">
        <x:f>IF(C170="xiaohongshu",IF(COUNT(AQ170,AE170)&lt;2,"",IFERROR(AQ170/AE170,"")),"")</x:f>
      </x:c>
      <x:c r="BE170" s="73" t="str">
        <x:f>IF(C170="xiaohongshu",IF(COUNT(AI170,AE170)&lt;2,"",IFERROR(AI170/AE170,"")),"")</x:f>
      </x:c>
      <x:c r="BF170" s="73" t="str">
        <x:f>IF(C170="xiaohongshu",IF(OR(COUNT(AE170)=0,COUNT(AR170,AS170)=0),"",IFERROR((AR170+AS170)/AE170,"")),"")</x:f>
      </x:c>
      <x:c r="BG170" s="73" t="str">
        <x:f>IF(C170="x",IF(COUNT(AD170)=0,"",IF(COUNT(AM170)=1,IFERROR(AM170/AD170,""),IF(COUNT(AH170,AI170,AK170,AL170)=0,"",IFERROR(SUM(AH170,AI170,AK170,AL170)/AD170,"")))),"")</x:f>
      </x:c>
      <x:c r="BH170" s="73" t="str">
        <x:f>IF(C170="x",IF(COUNT(AJ170,AD170)&lt;2,"",IFERROR(AJ170/AD170,"")),"")</x:f>
      </x:c>
      <x:c r="BI170" s="73" t="str">
        <x:f>IF(C170="x",IF(COUNT(AO170,AD170)&lt;2,"",IFERROR(AO170/AD170,"")),"")</x:f>
      </x:c>
      <x:c r="BJ170" s="73" t="str">
        <x:f>IF(C170="x",IF(COUNT(AP170,AD170)&lt;2,"",IFERROR(AP170/AD170,"")),"")</x:f>
      </x:c>
      <x:c r="BK170" s="73" t="str">
        <x:f>IF(C170="x",IF(COUNT(AL170,AD170)&lt;2,"",IFERROR(AL170/AD170,"")),"")</x:f>
      </x:c>
      <x:c r="BL170" s="73" t="str">
        <x:f>IF(C170="x",IF(OR(COUNT(AD170)=0,COUNT(AR170,AS170)=0),"",IFERROR((AR170+AS170)/AD170,"")),"")</x:f>
      </x:c>
      <x:c r="BM170" s="73" t="str">
        <x:f>IF(AB170="xhs_save_rate",BA170,IF(AB170="xhs_completion_rate",BB170,IF(AB170="xhs_profile_visit_rate",BC170,IF(AB170="xhs_dm_intent_rate",BD170,IF(AB170="xhs_discussion_rate",BE170,IF(AB170="xhs_product_relevance_rate",BF170,IF(AB170="x_first_screen_engaged_rate_proxy",BG170,IF(AB170="x_qualified_reply_rate",BH170,IF(AB170="x_profile_click_rate",BI170,IF(AB170="x_link_intent_rate",BJ170,IF(AB170="x_bookmark_rate",BK170,IF(AB170="x_product_relevance_rate",BL170,""))))))))))))</x:f>
      </x:c>
      <x:c r="BN170" s="73" t="str">
        <x:f>IFERROR(BM170/AT170-1,"")</x:f>
      </x:c>
      <x:c r="BO170" s="73" t="str">
        <x:f>IF(AC170="","",IF(AC170="xhs_save_rate",BA170,IF(AC170="xhs_completion_rate",BB170,IF(AC170="xhs_profile_visit_rate",BC170,IF(AC170="xhs_dm_intent_rate",BD170,IF(AC170="xhs_discussion_rate",BE170,IF(AC170="xhs_product_relevance_rate",BF170,IF(AC170="x_first_screen_engaged_rate_proxy",BG170,IF(AC170="x_qualified_reply_rate",BH170,IF(AC170="x_profile_click_rate",BI170,IF(AC170="x_link_intent_rate",BJ170,IF(AC170="x_bookmark_rate",BK170,IF(AC170="x_product_relevance_rate",BL170,"")))))))))))))</x:f>
      </x:c>
      <x:c r="BP170" s="73" t="str">
        <x:f>IFERROR(BO170/AU170-1,"")</x:f>
      </x:c>
      <x:c r="BQ170" s="74" t="str">
        <x:f>IF(COUNT(AD170)=0,"",AD170)</x:f>
      </x:c>
      <x:c r="BR170" s="73" t="str">
        <x:f>IF(C170="xiaohongshu",IF(COUNT(BA170,BB170)=2,AVERAGE(BA170,BB170),IF(COUNT(BA170)=1,BA170,BB170)),BK170)</x:f>
      </x:c>
      <x:c r="BS170" s="73" t="str">
        <x:f>IF(C170="xiaohongshu",BE170,BH170)</x:f>
      </x:c>
      <x:c r="BT170" s="73" t="str">
        <x:f>IF(C170="xiaohongshu",IF(I170="save",BA170,IF(I170="discussion",BE170,IF(I170="profile_visit",BC170,IF(I170="dm",BD170,IF(OR(I170="product_question",I170="trial_intent"),BF170,""))))),IF(I170="save",BK170,IF(I170="discussion",BH170,IF(OR(I170="profile_visit",I170="dm"),BI170,IF(I170="link_click",BJ170,IF(OR(I170="product_question",I170="trial_intent"),BL170,""))))))</x:f>
      </x:c>
      <x:c r="BU170" s="73" t="str">
        <x:f>IF(C170="xiaohongshu",BF170,BL170)</x:f>
      </x:c>
      <x:c r="BV170" s="65" t="str">
        <x:f>IF(COUNT(BQ170,AV170)&lt;2,"unknown",IF(BQ170/AV170-1&gt;=0.2,"high",IF(BQ170/AV170-1&lt;=-0.2,"low","normal")))</x:f>
        <x:v>unknown</x:v>
      </x:c>
      <x:c r="BW170" s="65" t="str">
        <x:f>IF(COUNT(BR170,AW170)&lt;2,"unknown",IF(BR170/AW170-1&gt;=0.2,"high",IF(BR170/AW170-1&lt;=-0.2,"low","normal")))</x:f>
        <x:v>unknown</x:v>
      </x:c>
      <x:c r="BX170" s="65" t="str">
        <x:f>IF(COUNT(BS170,AX170)&lt;2,"unknown",IF(BS170/AX170-1&gt;=0.2,"high",IF(BS170/AX170-1&lt;=-0.2,"low","normal")))</x:f>
        <x:v>unknown</x:v>
      </x:c>
      <x:c r="BY170" s="65" t="str">
        <x:f>IF(COUNT(BT170,AY170)&lt;2,"unknown",IF(BT170/AY170-1&gt;=0.2,"high",IF(BT170/AY170-1&lt;=-0.2,"low","normal")))</x:f>
        <x:v>unknown</x:v>
      </x:c>
      <x:c r="BZ170" s="65" t="str">
        <x:f>IF(COUNT(BU170,AZ170)&lt;2,"unknown",IF(BU170/AZ170-1&gt;=0.2,"high",IF(BU170/AZ170-1&lt;=-0.2,"low","normal")))</x:f>
        <x:v>unknown</x:v>
      </x:c>
      <x:c r="CA170" s="65" t="str">
        <x:f>IF(T170&lt;&gt;"complete","pending",IF(OR(L170&lt;&gt;"pure",U170="true",COUNT(BM170,AT170)&lt;2,AND(AC170&lt;&gt;"",COUNT(BO170,AU170)&lt;2)),"not_attributable","attributable"))</x:f>
        <x:v>pending</x:v>
      </x:c>
      <x:c r="CB170" s="65" t="str">
        <x:f>IF(T170&lt;&gt;"complete","not_evaluated",IF(COUNT(BM170,AT170)&lt;2,"insufficient_data",IF(AND(AC170&lt;&gt;"",COUNT(BP170)=1,BP170&lt;=-0.2),"guardrail_fail",IF(AND(CA170="not_attributable",OR(BV170="high",BN170&gt;=0.2)),"watchlist",IF(CA170&lt;&gt;"attributable","insufficient_data",IF(BN170&gt;=0.2,"win",IF(BN170&lt;=-0.2,"loss","inconclusive")))))))</x:f>
        <x:v>not_evaluated</x:v>
      </x:c>
      <x:c r="CC170" s="65" t="str">
        <x:f>IF(T170&lt;&gt;"complete","COLLECT_MORE_DATA",IF(COUNT(BM170,AT170)&lt;2,"FIX_TRACKING",IF(CB170="guardrail_fail","STOP_VARIANT_GUARDRAIL",IF(CB170="watchlist","WATCHLIST_ONLY",IF(AND(BV170="high",BY170="low"),"KEEP_HOOK_REWRITE_CTA",IF(AND(BW170="high",BX170="low"),"KEEP_STRUCTURE_CHANGE_DISCUSSION_ANGLE",IF(AND(BX170="high",BZ170="low"),"DOWNWEIGHT_TEMPLATE",IF(CB170="win","RETEST_WINNER",IF(CB170="loss","RETURN_TO_BASELINE","COLLECT_MORE_DATA")))))))))</x:f>
        <x:v>COLLECT_MORE_DATA</x:v>
      </x:c>
      <x:c r="CD170" s="75"/>
    </x:row>
    <x:row r="171">
      <x:c r="A171" s="68"/>
      <x:c r="B171" s="69"/>
      <x:c r="C171" s="68"/>
      <x:c r="D171" s="68"/>
      <x:c r="E171" s="68"/>
      <x:c r="F171" s="68"/>
      <x:c r="G171" s="68"/>
      <x:c r="H171" s="70"/>
      <x:c r="I171" s="68"/>
      <x:c r="J171" s="68"/>
      <x:c r="K171" s="68"/>
      <x:c r="L171" s="71" t="str">
        <x:f>IF(K171="","unknown",IF(K171=0,"baseline",IF(K171=1,"pure","mixed")))</x:f>
        <x:v>unknown</x:v>
      </x:c>
      <x:c r="M171" s="68"/>
      <x:c r="N171" s="68"/>
      <x:c r="O171" s="68"/>
      <x:c r="P171" s="68"/>
      <x:c r="Q171" s="68"/>
      <x:c r="R171" s="68"/>
      <x:c r="S171" s="68"/>
      <x:c r="T171" s="68"/>
      <x:c r="U171" s="68"/>
      <x:c r="V171" s="68"/>
      <x:c r="W171" s="68"/>
      <x:c r="X171" s="68"/>
      <x:c r="Y171" s="68"/>
      <x:c r="Z171" s="68"/>
      <x:c r="AA171" s="68"/>
      <x:c r="AB171" s="68"/>
      <x:c r="AC171" s="68"/>
      <x:c r="AD171" s="70"/>
      <x:c r="AE171" s="70"/>
      <x:c r="AF171" s="70"/>
      <x:c r="AG171" s="70"/>
      <x:c r="AH171" s="70"/>
      <x:c r="AI171" s="70"/>
      <x:c r="AJ171" s="70"/>
      <x:c r="AK171" s="70"/>
      <x:c r="AL171" s="70"/>
      <x:c r="AM171" s="70"/>
      <x:c r="AN171" s="70"/>
      <x:c r="AO171" s="70"/>
      <x:c r="AP171" s="70"/>
      <x:c r="AQ171" s="70"/>
      <x:c r="AR171" s="70"/>
      <x:c r="AS171" s="70"/>
      <x:c r="AT171" s="72"/>
      <x:c r="AU171" s="72"/>
      <x:c r="AV171" s="72"/>
      <x:c r="AW171" s="72"/>
      <x:c r="AX171" s="72"/>
      <x:c r="AY171" s="72"/>
      <x:c r="AZ171" s="72"/>
      <x:c r="BA171" s="73" t="str">
        <x:f>IF(C171="xiaohongshu",IF(COUNT(AF171,AE171)&lt;2,"",IFERROR(AF171/AE171,"")),"")</x:f>
      </x:c>
      <x:c r="BB171" s="73" t="str">
        <x:f>IF(C171="xiaohongshu",IF(COUNT(AG171,AE171)&lt;2,"",IFERROR(AG171/AE171,"")),"")</x:f>
      </x:c>
      <x:c r="BC171" s="73" t="str">
        <x:f>IF(C171="xiaohongshu",IF(COUNT(AN171,AE171)&lt;2,"",IFERROR(AN171/AE171,"")),"")</x:f>
      </x:c>
      <x:c r="BD171" s="73" t="str">
        <x:f>IF(C171="xiaohongshu",IF(COUNT(AQ171,AE171)&lt;2,"",IFERROR(AQ171/AE171,"")),"")</x:f>
      </x:c>
      <x:c r="BE171" s="73" t="str">
        <x:f>IF(C171="xiaohongshu",IF(COUNT(AI171,AE171)&lt;2,"",IFERROR(AI171/AE171,"")),"")</x:f>
      </x:c>
      <x:c r="BF171" s="73" t="str">
        <x:f>IF(C171="xiaohongshu",IF(OR(COUNT(AE171)=0,COUNT(AR171,AS171)=0),"",IFERROR((AR171+AS171)/AE171,"")),"")</x:f>
      </x:c>
      <x:c r="BG171" s="73" t="str">
        <x:f>IF(C171="x",IF(COUNT(AD171)=0,"",IF(COUNT(AM171)=1,IFERROR(AM171/AD171,""),IF(COUNT(AH171,AI171,AK171,AL171)=0,"",IFERROR(SUM(AH171,AI171,AK171,AL171)/AD171,"")))),"")</x:f>
      </x:c>
      <x:c r="BH171" s="73" t="str">
        <x:f>IF(C171="x",IF(COUNT(AJ171,AD171)&lt;2,"",IFERROR(AJ171/AD171,"")),"")</x:f>
      </x:c>
      <x:c r="BI171" s="73" t="str">
        <x:f>IF(C171="x",IF(COUNT(AO171,AD171)&lt;2,"",IFERROR(AO171/AD171,"")),"")</x:f>
      </x:c>
      <x:c r="BJ171" s="73" t="str">
        <x:f>IF(C171="x",IF(COUNT(AP171,AD171)&lt;2,"",IFERROR(AP171/AD171,"")),"")</x:f>
      </x:c>
      <x:c r="BK171" s="73" t="str">
        <x:f>IF(C171="x",IF(COUNT(AL171,AD171)&lt;2,"",IFERROR(AL171/AD171,"")),"")</x:f>
      </x:c>
      <x:c r="BL171" s="73" t="str">
        <x:f>IF(C171="x",IF(OR(COUNT(AD171)=0,COUNT(AR171,AS171)=0),"",IFERROR((AR171+AS171)/AD171,"")),"")</x:f>
      </x:c>
      <x:c r="BM171" s="73" t="str">
        <x:f>IF(AB171="xhs_save_rate",BA171,IF(AB171="xhs_completion_rate",BB171,IF(AB171="xhs_profile_visit_rate",BC171,IF(AB171="xhs_dm_intent_rate",BD171,IF(AB171="xhs_discussion_rate",BE171,IF(AB171="xhs_product_relevance_rate",BF171,IF(AB171="x_first_screen_engaged_rate_proxy",BG171,IF(AB171="x_qualified_reply_rate",BH171,IF(AB171="x_profile_click_rate",BI171,IF(AB171="x_link_intent_rate",BJ171,IF(AB171="x_bookmark_rate",BK171,IF(AB171="x_product_relevance_rate",BL171,""))))))))))))</x:f>
      </x:c>
      <x:c r="BN171" s="73" t="str">
        <x:f>IFERROR(BM171/AT171-1,"")</x:f>
      </x:c>
      <x:c r="BO171" s="73" t="str">
        <x:f>IF(AC171="","",IF(AC171="xhs_save_rate",BA171,IF(AC171="xhs_completion_rate",BB171,IF(AC171="xhs_profile_visit_rate",BC171,IF(AC171="xhs_dm_intent_rate",BD171,IF(AC171="xhs_discussion_rate",BE171,IF(AC171="xhs_product_relevance_rate",BF171,IF(AC171="x_first_screen_engaged_rate_proxy",BG171,IF(AC171="x_qualified_reply_rate",BH171,IF(AC171="x_profile_click_rate",BI171,IF(AC171="x_link_intent_rate",BJ171,IF(AC171="x_bookmark_rate",BK171,IF(AC171="x_product_relevance_rate",BL171,"")))))))))))))</x:f>
      </x:c>
      <x:c r="BP171" s="73" t="str">
        <x:f>IFERROR(BO171/AU171-1,"")</x:f>
      </x:c>
      <x:c r="BQ171" s="74" t="str">
        <x:f>IF(COUNT(AD171)=0,"",AD171)</x:f>
      </x:c>
      <x:c r="BR171" s="73" t="str">
        <x:f>IF(C171="xiaohongshu",IF(COUNT(BA171,BB171)=2,AVERAGE(BA171,BB171),IF(COUNT(BA171)=1,BA171,BB171)),BK171)</x:f>
      </x:c>
      <x:c r="BS171" s="73" t="str">
        <x:f>IF(C171="xiaohongshu",BE171,BH171)</x:f>
      </x:c>
      <x:c r="BT171" s="73" t="str">
        <x:f>IF(C171="xiaohongshu",IF(I171="save",BA171,IF(I171="discussion",BE171,IF(I171="profile_visit",BC171,IF(I171="dm",BD171,IF(OR(I171="product_question",I171="trial_intent"),BF171,""))))),IF(I171="save",BK171,IF(I171="discussion",BH171,IF(OR(I171="profile_visit",I171="dm"),BI171,IF(I171="link_click",BJ171,IF(OR(I171="product_question",I171="trial_intent"),BL171,""))))))</x:f>
      </x:c>
      <x:c r="BU171" s="73" t="str">
        <x:f>IF(C171="xiaohongshu",BF171,BL171)</x:f>
      </x:c>
      <x:c r="BV171" s="65" t="str">
        <x:f>IF(COUNT(BQ171,AV171)&lt;2,"unknown",IF(BQ171/AV171-1&gt;=0.2,"high",IF(BQ171/AV171-1&lt;=-0.2,"low","normal")))</x:f>
        <x:v>unknown</x:v>
      </x:c>
      <x:c r="BW171" s="65" t="str">
        <x:f>IF(COUNT(BR171,AW171)&lt;2,"unknown",IF(BR171/AW171-1&gt;=0.2,"high",IF(BR171/AW171-1&lt;=-0.2,"low","normal")))</x:f>
        <x:v>unknown</x:v>
      </x:c>
      <x:c r="BX171" s="65" t="str">
        <x:f>IF(COUNT(BS171,AX171)&lt;2,"unknown",IF(BS171/AX171-1&gt;=0.2,"high",IF(BS171/AX171-1&lt;=-0.2,"low","normal")))</x:f>
        <x:v>unknown</x:v>
      </x:c>
      <x:c r="BY171" s="65" t="str">
        <x:f>IF(COUNT(BT171,AY171)&lt;2,"unknown",IF(BT171/AY171-1&gt;=0.2,"high",IF(BT171/AY171-1&lt;=-0.2,"low","normal")))</x:f>
        <x:v>unknown</x:v>
      </x:c>
      <x:c r="BZ171" s="65" t="str">
        <x:f>IF(COUNT(BU171,AZ171)&lt;2,"unknown",IF(BU171/AZ171-1&gt;=0.2,"high",IF(BU171/AZ171-1&lt;=-0.2,"low","normal")))</x:f>
        <x:v>unknown</x:v>
      </x:c>
      <x:c r="CA171" s="65" t="str">
        <x:f>IF(T171&lt;&gt;"complete","pending",IF(OR(L171&lt;&gt;"pure",U171="true",COUNT(BM171,AT171)&lt;2,AND(AC171&lt;&gt;"",COUNT(BO171,AU171)&lt;2)),"not_attributable","attributable"))</x:f>
        <x:v>pending</x:v>
      </x:c>
      <x:c r="CB171" s="65" t="str">
        <x:f>IF(T171&lt;&gt;"complete","not_evaluated",IF(COUNT(BM171,AT171)&lt;2,"insufficient_data",IF(AND(AC171&lt;&gt;"",COUNT(BP171)=1,BP171&lt;=-0.2),"guardrail_fail",IF(AND(CA171="not_attributable",OR(BV171="high",BN171&gt;=0.2)),"watchlist",IF(CA171&lt;&gt;"attributable","insufficient_data",IF(BN171&gt;=0.2,"win",IF(BN171&lt;=-0.2,"loss","inconclusive")))))))</x:f>
        <x:v>not_evaluated</x:v>
      </x:c>
      <x:c r="CC171" s="65" t="str">
        <x:f>IF(T171&lt;&gt;"complete","COLLECT_MORE_DATA",IF(COUNT(BM171,AT171)&lt;2,"FIX_TRACKING",IF(CB171="guardrail_fail","STOP_VARIANT_GUARDRAIL",IF(CB171="watchlist","WATCHLIST_ONLY",IF(AND(BV171="high",BY171="low"),"KEEP_HOOK_REWRITE_CTA",IF(AND(BW171="high",BX171="low"),"KEEP_STRUCTURE_CHANGE_DISCUSSION_ANGLE",IF(AND(BX171="high",BZ171="low"),"DOWNWEIGHT_TEMPLATE",IF(CB171="win","RETEST_WINNER",IF(CB171="loss","RETURN_TO_BASELINE","COLLECT_MORE_DATA")))))))))</x:f>
        <x:v>COLLECT_MORE_DATA</x:v>
      </x:c>
      <x:c r="CD171" s="75"/>
    </x:row>
    <x:row r="172">
      <x:c r="A172" s="68"/>
      <x:c r="B172" s="69"/>
      <x:c r="C172" s="68"/>
      <x:c r="D172" s="68"/>
      <x:c r="E172" s="68"/>
      <x:c r="F172" s="68"/>
      <x:c r="G172" s="68"/>
      <x:c r="H172" s="70"/>
      <x:c r="I172" s="68"/>
      <x:c r="J172" s="68"/>
      <x:c r="K172" s="68"/>
      <x:c r="L172" s="71" t="str">
        <x:f>IF(K172="","unknown",IF(K172=0,"baseline",IF(K172=1,"pure","mixed")))</x:f>
        <x:v>unknown</x:v>
      </x:c>
      <x:c r="M172" s="68"/>
      <x:c r="N172" s="68"/>
      <x:c r="O172" s="68"/>
      <x:c r="P172" s="68"/>
      <x:c r="Q172" s="68"/>
      <x:c r="R172" s="68"/>
      <x:c r="S172" s="68"/>
      <x:c r="T172" s="68"/>
      <x:c r="U172" s="68"/>
      <x:c r="V172" s="68"/>
      <x:c r="W172" s="68"/>
      <x:c r="X172" s="68"/>
      <x:c r="Y172" s="68"/>
      <x:c r="Z172" s="68"/>
      <x:c r="AA172" s="68"/>
      <x:c r="AB172" s="68"/>
      <x:c r="AC172" s="68"/>
      <x:c r="AD172" s="70"/>
      <x:c r="AE172" s="70"/>
      <x:c r="AF172" s="70"/>
      <x:c r="AG172" s="70"/>
      <x:c r="AH172" s="70"/>
      <x:c r="AI172" s="70"/>
      <x:c r="AJ172" s="70"/>
      <x:c r="AK172" s="70"/>
      <x:c r="AL172" s="70"/>
      <x:c r="AM172" s="70"/>
      <x:c r="AN172" s="70"/>
      <x:c r="AO172" s="70"/>
      <x:c r="AP172" s="70"/>
      <x:c r="AQ172" s="70"/>
      <x:c r="AR172" s="70"/>
      <x:c r="AS172" s="70"/>
      <x:c r="AT172" s="72"/>
      <x:c r="AU172" s="72"/>
      <x:c r="AV172" s="72"/>
      <x:c r="AW172" s="72"/>
      <x:c r="AX172" s="72"/>
      <x:c r="AY172" s="72"/>
      <x:c r="AZ172" s="72"/>
      <x:c r="BA172" s="73" t="str">
        <x:f>IF(C172="xiaohongshu",IF(COUNT(AF172,AE172)&lt;2,"",IFERROR(AF172/AE172,"")),"")</x:f>
      </x:c>
      <x:c r="BB172" s="73" t="str">
        <x:f>IF(C172="xiaohongshu",IF(COUNT(AG172,AE172)&lt;2,"",IFERROR(AG172/AE172,"")),"")</x:f>
      </x:c>
      <x:c r="BC172" s="73" t="str">
        <x:f>IF(C172="xiaohongshu",IF(COUNT(AN172,AE172)&lt;2,"",IFERROR(AN172/AE172,"")),"")</x:f>
      </x:c>
      <x:c r="BD172" s="73" t="str">
        <x:f>IF(C172="xiaohongshu",IF(COUNT(AQ172,AE172)&lt;2,"",IFERROR(AQ172/AE172,"")),"")</x:f>
      </x:c>
      <x:c r="BE172" s="73" t="str">
        <x:f>IF(C172="xiaohongshu",IF(COUNT(AI172,AE172)&lt;2,"",IFERROR(AI172/AE172,"")),"")</x:f>
      </x:c>
      <x:c r="BF172" s="73" t="str">
        <x:f>IF(C172="xiaohongshu",IF(OR(COUNT(AE172)=0,COUNT(AR172,AS172)=0),"",IFERROR((AR172+AS172)/AE172,"")),"")</x:f>
      </x:c>
      <x:c r="BG172" s="73" t="str">
        <x:f>IF(C172="x",IF(COUNT(AD172)=0,"",IF(COUNT(AM172)=1,IFERROR(AM172/AD172,""),IF(COUNT(AH172,AI172,AK172,AL172)=0,"",IFERROR(SUM(AH172,AI172,AK172,AL172)/AD172,"")))),"")</x:f>
      </x:c>
      <x:c r="BH172" s="73" t="str">
        <x:f>IF(C172="x",IF(COUNT(AJ172,AD172)&lt;2,"",IFERROR(AJ172/AD172,"")),"")</x:f>
      </x:c>
      <x:c r="BI172" s="73" t="str">
        <x:f>IF(C172="x",IF(COUNT(AO172,AD172)&lt;2,"",IFERROR(AO172/AD172,"")),"")</x:f>
      </x:c>
      <x:c r="BJ172" s="73" t="str">
        <x:f>IF(C172="x",IF(COUNT(AP172,AD172)&lt;2,"",IFERROR(AP172/AD172,"")),"")</x:f>
      </x:c>
      <x:c r="BK172" s="73" t="str">
        <x:f>IF(C172="x",IF(COUNT(AL172,AD172)&lt;2,"",IFERROR(AL172/AD172,"")),"")</x:f>
      </x:c>
      <x:c r="BL172" s="73" t="str">
        <x:f>IF(C172="x",IF(OR(COUNT(AD172)=0,COUNT(AR172,AS172)=0),"",IFERROR((AR172+AS172)/AD172,"")),"")</x:f>
      </x:c>
      <x:c r="BM172" s="73" t="str">
        <x:f>IF(AB172="xhs_save_rate",BA172,IF(AB172="xhs_completion_rate",BB172,IF(AB172="xhs_profile_visit_rate",BC172,IF(AB172="xhs_dm_intent_rate",BD172,IF(AB172="xhs_discussion_rate",BE172,IF(AB172="xhs_product_relevance_rate",BF172,IF(AB172="x_first_screen_engaged_rate_proxy",BG172,IF(AB172="x_qualified_reply_rate",BH172,IF(AB172="x_profile_click_rate",BI172,IF(AB172="x_link_intent_rate",BJ172,IF(AB172="x_bookmark_rate",BK172,IF(AB172="x_product_relevance_rate",BL172,""))))))))))))</x:f>
      </x:c>
      <x:c r="BN172" s="73" t="str">
        <x:f>IFERROR(BM172/AT172-1,"")</x:f>
      </x:c>
      <x:c r="BO172" s="73" t="str">
        <x:f>IF(AC172="","",IF(AC172="xhs_save_rate",BA172,IF(AC172="xhs_completion_rate",BB172,IF(AC172="xhs_profile_visit_rate",BC172,IF(AC172="xhs_dm_intent_rate",BD172,IF(AC172="xhs_discussion_rate",BE172,IF(AC172="xhs_product_relevance_rate",BF172,IF(AC172="x_first_screen_engaged_rate_proxy",BG172,IF(AC172="x_qualified_reply_rate",BH172,IF(AC172="x_profile_click_rate",BI172,IF(AC172="x_link_intent_rate",BJ172,IF(AC172="x_bookmark_rate",BK172,IF(AC172="x_product_relevance_rate",BL172,"")))))))))))))</x:f>
      </x:c>
      <x:c r="BP172" s="73" t="str">
        <x:f>IFERROR(BO172/AU172-1,"")</x:f>
      </x:c>
      <x:c r="BQ172" s="74" t="str">
        <x:f>IF(COUNT(AD172)=0,"",AD172)</x:f>
      </x:c>
      <x:c r="BR172" s="73" t="str">
        <x:f>IF(C172="xiaohongshu",IF(COUNT(BA172,BB172)=2,AVERAGE(BA172,BB172),IF(COUNT(BA172)=1,BA172,BB172)),BK172)</x:f>
      </x:c>
      <x:c r="BS172" s="73" t="str">
        <x:f>IF(C172="xiaohongshu",BE172,BH172)</x:f>
      </x:c>
      <x:c r="BT172" s="73" t="str">
        <x:f>IF(C172="xiaohongshu",IF(I172="save",BA172,IF(I172="discussion",BE172,IF(I172="profile_visit",BC172,IF(I172="dm",BD172,IF(OR(I172="product_question",I172="trial_intent"),BF172,""))))),IF(I172="save",BK172,IF(I172="discussion",BH172,IF(OR(I172="profile_visit",I172="dm"),BI172,IF(I172="link_click",BJ172,IF(OR(I172="product_question",I172="trial_intent"),BL172,""))))))</x:f>
      </x:c>
      <x:c r="BU172" s="73" t="str">
        <x:f>IF(C172="xiaohongshu",BF172,BL172)</x:f>
      </x:c>
      <x:c r="BV172" s="65" t="str">
        <x:f>IF(COUNT(BQ172,AV172)&lt;2,"unknown",IF(BQ172/AV172-1&gt;=0.2,"high",IF(BQ172/AV172-1&lt;=-0.2,"low","normal")))</x:f>
        <x:v>unknown</x:v>
      </x:c>
      <x:c r="BW172" s="65" t="str">
        <x:f>IF(COUNT(BR172,AW172)&lt;2,"unknown",IF(BR172/AW172-1&gt;=0.2,"high",IF(BR172/AW172-1&lt;=-0.2,"low","normal")))</x:f>
        <x:v>unknown</x:v>
      </x:c>
      <x:c r="BX172" s="65" t="str">
        <x:f>IF(COUNT(BS172,AX172)&lt;2,"unknown",IF(BS172/AX172-1&gt;=0.2,"high",IF(BS172/AX172-1&lt;=-0.2,"low","normal")))</x:f>
        <x:v>unknown</x:v>
      </x:c>
      <x:c r="BY172" s="65" t="str">
        <x:f>IF(COUNT(BT172,AY172)&lt;2,"unknown",IF(BT172/AY172-1&gt;=0.2,"high",IF(BT172/AY172-1&lt;=-0.2,"low","normal")))</x:f>
        <x:v>unknown</x:v>
      </x:c>
      <x:c r="BZ172" s="65" t="str">
        <x:f>IF(COUNT(BU172,AZ172)&lt;2,"unknown",IF(BU172/AZ172-1&gt;=0.2,"high",IF(BU172/AZ172-1&lt;=-0.2,"low","normal")))</x:f>
        <x:v>unknown</x:v>
      </x:c>
      <x:c r="CA172" s="65" t="str">
        <x:f>IF(T172&lt;&gt;"complete","pending",IF(OR(L172&lt;&gt;"pure",U172="true",COUNT(BM172,AT172)&lt;2,AND(AC172&lt;&gt;"",COUNT(BO172,AU172)&lt;2)),"not_attributable","attributable"))</x:f>
        <x:v>pending</x:v>
      </x:c>
      <x:c r="CB172" s="65" t="str">
        <x:f>IF(T172&lt;&gt;"complete","not_evaluated",IF(COUNT(BM172,AT172)&lt;2,"insufficient_data",IF(AND(AC172&lt;&gt;"",COUNT(BP172)=1,BP172&lt;=-0.2),"guardrail_fail",IF(AND(CA172="not_attributable",OR(BV172="high",BN172&gt;=0.2)),"watchlist",IF(CA172&lt;&gt;"attributable","insufficient_data",IF(BN172&gt;=0.2,"win",IF(BN172&lt;=-0.2,"loss","inconclusive")))))))</x:f>
        <x:v>not_evaluated</x:v>
      </x:c>
      <x:c r="CC172" s="65" t="str">
        <x:f>IF(T172&lt;&gt;"complete","COLLECT_MORE_DATA",IF(COUNT(BM172,AT172)&lt;2,"FIX_TRACKING",IF(CB172="guardrail_fail","STOP_VARIANT_GUARDRAIL",IF(CB172="watchlist","WATCHLIST_ONLY",IF(AND(BV172="high",BY172="low"),"KEEP_HOOK_REWRITE_CTA",IF(AND(BW172="high",BX172="low"),"KEEP_STRUCTURE_CHANGE_DISCUSSION_ANGLE",IF(AND(BX172="high",BZ172="low"),"DOWNWEIGHT_TEMPLATE",IF(CB172="win","RETEST_WINNER",IF(CB172="loss","RETURN_TO_BASELINE","COLLECT_MORE_DATA")))))))))</x:f>
        <x:v>COLLECT_MORE_DATA</x:v>
      </x:c>
      <x:c r="CD172" s="75"/>
    </x:row>
    <x:row r="173">
      <x:c r="A173" s="68"/>
      <x:c r="B173" s="69"/>
      <x:c r="C173" s="68"/>
      <x:c r="D173" s="68"/>
      <x:c r="E173" s="68"/>
      <x:c r="F173" s="68"/>
      <x:c r="G173" s="68"/>
      <x:c r="H173" s="70"/>
      <x:c r="I173" s="68"/>
      <x:c r="J173" s="68"/>
      <x:c r="K173" s="68"/>
      <x:c r="L173" s="71" t="str">
        <x:f>IF(K173="","unknown",IF(K173=0,"baseline",IF(K173=1,"pure","mixed")))</x:f>
        <x:v>unknown</x:v>
      </x:c>
      <x:c r="M173" s="68"/>
      <x:c r="N173" s="68"/>
      <x:c r="O173" s="68"/>
      <x:c r="P173" s="68"/>
      <x:c r="Q173" s="68"/>
      <x:c r="R173" s="68"/>
      <x:c r="S173" s="68"/>
      <x:c r="T173" s="68"/>
      <x:c r="U173" s="68"/>
      <x:c r="V173" s="68"/>
      <x:c r="W173" s="68"/>
      <x:c r="X173" s="68"/>
      <x:c r="Y173" s="68"/>
      <x:c r="Z173" s="68"/>
      <x:c r="AA173" s="68"/>
      <x:c r="AB173" s="68"/>
      <x:c r="AC173" s="68"/>
      <x:c r="AD173" s="70"/>
      <x:c r="AE173" s="70"/>
      <x:c r="AF173" s="70"/>
      <x:c r="AG173" s="70"/>
      <x:c r="AH173" s="70"/>
      <x:c r="AI173" s="70"/>
      <x:c r="AJ173" s="70"/>
      <x:c r="AK173" s="70"/>
      <x:c r="AL173" s="70"/>
      <x:c r="AM173" s="70"/>
      <x:c r="AN173" s="70"/>
      <x:c r="AO173" s="70"/>
      <x:c r="AP173" s="70"/>
      <x:c r="AQ173" s="70"/>
      <x:c r="AR173" s="70"/>
      <x:c r="AS173" s="70"/>
      <x:c r="AT173" s="72"/>
      <x:c r="AU173" s="72"/>
      <x:c r="AV173" s="72"/>
      <x:c r="AW173" s="72"/>
      <x:c r="AX173" s="72"/>
      <x:c r="AY173" s="72"/>
      <x:c r="AZ173" s="72"/>
      <x:c r="BA173" s="73" t="str">
        <x:f>IF(C173="xiaohongshu",IF(COUNT(AF173,AE173)&lt;2,"",IFERROR(AF173/AE173,"")),"")</x:f>
      </x:c>
      <x:c r="BB173" s="73" t="str">
        <x:f>IF(C173="xiaohongshu",IF(COUNT(AG173,AE173)&lt;2,"",IFERROR(AG173/AE173,"")),"")</x:f>
      </x:c>
      <x:c r="BC173" s="73" t="str">
        <x:f>IF(C173="xiaohongshu",IF(COUNT(AN173,AE173)&lt;2,"",IFERROR(AN173/AE173,"")),"")</x:f>
      </x:c>
      <x:c r="BD173" s="73" t="str">
        <x:f>IF(C173="xiaohongshu",IF(COUNT(AQ173,AE173)&lt;2,"",IFERROR(AQ173/AE173,"")),"")</x:f>
      </x:c>
      <x:c r="BE173" s="73" t="str">
        <x:f>IF(C173="xiaohongshu",IF(COUNT(AI173,AE173)&lt;2,"",IFERROR(AI173/AE173,"")),"")</x:f>
      </x:c>
      <x:c r="BF173" s="73" t="str">
        <x:f>IF(C173="xiaohongshu",IF(OR(COUNT(AE173)=0,COUNT(AR173,AS173)=0),"",IFERROR((AR173+AS173)/AE173,"")),"")</x:f>
      </x:c>
      <x:c r="BG173" s="73" t="str">
        <x:f>IF(C173="x",IF(COUNT(AD173)=0,"",IF(COUNT(AM173)=1,IFERROR(AM173/AD173,""),IF(COUNT(AH173,AI173,AK173,AL173)=0,"",IFERROR(SUM(AH173,AI173,AK173,AL173)/AD173,"")))),"")</x:f>
      </x:c>
      <x:c r="BH173" s="73" t="str">
        <x:f>IF(C173="x",IF(COUNT(AJ173,AD173)&lt;2,"",IFERROR(AJ173/AD173,"")),"")</x:f>
      </x:c>
      <x:c r="BI173" s="73" t="str">
        <x:f>IF(C173="x",IF(COUNT(AO173,AD173)&lt;2,"",IFERROR(AO173/AD173,"")),"")</x:f>
      </x:c>
      <x:c r="BJ173" s="73" t="str">
        <x:f>IF(C173="x",IF(COUNT(AP173,AD173)&lt;2,"",IFERROR(AP173/AD173,"")),"")</x:f>
      </x:c>
      <x:c r="BK173" s="73" t="str">
        <x:f>IF(C173="x",IF(COUNT(AL173,AD173)&lt;2,"",IFERROR(AL173/AD173,"")),"")</x:f>
      </x:c>
      <x:c r="BL173" s="73" t="str">
        <x:f>IF(C173="x",IF(OR(COUNT(AD173)=0,COUNT(AR173,AS173)=0),"",IFERROR((AR173+AS173)/AD173,"")),"")</x:f>
      </x:c>
      <x:c r="BM173" s="73" t="str">
        <x:f>IF(AB173="xhs_save_rate",BA173,IF(AB173="xhs_completion_rate",BB173,IF(AB173="xhs_profile_visit_rate",BC173,IF(AB173="xhs_dm_intent_rate",BD173,IF(AB173="xhs_discussion_rate",BE173,IF(AB173="xhs_product_relevance_rate",BF173,IF(AB173="x_first_screen_engaged_rate_proxy",BG173,IF(AB173="x_qualified_reply_rate",BH173,IF(AB173="x_profile_click_rate",BI173,IF(AB173="x_link_intent_rate",BJ173,IF(AB173="x_bookmark_rate",BK173,IF(AB173="x_product_relevance_rate",BL173,""))))))))))))</x:f>
      </x:c>
      <x:c r="BN173" s="73" t="str">
        <x:f>IFERROR(BM173/AT173-1,"")</x:f>
      </x:c>
      <x:c r="BO173" s="73" t="str">
        <x:f>IF(AC173="","",IF(AC173="xhs_save_rate",BA173,IF(AC173="xhs_completion_rate",BB173,IF(AC173="xhs_profile_visit_rate",BC173,IF(AC173="xhs_dm_intent_rate",BD173,IF(AC173="xhs_discussion_rate",BE173,IF(AC173="xhs_product_relevance_rate",BF173,IF(AC173="x_first_screen_engaged_rate_proxy",BG173,IF(AC173="x_qualified_reply_rate",BH173,IF(AC173="x_profile_click_rate",BI173,IF(AC173="x_link_intent_rate",BJ173,IF(AC173="x_bookmark_rate",BK173,IF(AC173="x_product_relevance_rate",BL173,"")))))))))))))</x:f>
      </x:c>
      <x:c r="BP173" s="73" t="str">
        <x:f>IFERROR(BO173/AU173-1,"")</x:f>
      </x:c>
      <x:c r="BQ173" s="74" t="str">
        <x:f>IF(COUNT(AD173)=0,"",AD173)</x:f>
      </x:c>
      <x:c r="BR173" s="73" t="str">
        <x:f>IF(C173="xiaohongshu",IF(COUNT(BA173,BB173)=2,AVERAGE(BA173,BB173),IF(COUNT(BA173)=1,BA173,BB173)),BK173)</x:f>
      </x:c>
      <x:c r="BS173" s="73" t="str">
        <x:f>IF(C173="xiaohongshu",BE173,BH173)</x:f>
      </x:c>
      <x:c r="BT173" s="73" t="str">
        <x:f>IF(C173="xiaohongshu",IF(I173="save",BA173,IF(I173="discussion",BE173,IF(I173="profile_visit",BC173,IF(I173="dm",BD173,IF(OR(I173="product_question",I173="trial_intent"),BF173,""))))),IF(I173="save",BK173,IF(I173="discussion",BH173,IF(OR(I173="profile_visit",I173="dm"),BI173,IF(I173="link_click",BJ173,IF(OR(I173="product_question",I173="trial_intent"),BL173,""))))))</x:f>
      </x:c>
      <x:c r="BU173" s="73" t="str">
        <x:f>IF(C173="xiaohongshu",BF173,BL173)</x:f>
      </x:c>
      <x:c r="BV173" s="65" t="str">
        <x:f>IF(COUNT(BQ173,AV173)&lt;2,"unknown",IF(BQ173/AV173-1&gt;=0.2,"high",IF(BQ173/AV173-1&lt;=-0.2,"low","normal")))</x:f>
        <x:v>unknown</x:v>
      </x:c>
      <x:c r="BW173" s="65" t="str">
        <x:f>IF(COUNT(BR173,AW173)&lt;2,"unknown",IF(BR173/AW173-1&gt;=0.2,"high",IF(BR173/AW173-1&lt;=-0.2,"low","normal")))</x:f>
        <x:v>unknown</x:v>
      </x:c>
      <x:c r="BX173" s="65" t="str">
        <x:f>IF(COUNT(BS173,AX173)&lt;2,"unknown",IF(BS173/AX173-1&gt;=0.2,"high",IF(BS173/AX173-1&lt;=-0.2,"low","normal")))</x:f>
        <x:v>unknown</x:v>
      </x:c>
      <x:c r="BY173" s="65" t="str">
        <x:f>IF(COUNT(BT173,AY173)&lt;2,"unknown",IF(BT173/AY173-1&gt;=0.2,"high",IF(BT173/AY173-1&lt;=-0.2,"low","normal")))</x:f>
        <x:v>unknown</x:v>
      </x:c>
      <x:c r="BZ173" s="65" t="str">
        <x:f>IF(COUNT(BU173,AZ173)&lt;2,"unknown",IF(BU173/AZ173-1&gt;=0.2,"high",IF(BU173/AZ173-1&lt;=-0.2,"low","normal")))</x:f>
        <x:v>unknown</x:v>
      </x:c>
      <x:c r="CA173" s="65" t="str">
        <x:f>IF(T173&lt;&gt;"complete","pending",IF(OR(L173&lt;&gt;"pure",U173="true",COUNT(BM173,AT173)&lt;2,AND(AC173&lt;&gt;"",COUNT(BO173,AU173)&lt;2)),"not_attributable","attributable"))</x:f>
        <x:v>pending</x:v>
      </x:c>
      <x:c r="CB173" s="65" t="str">
        <x:f>IF(T173&lt;&gt;"complete","not_evaluated",IF(COUNT(BM173,AT173)&lt;2,"insufficient_data",IF(AND(AC173&lt;&gt;"",COUNT(BP173)=1,BP173&lt;=-0.2),"guardrail_fail",IF(AND(CA173="not_attributable",OR(BV173="high",BN173&gt;=0.2)),"watchlist",IF(CA173&lt;&gt;"attributable","insufficient_data",IF(BN173&gt;=0.2,"win",IF(BN173&lt;=-0.2,"loss","inconclusive")))))))</x:f>
        <x:v>not_evaluated</x:v>
      </x:c>
      <x:c r="CC173" s="65" t="str">
        <x:f>IF(T173&lt;&gt;"complete","COLLECT_MORE_DATA",IF(COUNT(BM173,AT173)&lt;2,"FIX_TRACKING",IF(CB173="guardrail_fail","STOP_VARIANT_GUARDRAIL",IF(CB173="watchlist","WATCHLIST_ONLY",IF(AND(BV173="high",BY173="low"),"KEEP_HOOK_REWRITE_CTA",IF(AND(BW173="high",BX173="low"),"KEEP_STRUCTURE_CHANGE_DISCUSSION_ANGLE",IF(AND(BX173="high",BZ173="low"),"DOWNWEIGHT_TEMPLATE",IF(CB173="win","RETEST_WINNER",IF(CB173="loss","RETURN_TO_BASELINE","COLLECT_MORE_DATA")))))))))</x:f>
        <x:v>COLLECT_MORE_DATA</x:v>
      </x:c>
      <x:c r="CD173" s="75"/>
    </x:row>
    <x:row r="174">
      <x:c r="A174" s="68"/>
      <x:c r="B174" s="69"/>
      <x:c r="C174" s="68"/>
      <x:c r="D174" s="68"/>
      <x:c r="E174" s="68"/>
      <x:c r="F174" s="68"/>
      <x:c r="G174" s="68"/>
      <x:c r="H174" s="70"/>
      <x:c r="I174" s="68"/>
      <x:c r="J174" s="68"/>
      <x:c r="K174" s="68"/>
      <x:c r="L174" s="71" t="str">
        <x:f>IF(K174="","unknown",IF(K174=0,"baseline",IF(K174=1,"pure","mixed")))</x:f>
        <x:v>unknown</x:v>
      </x:c>
      <x:c r="M174" s="68"/>
      <x:c r="N174" s="68"/>
      <x:c r="O174" s="68"/>
      <x:c r="P174" s="68"/>
      <x:c r="Q174" s="68"/>
      <x:c r="R174" s="68"/>
      <x:c r="S174" s="68"/>
      <x:c r="T174" s="68"/>
      <x:c r="U174" s="68"/>
      <x:c r="V174" s="68"/>
      <x:c r="W174" s="68"/>
      <x:c r="X174" s="68"/>
      <x:c r="Y174" s="68"/>
      <x:c r="Z174" s="68"/>
      <x:c r="AA174" s="68"/>
      <x:c r="AB174" s="68"/>
      <x:c r="AC174" s="68"/>
      <x:c r="AD174" s="70"/>
      <x:c r="AE174" s="70"/>
      <x:c r="AF174" s="70"/>
      <x:c r="AG174" s="70"/>
      <x:c r="AH174" s="70"/>
      <x:c r="AI174" s="70"/>
      <x:c r="AJ174" s="70"/>
      <x:c r="AK174" s="70"/>
      <x:c r="AL174" s="70"/>
      <x:c r="AM174" s="70"/>
      <x:c r="AN174" s="70"/>
      <x:c r="AO174" s="70"/>
      <x:c r="AP174" s="70"/>
      <x:c r="AQ174" s="70"/>
      <x:c r="AR174" s="70"/>
      <x:c r="AS174" s="70"/>
      <x:c r="AT174" s="72"/>
      <x:c r="AU174" s="72"/>
      <x:c r="AV174" s="72"/>
      <x:c r="AW174" s="72"/>
      <x:c r="AX174" s="72"/>
      <x:c r="AY174" s="72"/>
      <x:c r="AZ174" s="72"/>
      <x:c r="BA174" s="73" t="str">
        <x:f>IF(C174="xiaohongshu",IF(COUNT(AF174,AE174)&lt;2,"",IFERROR(AF174/AE174,"")),"")</x:f>
      </x:c>
      <x:c r="BB174" s="73" t="str">
        <x:f>IF(C174="xiaohongshu",IF(COUNT(AG174,AE174)&lt;2,"",IFERROR(AG174/AE174,"")),"")</x:f>
      </x:c>
      <x:c r="BC174" s="73" t="str">
        <x:f>IF(C174="xiaohongshu",IF(COUNT(AN174,AE174)&lt;2,"",IFERROR(AN174/AE174,"")),"")</x:f>
      </x:c>
      <x:c r="BD174" s="73" t="str">
        <x:f>IF(C174="xiaohongshu",IF(COUNT(AQ174,AE174)&lt;2,"",IFERROR(AQ174/AE174,"")),"")</x:f>
      </x:c>
      <x:c r="BE174" s="73" t="str">
        <x:f>IF(C174="xiaohongshu",IF(COUNT(AI174,AE174)&lt;2,"",IFERROR(AI174/AE174,"")),"")</x:f>
      </x:c>
      <x:c r="BF174" s="73" t="str">
        <x:f>IF(C174="xiaohongshu",IF(OR(COUNT(AE174)=0,COUNT(AR174,AS174)=0),"",IFERROR((AR174+AS174)/AE174,"")),"")</x:f>
      </x:c>
      <x:c r="BG174" s="73" t="str">
        <x:f>IF(C174="x",IF(COUNT(AD174)=0,"",IF(COUNT(AM174)=1,IFERROR(AM174/AD174,""),IF(COUNT(AH174,AI174,AK174,AL174)=0,"",IFERROR(SUM(AH174,AI174,AK174,AL174)/AD174,"")))),"")</x:f>
      </x:c>
      <x:c r="BH174" s="73" t="str">
        <x:f>IF(C174="x",IF(COUNT(AJ174,AD174)&lt;2,"",IFERROR(AJ174/AD174,"")),"")</x:f>
      </x:c>
      <x:c r="BI174" s="73" t="str">
        <x:f>IF(C174="x",IF(COUNT(AO174,AD174)&lt;2,"",IFERROR(AO174/AD174,"")),"")</x:f>
      </x:c>
      <x:c r="BJ174" s="73" t="str">
        <x:f>IF(C174="x",IF(COUNT(AP174,AD174)&lt;2,"",IFERROR(AP174/AD174,"")),"")</x:f>
      </x:c>
      <x:c r="BK174" s="73" t="str">
        <x:f>IF(C174="x",IF(COUNT(AL174,AD174)&lt;2,"",IFERROR(AL174/AD174,"")),"")</x:f>
      </x:c>
      <x:c r="BL174" s="73" t="str">
        <x:f>IF(C174="x",IF(OR(COUNT(AD174)=0,COUNT(AR174,AS174)=0),"",IFERROR((AR174+AS174)/AD174,"")),"")</x:f>
      </x:c>
      <x:c r="BM174" s="73" t="str">
        <x:f>IF(AB174="xhs_save_rate",BA174,IF(AB174="xhs_completion_rate",BB174,IF(AB174="xhs_profile_visit_rate",BC174,IF(AB174="xhs_dm_intent_rate",BD174,IF(AB174="xhs_discussion_rate",BE174,IF(AB174="xhs_product_relevance_rate",BF174,IF(AB174="x_first_screen_engaged_rate_proxy",BG174,IF(AB174="x_qualified_reply_rate",BH174,IF(AB174="x_profile_click_rate",BI174,IF(AB174="x_link_intent_rate",BJ174,IF(AB174="x_bookmark_rate",BK174,IF(AB174="x_product_relevance_rate",BL174,""))))))))))))</x:f>
      </x:c>
      <x:c r="BN174" s="73" t="str">
        <x:f>IFERROR(BM174/AT174-1,"")</x:f>
      </x:c>
      <x:c r="BO174" s="73" t="str">
        <x:f>IF(AC174="","",IF(AC174="xhs_save_rate",BA174,IF(AC174="xhs_completion_rate",BB174,IF(AC174="xhs_profile_visit_rate",BC174,IF(AC174="xhs_dm_intent_rate",BD174,IF(AC174="xhs_discussion_rate",BE174,IF(AC174="xhs_product_relevance_rate",BF174,IF(AC174="x_first_screen_engaged_rate_proxy",BG174,IF(AC174="x_qualified_reply_rate",BH174,IF(AC174="x_profile_click_rate",BI174,IF(AC174="x_link_intent_rate",BJ174,IF(AC174="x_bookmark_rate",BK174,IF(AC174="x_product_relevance_rate",BL174,"")))))))))))))</x:f>
      </x:c>
      <x:c r="BP174" s="73" t="str">
        <x:f>IFERROR(BO174/AU174-1,"")</x:f>
      </x:c>
      <x:c r="BQ174" s="74" t="str">
        <x:f>IF(COUNT(AD174)=0,"",AD174)</x:f>
      </x:c>
      <x:c r="BR174" s="73" t="str">
        <x:f>IF(C174="xiaohongshu",IF(COUNT(BA174,BB174)=2,AVERAGE(BA174,BB174),IF(COUNT(BA174)=1,BA174,BB174)),BK174)</x:f>
      </x:c>
      <x:c r="BS174" s="73" t="str">
        <x:f>IF(C174="xiaohongshu",BE174,BH174)</x:f>
      </x:c>
      <x:c r="BT174" s="73" t="str">
        <x:f>IF(C174="xiaohongshu",IF(I174="save",BA174,IF(I174="discussion",BE174,IF(I174="profile_visit",BC174,IF(I174="dm",BD174,IF(OR(I174="product_question",I174="trial_intent"),BF174,""))))),IF(I174="save",BK174,IF(I174="discussion",BH174,IF(OR(I174="profile_visit",I174="dm"),BI174,IF(I174="link_click",BJ174,IF(OR(I174="product_question",I174="trial_intent"),BL174,""))))))</x:f>
      </x:c>
      <x:c r="BU174" s="73" t="str">
        <x:f>IF(C174="xiaohongshu",BF174,BL174)</x:f>
      </x:c>
      <x:c r="BV174" s="65" t="str">
        <x:f>IF(COUNT(BQ174,AV174)&lt;2,"unknown",IF(BQ174/AV174-1&gt;=0.2,"high",IF(BQ174/AV174-1&lt;=-0.2,"low","normal")))</x:f>
        <x:v>unknown</x:v>
      </x:c>
      <x:c r="BW174" s="65" t="str">
        <x:f>IF(COUNT(BR174,AW174)&lt;2,"unknown",IF(BR174/AW174-1&gt;=0.2,"high",IF(BR174/AW174-1&lt;=-0.2,"low","normal")))</x:f>
        <x:v>unknown</x:v>
      </x:c>
      <x:c r="BX174" s="65" t="str">
        <x:f>IF(COUNT(BS174,AX174)&lt;2,"unknown",IF(BS174/AX174-1&gt;=0.2,"high",IF(BS174/AX174-1&lt;=-0.2,"low","normal")))</x:f>
        <x:v>unknown</x:v>
      </x:c>
      <x:c r="BY174" s="65" t="str">
        <x:f>IF(COUNT(BT174,AY174)&lt;2,"unknown",IF(BT174/AY174-1&gt;=0.2,"high",IF(BT174/AY174-1&lt;=-0.2,"low","normal")))</x:f>
        <x:v>unknown</x:v>
      </x:c>
      <x:c r="BZ174" s="65" t="str">
        <x:f>IF(COUNT(BU174,AZ174)&lt;2,"unknown",IF(BU174/AZ174-1&gt;=0.2,"high",IF(BU174/AZ174-1&lt;=-0.2,"low","normal")))</x:f>
        <x:v>unknown</x:v>
      </x:c>
      <x:c r="CA174" s="65" t="str">
        <x:f>IF(T174&lt;&gt;"complete","pending",IF(OR(L174&lt;&gt;"pure",U174="true",COUNT(BM174,AT174)&lt;2,AND(AC174&lt;&gt;"",COUNT(BO174,AU174)&lt;2)),"not_attributable","attributable"))</x:f>
        <x:v>pending</x:v>
      </x:c>
      <x:c r="CB174" s="65" t="str">
        <x:f>IF(T174&lt;&gt;"complete","not_evaluated",IF(COUNT(BM174,AT174)&lt;2,"insufficient_data",IF(AND(AC174&lt;&gt;"",COUNT(BP174)=1,BP174&lt;=-0.2),"guardrail_fail",IF(AND(CA174="not_attributable",OR(BV174="high",BN174&gt;=0.2)),"watchlist",IF(CA174&lt;&gt;"attributable","insufficient_data",IF(BN174&gt;=0.2,"win",IF(BN174&lt;=-0.2,"loss","inconclusive")))))))</x:f>
        <x:v>not_evaluated</x:v>
      </x:c>
      <x:c r="CC174" s="65" t="str">
        <x:f>IF(T174&lt;&gt;"complete","COLLECT_MORE_DATA",IF(COUNT(BM174,AT174)&lt;2,"FIX_TRACKING",IF(CB174="guardrail_fail","STOP_VARIANT_GUARDRAIL",IF(CB174="watchlist","WATCHLIST_ONLY",IF(AND(BV174="high",BY174="low"),"KEEP_HOOK_REWRITE_CTA",IF(AND(BW174="high",BX174="low"),"KEEP_STRUCTURE_CHANGE_DISCUSSION_ANGLE",IF(AND(BX174="high",BZ174="low"),"DOWNWEIGHT_TEMPLATE",IF(CB174="win","RETEST_WINNER",IF(CB174="loss","RETURN_TO_BASELINE","COLLECT_MORE_DATA")))))))))</x:f>
        <x:v>COLLECT_MORE_DATA</x:v>
      </x:c>
      <x:c r="CD174" s="75"/>
    </x:row>
    <x:row r="175">
      <x:c r="A175" s="68"/>
      <x:c r="B175" s="69"/>
      <x:c r="C175" s="68"/>
      <x:c r="D175" s="68"/>
      <x:c r="E175" s="68"/>
      <x:c r="F175" s="68"/>
      <x:c r="G175" s="68"/>
      <x:c r="H175" s="70"/>
      <x:c r="I175" s="68"/>
      <x:c r="J175" s="68"/>
      <x:c r="K175" s="68"/>
      <x:c r="L175" s="71" t="str">
        <x:f>IF(K175="","unknown",IF(K175=0,"baseline",IF(K175=1,"pure","mixed")))</x:f>
        <x:v>unknown</x:v>
      </x:c>
      <x:c r="M175" s="68"/>
      <x:c r="N175" s="68"/>
      <x:c r="O175" s="68"/>
      <x:c r="P175" s="68"/>
      <x:c r="Q175" s="68"/>
      <x:c r="R175" s="68"/>
      <x:c r="S175" s="68"/>
      <x:c r="T175" s="68"/>
      <x:c r="U175" s="68"/>
      <x:c r="V175" s="68"/>
      <x:c r="W175" s="68"/>
      <x:c r="X175" s="68"/>
      <x:c r="Y175" s="68"/>
      <x:c r="Z175" s="68"/>
      <x:c r="AA175" s="68"/>
      <x:c r="AB175" s="68"/>
      <x:c r="AC175" s="68"/>
      <x:c r="AD175" s="70"/>
      <x:c r="AE175" s="70"/>
      <x:c r="AF175" s="70"/>
      <x:c r="AG175" s="70"/>
      <x:c r="AH175" s="70"/>
      <x:c r="AI175" s="70"/>
      <x:c r="AJ175" s="70"/>
      <x:c r="AK175" s="70"/>
      <x:c r="AL175" s="70"/>
      <x:c r="AM175" s="70"/>
      <x:c r="AN175" s="70"/>
      <x:c r="AO175" s="70"/>
      <x:c r="AP175" s="70"/>
      <x:c r="AQ175" s="70"/>
      <x:c r="AR175" s="70"/>
      <x:c r="AS175" s="70"/>
      <x:c r="AT175" s="72"/>
      <x:c r="AU175" s="72"/>
      <x:c r="AV175" s="72"/>
      <x:c r="AW175" s="72"/>
      <x:c r="AX175" s="72"/>
      <x:c r="AY175" s="72"/>
      <x:c r="AZ175" s="72"/>
      <x:c r="BA175" s="73" t="str">
        <x:f>IF(C175="xiaohongshu",IF(COUNT(AF175,AE175)&lt;2,"",IFERROR(AF175/AE175,"")),"")</x:f>
      </x:c>
      <x:c r="BB175" s="73" t="str">
        <x:f>IF(C175="xiaohongshu",IF(COUNT(AG175,AE175)&lt;2,"",IFERROR(AG175/AE175,"")),"")</x:f>
      </x:c>
      <x:c r="BC175" s="73" t="str">
        <x:f>IF(C175="xiaohongshu",IF(COUNT(AN175,AE175)&lt;2,"",IFERROR(AN175/AE175,"")),"")</x:f>
      </x:c>
      <x:c r="BD175" s="73" t="str">
        <x:f>IF(C175="xiaohongshu",IF(COUNT(AQ175,AE175)&lt;2,"",IFERROR(AQ175/AE175,"")),"")</x:f>
      </x:c>
      <x:c r="BE175" s="73" t="str">
        <x:f>IF(C175="xiaohongshu",IF(COUNT(AI175,AE175)&lt;2,"",IFERROR(AI175/AE175,"")),"")</x:f>
      </x:c>
      <x:c r="BF175" s="73" t="str">
        <x:f>IF(C175="xiaohongshu",IF(OR(COUNT(AE175)=0,COUNT(AR175,AS175)=0),"",IFERROR((AR175+AS175)/AE175,"")),"")</x:f>
      </x:c>
      <x:c r="BG175" s="73" t="str">
        <x:f>IF(C175="x",IF(COUNT(AD175)=0,"",IF(COUNT(AM175)=1,IFERROR(AM175/AD175,""),IF(COUNT(AH175,AI175,AK175,AL175)=0,"",IFERROR(SUM(AH175,AI175,AK175,AL175)/AD175,"")))),"")</x:f>
      </x:c>
      <x:c r="BH175" s="73" t="str">
        <x:f>IF(C175="x",IF(COUNT(AJ175,AD175)&lt;2,"",IFERROR(AJ175/AD175,"")),"")</x:f>
      </x:c>
      <x:c r="BI175" s="73" t="str">
        <x:f>IF(C175="x",IF(COUNT(AO175,AD175)&lt;2,"",IFERROR(AO175/AD175,"")),"")</x:f>
      </x:c>
      <x:c r="BJ175" s="73" t="str">
        <x:f>IF(C175="x",IF(COUNT(AP175,AD175)&lt;2,"",IFERROR(AP175/AD175,"")),"")</x:f>
      </x:c>
      <x:c r="BK175" s="73" t="str">
        <x:f>IF(C175="x",IF(COUNT(AL175,AD175)&lt;2,"",IFERROR(AL175/AD175,"")),"")</x:f>
      </x:c>
      <x:c r="BL175" s="73" t="str">
        <x:f>IF(C175="x",IF(OR(COUNT(AD175)=0,COUNT(AR175,AS175)=0),"",IFERROR((AR175+AS175)/AD175,"")),"")</x:f>
      </x:c>
      <x:c r="BM175" s="73" t="str">
        <x:f>IF(AB175="xhs_save_rate",BA175,IF(AB175="xhs_completion_rate",BB175,IF(AB175="xhs_profile_visit_rate",BC175,IF(AB175="xhs_dm_intent_rate",BD175,IF(AB175="xhs_discussion_rate",BE175,IF(AB175="xhs_product_relevance_rate",BF175,IF(AB175="x_first_screen_engaged_rate_proxy",BG175,IF(AB175="x_qualified_reply_rate",BH175,IF(AB175="x_profile_click_rate",BI175,IF(AB175="x_link_intent_rate",BJ175,IF(AB175="x_bookmark_rate",BK175,IF(AB175="x_product_relevance_rate",BL175,""))))))))))))</x:f>
      </x:c>
      <x:c r="BN175" s="73" t="str">
        <x:f>IFERROR(BM175/AT175-1,"")</x:f>
      </x:c>
      <x:c r="BO175" s="73" t="str">
        <x:f>IF(AC175="","",IF(AC175="xhs_save_rate",BA175,IF(AC175="xhs_completion_rate",BB175,IF(AC175="xhs_profile_visit_rate",BC175,IF(AC175="xhs_dm_intent_rate",BD175,IF(AC175="xhs_discussion_rate",BE175,IF(AC175="xhs_product_relevance_rate",BF175,IF(AC175="x_first_screen_engaged_rate_proxy",BG175,IF(AC175="x_qualified_reply_rate",BH175,IF(AC175="x_profile_click_rate",BI175,IF(AC175="x_link_intent_rate",BJ175,IF(AC175="x_bookmark_rate",BK175,IF(AC175="x_product_relevance_rate",BL175,"")))))))))))))</x:f>
      </x:c>
      <x:c r="BP175" s="73" t="str">
        <x:f>IFERROR(BO175/AU175-1,"")</x:f>
      </x:c>
      <x:c r="BQ175" s="74" t="str">
        <x:f>IF(COUNT(AD175)=0,"",AD175)</x:f>
      </x:c>
      <x:c r="BR175" s="73" t="str">
        <x:f>IF(C175="xiaohongshu",IF(COUNT(BA175,BB175)=2,AVERAGE(BA175,BB175),IF(COUNT(BA175)=1,BA175,BB175)),BK175)</x:f>
      </x:c>
      <x:c r="BS175" s="73" t="str">
        <x:f>IF(C175="xiaohongshu",BE175,BH175)</x:f>
      </x:c>
      <x:c r="BT175" s="73" t="str">
        <x:f>IF(C175="xiaohongshu",IF(I175="save",BA175,IF(I175="discussion",BE175,IF(I175="profile_visit",BC175,IF(I175="dm",BD175,IF(OR(I175="product_question",I175="trial_intent"),BF175,""))))),IF(I175="save",BK175,IF(I175="discussion",BH175,IF(OR(I175="profile_visit",I175="dm"),BI175,IF(I175="link_click",BJ175,IF(OR(I175="product_question",I175="trial_intent"),BL175,""))))))</x:f>
      </x:c>
      <x:c r="BU175" s="73" t="str">
        <x:f>IF(C175="xiaohongshu",BF175,BL175)</x:f>
      </x:c>
      <x:c r="BV175" s="65" t="str">
        <x:f>IF(COUNT(BQ175,AV175)&lt;2,"unknown",IF(BQ175/AV175-1&gt;=0.2,"high",IF(BQ175/AV175-1&lt;=-0.2,"low","normal")))</x:f>
        <x:v>unknown</x:v>
      </x:c>
      <x:c r="BW175" s="65" t="str">
        <x:f>IF(COUNT(BR175,AW175)&lt;2,"unknown",IF(BR175/AW175-1&gt;=0.2,"high",IF(BR175/AW175-1&lt;=-0.2,"low","normal")))</x:f>
        <x:v>unknown</x:v>
      </x:c>
      <x:c r="BX175" s="65" t="str">
        <x:f>IF(COUNT(BS175,AX175)&lt;2,"unknown",IF(BS175/AX175-1&gt;=0.2,"high",IF(BS175/AX175-1&lt;=-0.2,"low","normal")))</x:f>
        <x:v>unknown</x:v>
      </x:c>
      <x:c r="BY175" s="65" t="str">
        <x:f>IF(COUNT(BT175,AY175)&lt;2,"unknown",IF(BT175/AY175-1&gt;=0.2,"high",IF(BT175/AY175-1&lt;=-0.2,"low","normal")))</x:f>
        <x:v>unknown</x:v>
      </x:c>
      <x:c r="BZ175" s="65" t="str">
        <x:f>IF(COUNT(BU175,AZ175)&lt;2,"unknown",IF(BU175/AZ175-1&gt;=0.2,"high",IF(BU175/AZ175-1&lt;=-0.2,"low","normal")))</x:f>
        <x:v>unknown</x:v>
      </x:c>
      <x:c r="CA175" s="65" t="str">
        <x:f>IF(T175&lt;&gt;"complete","pending",IF(OR(L175&lt;&gt;"pure",U175="true",COUNT(BM175,AT175)&lt;2,AND(AC175&lt;&gt;"",COUNT(BO175,AU175)&lt;2)),"not_attributable","attributable"))</x:f>
        <x:v>pending</x:v>
      </x:c>
      <x:c r="CB175" s="65" t="str">
        <x:f>IF(T175&lt;&gt;"complete","not_evaluated",IF(COUNT(BM175,AT175)&lt;2,"insufficient_data",IF(AND(AC175&lt;&gt;"",COUNT(BP175)=1,BP175&lt;=-0.2),"guardrail_fail",IF(AND(CA175="not_attributable",OR(BV175="high",BN175&gt;=0.2)),"watchlist",IF(CA175&lt;&gt;"attributable","insufficient_data",IF(BN175&gt;=0.2,"win",IF(BN175&lt;=-0.2,"loss","inconclusive")))))))</x:f>
        <x:v>not_evaluated</x:v>
      </x:c>
      <x:c r="CC175" s="65" t="str">
        <x:f>IF(T175&lt;&gt;"complete","COLLECT_MORE_DATA",IF(COUNT(BM175,AT175)&lt;2,"FIX_TRACKING",IF(CB175="guardrail_fail","STOP_VARIANT_GUARDRAIL",IF(CB175="watchlist","WATCHLIST_ONLY",IF(AND(BV175="high",BY175="low"),"KEEP_HOOK_REWRITE_CTA",IF(AND(BW175="high",BX175="low"),"KEEP_STRUCTURE_CHANGE_DISCUSSION_ANGLE",IF(AND(BX175="high",BZ175="low"),"DOWNWEIGHT_TEMPLATE",IF(CB175="win","RETEST_WINNER",IF(CB175="loss","RETURN_TO_BASELINE","COLLECT_MORE_DATA")))))))))</x:f>
        <x:v>COLLECT_MORE_DATA</x:v>
      </x:c>
      <x:c r="CD175" s="75"/>
    </x:row>
    <x:row r="176">
      <x:c r="A176" s="68"/>
      <x:c r="B176" s="69"/>
      <x:c r="C176" s="68"/>
      <x:c r="D176" s="68"/>
      <x:c r="E176" s="68"/>
      <x:c r="F176" s="68"/>
      <x:c r="G176" s="68"/>
      <x:c r="H176" s="70"/>
      <x:c r="I176" s="68"/>
      <x:c r="J176" s="68"/>
      <x:c r="K176" s="68"/>
      <x:c r="L176" s="71" t="str">
        <x:f>IF(K176="","unknown",IF(K176=0,"baseline",IF(K176=1,"pure","mixed")))</x:f>
        <x:v>unknown</x:v>
      </x:c>
      <x:c r="M176" s="68"/>
      <x:c r="N176" s="68"/>
      <x:c r="O176" s="68"/>
      <x:c r="P176" s="68"/>
      <x:c r="Q176" s="68"/>
      <x:c r="R176" s="68"/>
      <x:c r="S176" s="68"/>
      <x:c r="T176" s="68"/>
      <x:c r="U176" s="68"/>
      <x:c r="V176" s="68"/>
      <x:c r="W176" s="68"/>
      <x:c r="X176" s="68"/>
      <x:c r="Y176" s="68"/>
      <x:c r="Z176" s="68"/>
      <x:c r="AA176" s="68"/>
      <x:c r="AB176" s="68"/>
      <x:c r="AC176" s="68"/>
      <x:c r="AD176" s="70"/>
      <x:c r="AE176" s="70"/>
      <x:c r="AF176" s="70"/>
      <x:c r="AG176" s="70"/>
      <x:c r="AH176" s="70"/>
      <x:c r="AI176" s="70"/>
      <x:c r="AJ176" s="70"/>
      <x:c r="AK176" s="70"/>
      <x:c r="AL176" s="70"/>
      <x:c r="AM176" s="70"/>
      <x:c r="AN176" s="70"/>
      <x:c r="AO176" s="70"/>
      <x:c r="AP176" s="70"/>
      <x:c r="AQ176" s="70"/>
      <x:c r="AR176" s="70"/>
      <x:c r="AS176" s="70"/>
      <x:c r="AT176" s="72"/>
      <x:c r="AU176" s="72"/>
      <x:c r="AV176" s="72"/>
      <x:c r="AW176" s="72"/>
      <x:c r="AX176" s="72"/>
      <x:c r="AY176" s="72"/>
      <x:c r="AZ176" s="72"/>
      <x:c r="BA176" s="73" t="str">
        <x:f>IF(C176="xiaohongshu",IF(COUNT(AF176,AE176)&lt;2,"",IFERROR(AF176/AE176,"")),"")</x:f>
      </x:c>
      <x:c r="BB176" s="73" t="str">
        <x:f>IF(C176="xiaohongshu",IF(COUNT(AG176,AE176)&lt;2,"",IFERROR(AG176/AE176,"")),"")</x:f>
      </x:c>
      <x:c r="BC176" s="73" t="str">
        <x:f>IF(C176="xiaohongshu",IF(COUNT(AN176,AE176)&lt;2,"",IFERROR(AN176/AE176,"")),"")</x:f>
      </x:c>
      <x:c r="BD176" s="73" t="str">
        <x:f>IF(C176="xiaohongshu",IF(COUNT(AQ176,AE176)&lt;2,"",IFERROR(AQ176/AE176,"")),"")</x:f>
      </x:c>
      <x:c r="BE176" s="73" t="str">
        <x:f>IF(C176="xiaohongshu",IF(COUNT(AI176,AE176)&lt;2,"",IFERROR(AI176/AE176,"")),"")</x:f>
      </x:c>
      <x:c r="BF176" s="73" t="str">
        <x:f>IF(C176="xiaohongshu",IF(OR(COUNT(AE176)=0,COUNT(AR176,AS176)=0),"",IFERROR((AR176+AS176)/AE176,"")),"")</x:f>
      </x:c>
      <x:c r="BG176" s="73" t="str">
        <x:f>IF(C176="x",IF(COUNT(AD176)=0,"",IF(COUNT(AM176)=1,IFERROR(AM176/AD176,""),IF(COUNT(AH176,AI176,AK176,AL176)=0,"",IFERROR(SUM(AH176,AI176,AK176,AL176)/AD176,"")))),"")</x:f>
      </x:c>
      <x:c r="BH176" s="73" t="str">
        <x:f>IF(C176="x",IF(COUNT(AJ176,AD176)&lt;2,"",IFERROR(AJ176/AD176,"")),"")</x:f>
      </x:c>
      <x:c r="BI176" s="73" t="str">
        <x:f>IF(C176="x",IF(COUNT(AO176,AD176)&lt;2,"",IFERROR(AO176/AD176,"")),"")</x:f>
      </x:c>
      <x:c r="BJ176" s="73" t="str">
        <x:f>IF(C176="x",IF(COUNT(AP176,AD176)&lt;2,"",IFERROR(AP176/AD176,"")),"")</x:f>
      </x:c>
      <x:c r="BK176" s="73" t="str">
        <x:f>IF(C176="x",IF(COUNT(AL176,AD176)&lt;2,"",IFERROR(AL176/AD176,"")),"")</x:f>
      </x:c>
      <x:c r="BL176" s="73" t="str">
        <x:f>IF(C176="x",IF(OR(COUNT(AD176)=0,COUNT(AR176,AS176)=0),"",IFERROR((AR176+AS176)/AD176,"")),"")</x:f>
      </x:c>
      <x:c r="BM176" s="73" t="str">
        <x:f>IF(AB176="xhs_save_rate",BA176,IF(AB176="xhs_completion_rate",BB176,IF(AB176="xhs_profile_visit_rate",BC176,IF(AB176="xhs_dm_intent_rate",BD176,IF(AB176="xhs_discussion_rate",BE176,IF(AB176="xhs_product_relevance_rate",BF176,IF(AB176="x_first_screen_engaged_rate_proxy",BG176,IF(AB176="x_qualified_reply_rate",BH176,IF(AB176="x_profile_click_rate",BI176,IF(AB176="x_link_intent_rate",BJ176,IF(AB176="x_bookmark_rate",BK176,IF(AB176="x_product_relevance_rate",BL176,""))))))))))))</x:f>
      </x:c>
      <x:c r="BN176" s="73" t="str">
        <x:f>IFERROR(BM176/AT176-1,"")</x:f>
      </x:c>
      <x:c r="BO176" s="73" t="str">
        <x:f>IF(AC176="","",IF(AC176="xhs_save_rate",BA176,IF(AC176="xhs_completion_rate",BB176,IF(AC176="xhs_profile_visit_rate",BC176,IF(AC176="xhs_dm_intent_rate",BD176,IF(AC176="xhs_discussion_rate",BE176,IF(AC176="xhs_product_relevance_rate",BF176,IF(AC176="x_first_screen_engaged_rate_proxy",BG176,IF(AC176="x_qualified_reply_rate",BH176,IF(AC176="x_profile_click_rate",BI176,IF(AC176="x_link_intent_rate",BJ176,IF(AC176="x_bookmark_rate",BK176,IF(AC176="x_product_relevance_rate",BL176,"")))))))))))))</x:f>
      </x:c>
      <x:c r="BP176" s="73" t="str">
        <x:f>IFERROR(BO176/AU176-1,"")</x:f>
      </x:c>
      <x:c r="BQ176" s="74" t="str">
        <x:f>IF(COUNT(AD176)=0,"",AD176)</x:f>
      </x:c>
      <x:c r="BR176" s="73" t="str">
        <x:f>IF(C176="xiaohongshu",IF(COUNT(BA176,BB176)=2,AVERAGE(BA176,BB176),IF(COUNT(BA176)=1,BA176,BB176)),BK176)</x:f>
      </x:c>
      <x:c r="BS176" s="73" t="str">
        <x:f>IF(C176="xiaohongshu",BE176,BH176)</x:f>
      </x:c>
      <x:c r="BT176" s="73" t="str">
        <x:f>IF(C176="xiaohongshu",IF(I176="save",BA176,IF(I176="discussion",BE176,IF(I176="profile_visit",BC176,IF(I176="dm",BD176,IF(OR(I176="product_question",I176="trial_intent"),BF176,""))))),IF(I176="save",BK176,IF(I176="discussion",BH176,IF(OR(I176="profile_visit",I176="dm"),BI176,IF(I176="link_click",BJ176,IF(OR(I176="product_question",I176="trial_intent"),BL176,""))))))</x:f>
      </x:c>
      <x:c r="BU176" s="73" t="str">
        <x:f>IF(C176="xiaohongshu",BF176,BL176)</x:f>
      </x:c>
      <x:c r="BV176" s="65" t="str">
        <x:f>IF(COUNT(BQ176,AV176)&lt;2,"unknown",IF(BQ176/AV176-1&gt;=0.2,"high",IF(BQ176/AV176-1&lt;=-0.2,"low","normal")))</x:f>
        <x:v>unknown</x:v>
      </x:c>
      <x:c r="BW176" s="65" t="str">
        <x:f>IF(COUNT(BR176,AW176)&lt;2,"unknown",IF(BR176/AW176-1&gt;=0.2,"high",IF(BR176/AW176-1&lt;=-0.2,"low","normal")))</x:f>
        <x:v>unknown</x:v>
      </x:c>
      <x:c r="BX176" s="65" t="str">
        <x:f>IF(COUNT(BS176,AX176)&lt;2,"unknown",IF(BS176/AX176-1&gt;=0.2,"high",IF(BS176/AX176-1&lt;=-0.2,"low","normal")))</x:f>
        <x:v>unknown</x:v>
      </x:c>
      <x:c r="BY176" s="65" t="str">
        <x:f>IF(COUNT(BT176,AY176)&lt;2,"unknown",IF(BT176/AY176-1&gt;=0.2,"high",IF(BT176/AY176-1&lt;=-0.2,"low","normal")))</x:f>
        <x:v>unknown</x:v>
      </x:c>
      <x:c r="BZ176" s="65" t="str">
        <x:f>IF(COUNT(BU176,AZ176)&lt;2,"unknown",IF(BU176/AZ176-1&gt;=0.2,"high",IF(BU176/AZ176-1&lt;=-0.2,"low","normal")))</x:f>
        <x:v>unknown</x:v>
      </x:c>
      <x:c r="CA176" s="65" t="str">
        <x:f>IF(T176&lt;&gt;"complete","pending",IF(OR(L176&lt;&gt;"pure",U176="true",COUNT(BM176,AT176)&lt;2,AND(AC176&lt;&gt;"",COUNT(BO176,AU176)&lt;2)),"not_attributable","attributable"))</x:f>
        <x:v>pending</x:v>
      </x:c>
      <x:c r="CB176" s="65" t="str">
        <x:f>IF(T176&lt;&gt;"complete","not_evaluated",IF(COUNT(BM176,AT176)&lt;2,"insufficient_data",IF(AND(AC176&lt;&gt;"",COUNT(BP176)=1,BP176&lt;=-0.2),"guardrail_fail",IF(AND(CA176="not_attributable",OR(BV176="high",BN176&gt;=0.2)),"watchlist",IF(CA176&lt;&gt;"attributable","insufficient_data",IF(BN176&gt;=0.2,"win",IF(BN176&lt;=-0.2,"loss","inconclusive")))))))</x:f>
        <x:v>not_evaluated</x:v>
      </x:c>
      <x:c r="CC176" s="65" t="str">
        <x:f>IF(T176&lt;&gt;"complete","COLLECT_MORE_DATA",IF(COUNT(BM176,AT176)&lt;2,"FIX_TRACKING",IF(CB176="guardrail_fail","STOP_VARIANT_GUARDRAIL",IF(CB176="watchlist","WATCHLIST_ONLY",IF(AND(BV176="high",BY176="low"),"KEEP_HOOK_REWRITE_CTA",IF(AND(BW176="high",BX176="low"),"KEEP_STRUCTURE_CHANGE_DISCUSSION_ANGLE",IF(AND(BX176="high",BZ176="low"),"DOWNWEIGHT_TEMPLATE",IF(CB176="win","RETEST_WINNER",IF(CB176="loss","RETURN_TO_BASELINE","COLLECT_MORE_DATA")))))))))</x:f>
        <x:v>COLLECT_MORE_DATA</x:v>
      </x:c>
      <x:c r="CD176" s="75"/>
    </x:row>
    <x:row r="177">
      <x:c r="A177" s="68"/>
      <x:c r="B177" s="69"/>
      <x:c r="C177" s="68"/>
      <x:c r="D177" s="68"/>
      <x:c r="E177" s="68"/>
      <x:c r="F177" s="68"/>
      <x:c r="G177" s="68"/>
      <x:c r="H177" s="70"/>
      <x:c r="I177" s="68"/>
      <x:c r="J177" s="68"/>
      <x:c r="K177" s="68"/>
      <x:c r="L177" s="71" t="str">
        <x:f>IF(K177="","unknown",IF(K177=0,"baseline",IF(K177=1,"pure","mixed")))</x:f>
        <x:v>unknown</x:v>
      </x:c>
      <x:c r="M177" s="68"/>
      <x:c r="N177" s="68"/>
      <x:c r="O177" s="68"/>
      <x:c r="P177" s="68"/>
      <x:c r="Q177" s="68"/>
      <x:c r="R177" s="68"/>
      <x:c r="S177" s="68"/>
      <x:c r="T177" s="68"/>
      <x:c r="U177" s="68"/>
      <x:c r="V177" s="68"/>
      <x:c r="W177" s="68"/>
      <x:c r="X177" s="68"/>
      <x:c r="Y177" s="68"/>
      <x:c r="Z177" s="68"/>
      <x:c r="AA177" s="68"/>
      <x:c r="AB177" s="68"/>
      <x:c r="AC177" s="68"/>
      <x:c r="AD177" s="70"/>
      <x:c r="AE177" s="70"/>
      <x:c r="AF177" s="70"/>
      <x:c r="AG177" s="70"/>
      <x:c r="AH177" s="70"/>
      <x:c r="AI177" s="70"/>
      <x:c r="AJ177" s="70"/>
      <x:c r="AK177" s="70"/>
      <x:c r="AL177" s="70"/>
      <x:c r="AM177" s="70"/>
      <x:c r="AN177" s="70"/>
      <x:c r="AO177" s="70"/>
      <x:c r="AP177" s="70"/>
      <x:c r="AQ177" s="70"/>
      <x:c r="AR177" s="70"/>
      <x:c r="AS177" s="70"/>
      <x:c r="AT177" s="72"/>
      <x:c r="AU177" s="72"/>
      <x:c r="AV177" s="72"/>
      <x:c r="AW177" s="72"/>
      <x:c r="AX177" s="72"/>
      <x:c r="AY177" s="72"/>
      <x:c r="AZ177" s="72"/>
      <x:c r="BA177" s="73" t="str">
        <x:f>IF(C177="xiaohongshu",IF(COUNT(AF177,AE177)&lt;2,"",IFERROR(AF177/AE177,"")),"")</x:f>
      </x:c>
      <x:c r="BB177" s="73" t="str">
        <x:f>IF(C177="xiaohongshu",IF(COUNT(AG177,AE177)&lt;2,"",IFERROR(AG177/AE177,"")),"")</x:f>
      </x:c>
      <x:c r="BC177" s="73" t="str">
        <x:f>IF(C177="xiaohongshu",IF(COUNT(AN177,AE177)&lt;2,"",IFERROR(AN177/AE177,"")),"")</x:f>
      </x:c>
      <x:c r="BD177" s="73" t="str">
        <x:f>IF(C177="xiaohongshu",IF(COUNT(AQ177,AE177)&lt;2,"",IFERROR(AQ177/AE177,"")),"")</x:f>
      </x:c>
      <x:c r="BE177" s="73" t="str">
        <x:f>IF(C177="xiaohongshu",IF(COUNT(AI177,AE177)&lt;2,"",IFERROR(AI177/AE177,"")),"")</x:f>
      </x:c>
      <x:c r="BF177" s="73" t="str">
        <x:f>IF(C177="xiaohongshu",IF(OR(COUNT(AE177)=0,COUNT(AR177,AS177)=0),"",IFERROR((AR177+AS177)/AE177,"")),"")</x:f>
      </x:c>
      <x:c r="BG177" s="73" t="str">
        <x:f>IF(C177="x",IF(COUNT(AD177)=0,"",IF(COUNT(AM177)=1,IFERROR(AM177/AD177,""),IF(COUNT(AH177,AI177,AK177,AL177)=0,"",IFERROR(SUM(AH177,AI177,AK177,AL177)/AD177,"")))),"")</x:f>
      </x:c>
      <x:c r="BH177" s="73" t="str">
        <x:f>IF(C177="x",IF(COUNT(AJ177,AD177)&lt;2,"",IFERROR(AJ177/AD177,"")),"")</x:f>
      </x:c>
      <x:c r="BI177" s="73" t="str">
        <x:f>IF(C177="x",IF(COUNT(AO177,AD177)&lt;2,"",IFERROR(AO177/AD177,"")),"")</x:f>
      </x:c>
      <x:c r="BJ177" s="73" t="str">
        <x:f>IF(C177="x",IF(COUNT(AP177,AD177)&lt;2,"",IFERROR(AP177/AD177,"")),"")</x:f>
      </x:c>
      <x:c r="BK177" s="73" t="str">
        <x:f>IF(C177="x",IF(COUNT(AL177,AD177)&lt;2,"",IFERROR(AL177/AD177,"")),"")</x:f>
      </x:c>
      <x:c r="BL177" s="73" t="str">
        <x:f>IF(C177="x",IF(OR(COUNT(AD177)=0,COUNT(AR177,AS177)=0),"",IFERROR((AR177+AS177)/AD177,"")),"")</x:f>
      </x:c>
      <x:c r="BM177" s="73" t="str">
        <x:f>IF(AB177="xhs_save_rate",BA177,IF(AB177="xhs_completion_rate",BB177,IF(AB177="xhs_profile_visit_rate",BC177,IF(AB177="xhs_dm_intent_rate",BD177,IF(AB177="xhs_discussion_rate",BE177,IF(AB177="xhs_product_relevance_rate",BF177,IF(AB177="x_first_screen_engaged_rate_proxy",BG177,IF(AB177="x_qualified_reply_rate",BH177,IF(AB177="x_profile_click_rate",BI177,IF(AB177="x_link_intent_rate",BJ177,IF(AB177="x_bookmark_rate",BK177,IF(AB177="x_product_relevance_rate",BL177,""))))))))))))</x:f>
      </x:c>
      <x:c r="BN177" s="73" t="str">
        <x:f>IFERROR(BM177/AT177-1,"")</x:f>
      </x:c>
      <x:c r="BO177" s="73" t="str">
        <x:f>IF(AC177="","",IF(AC177="xhs_save_rate",BA177,IF(AC177="xhs_completion_rate",BB177,IF(AC177="xhs_profile_visit_rate",BC177,IF(AC177="xhs_dm_intent_rate",BD177,IF(AC177="xhs_discussion_rate",BE177,IF(AC177="xhs_product_relevance_rate",BF177,IF(AC177="x_first_screen_engaged_rate_proxy",BG177,IF(AC177="x_qualified_reply_rate",BH177,IF(AC177="x_profile_click_rate",BI177,IF(AC177="x_link_intent_rate",BJ177,IF(AC177="x_bookmark_rate",BK177,IF(AC177="x_product_relevance_rate",BL177,"")))))))))))))</x:f>
      </x:c>
      <x:c r="BP177" s="73" t="str">
        <x:f>IFERROR(BO177/AU177-1,"")</x:f>
      </x:c>
      <x:c r="BQ177" s="74" t="str">
        <x:f>IF(COUNT(AD177)=0,"",AD177)</x:f>
      </x:c>
      <x:c r="BR177" s="73" t="str">
        <x:f>IF(C177="xiaohongshu",IF(COUNT(BA177,BB177)=2,AVERAGE(BA177,BB177),IF(COUNT(BA177)=1,BA177,BB177)),BK177)</x:f>
      </x:c>
      <x:c r="BS177" s="73" t="str">
        <x:f>IF(C177="xiaohongshu",BE177,BH177)</x:f>
      </x:c>
      <x:c r="BT177" s="73" t="str">
        <x:f>IF(C177="xiaohongshu",IF(I177="save",BA177,IF(I177="discussion",BE177,IF(I177="profile_visit",BC177,IF(I177="dm",BD177,IF(OR(I177="product_question",I177="trial_intent"),BF177,""))))),IF(I177="save",BK177,IF(I177="discussion",BH177,IF(OR(I177="profile_visit",I177="dm"),BI177,IF(I177="link_click",BJ177,IF(OR(I177="product_question",I177="trial_intent"),BL177,""))))))</x:f>
      </x:c>
      <x:c r="BU177" s="73" t="str">
        <x:f>IF(C177="xiaohongshu",BF177,BL177)</x:f>
      </x:c>
      <x:c r="BV177" s="65" t="str">
        <x:f>IF(COUNT(BQ177,AV177)&lt;2,"unknown",IF(BQ177/AV177-1&gt;=0.2,"high",IF(BQ177/AV177-1&lt;=-0.2,"low","normal")))</x:f>
        <x:v>unknown</x:v>
      </x:c>
      <x:c r="BW177" s="65" t="str">
        <x:f>IF(COUNT(BR177,AW177)&lt;2,"unknown",IF(BR177/AW177-1&gt;=0.2,"high",IF(BR177/AW177-1&lt;=-0.2,"low","normal")))</x:f>
        <x:v>unknown</x:v>
      </x:c>
      <x:c r="BX177" s="65" t="str">
        <x:f>IF(COUNT(BS177,AX177)&lt;2,"unknown",IF(BS177/AX177-1&gt;=0.2,"high",IF(BS177/AX177-1&lt;=-0.2,"low","normal")))</x:f>
        <x:v>unknown</x:v>
      </x:c>
      <x:c r="BY177" s="65" t="str">
        <x:f>IF(COUNT(BT177,AY177)&lt;2,"unknown",IF(BT177/AY177-1&gt;=0.2,"high",IF(BT177/AY177-1&lt;=-0.2,"low","normal")))</x:f>
        <x:v>unknown</x:v>
      </x:c>
      <x:c r="BZ177" s="65" t="str">
        <x:f>IF(COUNT(BU177,AZ177)&lt;2,"unknown",IF(BU177/AZ177-1&gt;=0.2,"high",IF(BU177/AZ177-1&lt;=-0.2,"low","normal")))</x:f>
        <x:v>unknown</x:v>
      </x:c>
      <x:c r="CA177" s="65" t="str">
        <x:f>IF(T177&lt;&gt;"complete","pending",IF(OR(L177&lt;&gt;"pure",U177="true",COUNT(BM177,AT177)&lt;2,AND(AC177&lt;&gt;"",COUNT(BO177,AU177)&lt;2)),"not_attributable","attributable"))</x:f>
        <x:v>pending</x:v>
      </x:c>
      <x:c r="CB177" s="65" t="str">
        <x:f>IF(T177&lt;&gt;"complete","not_evaluated",IF(COUNT(BM177,AT177)&lt;2,"insufficient_data",IF(AND(AC177&lt;&gt;"",COUNT(BP177)=1,BP177&lt;=-0.2),"guardrail_fail",IF(AND(CA177="not_attributable",OR(BV177="high",BN177&gt;=0.2)),"watchlist",IF(CA177&lt;&gt;"attributable","insufficient_data",IF(BN177&gt;=0.2,"win",IF(BN177&lt;=-0.2,"loss","inconclusive")))))))</x:f>
        <x:v>not_evaluated</x:v>
      </x:c>
      <x:c r="CC177" s="65" t="str">
        <x:f>IF(T177&lt;&gt;"complete","COLLECT_MORE_DATA",IF(COUNT(BM177,AT177)&lt;2,"FIX_TRACKING",IF(CB177="guardrail_fail","STOP_VARIANT_GUARDRAIL",IF(CB177="watchlist","WATCHLIST_ONLY",IF(AND(BV177="high",BY177="low"),"KEEP_HOOK_REWRITE_CTA",IF(AND(BW177="high",BX177="low"),"KEEP_STRUCTURE_CHANGE_DISCUSSION_ANGLE",IF(AND(BX177="high",BZ177="low"),"DOWNWEIGHT_TEMPLATE",IF(CB177="win","RETEST_WINNER",IF(CB177="loss","RETURN_TO_BASELINE","COLLECT_MORE_DATA")))))))))</x:f>
        <x:v>COLLECT_MORE_DATA</x:v>
      </x:c>
      <x:c r="CD177" s="75"/>
    </x:row>
    <x:row r="178">
      <x:c r="A178" s="68"/>
      <x:c r="B178" s="69"/>
      <x:c r="C178" s="68"/>
      <x:c r="D178" s="68"/>
      <x:c r="E178" s="68"/>
      <x:c r="F178" s="68"/>
      <x:c r="G178" s="68"/>
      <x:c r="H178" s="70"/>
      <x:c r="I178" s="68"/>
      <x:c r="J178" s="68"/>
      <x:c r="K178" s="68"/>
      <x:c r="L178" s="71" t="str">
        <x:f>IF(K178="","unknown",IF(K178=0,"baseline",IF(K178=1,"pure","mixed")))</x:f>
        <x:v>unknown</x:v>
      </x:c>
      <x:c r="M178" s="68"/>
      <x:c r="N178" s="68"/>
      <x:c r="O178" s="68"/>
      <x:c r="P178" s="68"/>
      <x:c r="Q178" s="68"/>
      <x:c r="R178" s="68"/>
      <x:c r="S178" s="68"/>
      <x:c r="T178" s="68"/>
      <x:c r="U178" s="68"/>
      <x:c r="V178" s="68"/>
      <x:c r="W178" s="68"/>
      <x:c r="X178" s="68"/>
      <x:c r="Y178" s="68"/>
      <x:c r="Z178" s="68"/>
      <x:c r="AA178" s="68"/>
      <x:c r="AB178" s="68"/>
      <x:c r="AC178" s="68"/>
      <x:c r="AD178" s="70"/>
      <x:c r="AE178" s="70"/>
      <x:c r="AF178" s="70"/>
      <x:c r="AG178" s="70"/>
      <x:c r="AH178" s="70"/>
      <x:c r="AI178" s="70"/>
      <x:c r="AJ178" s="70"/>
      <x:c r="AK178" s="70"/>
      <x:c r="AL178" s="70"/>
      <x:c r="AM178" s="70"/>
      <x:c r="AN178" s="70"/>
      <x:c r="AO178" s="70"/>
      <x:c r="AP178" s="70"/>
      <x:c r="AQ178" s="70"/>
      <x:c r="AR178" s="70"/>
      <x:c r="AS178" s="70"/>
      <x:c r="AT178" s="72"/>
      <x:c r="AU178" s="72"/>
      <x:c r="AV178" s="72"/>
      <x:c r="AW178" s="72"/>
      <x:c r="AX178" s="72"/>
      <x:c r="AY178" s="72"/>
      <x:c r="AZ178" s="72"/>
      <x:c r="BA178" s="73" t="str">
        <x:f>IF(C178="xiaohongshu",IF(COUNT(AF178,AE178)&lt;2,"",IFERROR(AF178/AE178,"")),"")</x:f>
      </x:c>
      <x:c r="BB178" s="73" t="str">
        <x:f>IF(C178="xiaohongshu",IF(COUNT(AG178,AE178)&lt;2,"",IFERROR(AG178/AE178,"")),"")</x:f>
      </x:c>
      <x:c r="BC178" s="73" t="str">
        <x:f>IF(C178="xiaohongshu",IF(COUNT(AN178,AE178)&lt;2,"",IFERROR(AN178/AE178,"")),"")</x:f>
      </x:c>
      <x:c r="BD178" s="73" t="str">
        <x:f>IF(C178="xiaohongshu",IF(COUNT(AQ178,AE178)&lt;2,"",IFERROR(AQ178/AE178,"")),"")</x:f>
      </x:c>
      <x:c r="BE178" s="73" t="str">
        <x:f>IF(C178="xiaohongshu",IF(COUNT(AI178,AE178)&lt;2,"",IFERROR(AI178/AE178,"")),"")</x:f>
      </x:c>
      <x:c r="BF178" s="73" t="str">
        <x:f>IF(C178="xiaohongshu",IF(OR(COUNT(AE178)=0,COUNT(AR178,AS178)=0),"",IFERROR((AR178+AS178)/AE178,"")),"")</x:f>
      </x:c>
      <x:c r="BG178" s="73" t="str">
        <x:f>IF(C178="x",IF(COUNT(AD178)=0,"",IF(COUNT(AM178)=1,IFERROR(AM178/AD178,""),IF(COUNT(AH178,AI178,AK178,AL178)=0,"",IFERROR(SUM(AH178,AI178,AK178,AL178)/AD178,"")))),"")</x:f>
      </x:c>
      <x:c r="BH178" s="73" t="str">
        <x:f>IF(C178="x",IF(COUNT(AJ178,AD178)&lt;2,"",IFERROR(AJ178/AD178,"")),"")</x:f>
      </x:c>
      <x:c r="BI178" s="73" t="str">
        <x:f>IF(C178="x",IF(COUNT(AO178,AD178)&lt;2,"",IFERROR(AO178/AD178,"")),"")</x:f>
      </x:c>
      <x:c r="BJ178" s="73" t="str">
        <x:f>IF(C178="x",IF(COUNT(AP178,AD178)&lt;2,"",IFERROR(AP178/AD178,"")),"")</x:f>
      </x:c>
      <x:c r="BK178" s="73" t="str">
        <x:f>IF(C178="x",IF(COUNT(AL178,AD178)&lt;2,"",IFERROR(AL178/AD178,"")),"")</x:f>
      </x:c>
      <x:c r="BL178" s="73" t="str">
        <x:f>IF(C178="x",IF(OR(COUNT(AD178)=0,COUNT(AR178,AS178)=0),"",IFERROR((AR178+AS178)/AD178,"")),"")</x:f>
      </x:c>
      <x:c r="BM178" s="73" t="str">
        <x:f>IF(AB178="xhs_save_rate",BA178,IF(AB178="xhs_completion_rate",BB178,IF(AB178="xhs_profile_visit_rate",BC178,IF(AB178="xhs_dm_intent_rate",BD178,IF(AB178="xhs_discussion_rate",BE178,IF(AB178="xhs_product_relevance_rate",BF178,IF(AB178="x_first_screen_engaged_rate_proxy",BG178,IF(AB178="x_qualified_reply_rate",BH178,IF(AB178="x_profile_click_rate",BI178,IF(AB178="x_link_intent_rate",BJ178,IF(AB178="x_bookmark_rate",BK178,IF(AB178="x_product_relevance_rate",BL178,""))))))))))))</x:f>
      </x:c>
      <x:c r="BN178" s="73" t="str">
        <x:f>IFERROR(BM178/AT178-1,"")</x:f>
      </x:c>
      <x:c r="BO178" s="73" t="str">
        <x:f>IF(AC178="","",IF(AC178="xhs_save_rate",BA178,IF(AC178="xhs_completion_rate",BB178,IF(AC178="xhs_profile_visit_rate",BC178,IF(AC178="xhs_dm_intent_rate",BD178,IF(AC178="xhs_discussion_rate",BE178,IF(AC178="xhs_product_relevance_rate",BF178,IF(AC178="x_first_screen_engaged_rate_proxy",BG178,IF(AC178="x_qualified_reply_rate",BH178,IF(AC178="x_profile_click_rate",BI178,IF(AC178="x_link_intent_rate",BJ178,IF(AC178="x_bookmark_rate",BK178,IF(AC178="x_product_relevance_rate",BL178,"")))))))))))))</x:f>
      </x:c>
      <x:c r="BP178" s="73" t="str">
        <x:f>IFERROR(BO178/AU178-1,"")</x:f>
      </x:c>
      <x:c r="BQ178" s="74" t="str">
        <x:f>IF(COUNT(AD178)=0,"",AD178)</x:f>
      </x:c>
      <x:c r="BR178" s="73" t="str">
        <x:f>IF(C178="xiaohongshu",IF(COUNT(BA178,BB178)=2,AVERAGE(BA178,BB178),IF(COUNT(BA178)=1,BA178,BB178)),BK178)</x:f>
      </x:c>
      <x:c r="BS178" s="73" t="str">
        <x:f>IF(C178="xiaohongshu",BE178,BH178)</x:f>
      </x:c>
      <x:c r="BT178" s="73" t="str">
        <x:f>IF(C178="xiaohongshu",IF(I178="save",BA178,IF(I178="discussion",BE178,IF(I178="profile_visit",BC178,IF(I178="dm",BD178,IF(OR(I178="product_question",I178="trial_intent"),BF178,""))))),IF(I178="save",BK178,IF(I178="discussion",BH178,IF(OR(I178="profile_visit",I178="dm"),BI178,IF(I178="link_click",BJ178,IF(OR(I178="product_question",I178="trial_intent"),BL178,""))))))</x:f>
      </x:c>
      <x:c r="BU178" s="73" t="str">
        <x:f>IF(C178="xiaohongshu",BF178,BL178)</x:f>
      </x:c>
      <x:c r="BV178" s="65" t="str">
        <x:f>IF(COUNT(BQ178,AV178)&lt;2,"unknown",IF(BQ178/AV178-1&gt;=0.2,"high",IF(BQ178/AV178-1&lt;=-0.2,"low","normal")))</x:f>
        <x:v>unknown</x:v>
      </x:c>
      <x:c r="BW178" s="65" t="str">
        <x:f>IF(COUNT(BR178,AW178)&lt;2,"unknown",IF(BR178/AW178-1&gt;=0.2,"high",IF(BR178/AW178-1&lt;=-0.2,"low","normal")))</x:f>
        <x:v>unknown</x:v>
      </x:c>
      <x:c r="BX178" s="65" t="str">
        <x:f>IF(COUNT(BS178,AX178)&lt;2,"unknown",IF(BS178/AX178-1&gt;=0.2,"high",IF(BS178/AX178-1&lt;=-0.2,"low","normal")))</x:f>
        <x:v>unknown</x:v>
      </x:c>
      <x:c r="BY178" s="65" t="str">
        <x:f>IF(COUNT(BT178,AY178)&lt;2,"unknown",IF(BT178/AY178-1&gt;=0.2,"high",IF(BT178/AY178-1&lt;=-0.2,"low","normal")))</x:f>
        <x:v>unknown</x:v>
      </x:c>
      <x:c r="BZ178" s="65" t="str">
        <x:f>IF(COUNT(BU178,AZ178)&lt;2,"unknown",IF(BU178/AZ178-1&gt;=0.2,"high",IF(BU178/AZ178-1&lt;=-0.2,"low","normal")))</x:f>
        <x:v>unknown</x:v>
      </x:c>
      <x:c r="CA178" s="65" t="str">
        <x:f>IF(T178&lt;&gt;"complete","pending",IF(OR(L178&lt;&gt;"pure",U178="true",COUNT(BM178,AT178)&lt;2,AND(AC178&lt;&gt;"",COUNT(BO178,AU178)&lt;2)),"not_attributable","attributable"))</x:f>
        <x:v>pending</x:v>
      </x:c>
      <x:c r="CB178" s="65" t="str">
        <x:f>IF(T178&lt;&gt;"complete","not_evaluated",IF(COUNT(BM178,AT178)&lt;2,"insufficient_data",IF(AND(AC178&lt;&gt;"",COUNT(BP178)=1,BP178&lt;=-0.2),"guardrail_fail",IF(AND(CA178="not_attributable",OR(BV178="high",BN178&gt;=0.2)),"watchlist",IF(CA178&lt;&gt;"attributable","insufficient_data",IF(BN178&gt;=0.2,"win",IF(BN178&lt;=-0.2,"loss","inconclusive")))))))</x:f>
        <x:v>not_evaluated</x:v>
      </x:c>
      <x:c r="CC178" s="65" t="str">
        <x:f>IF(T178&lt;&gt;"complete","COLLECT_MORE_DATA",IF(COUNT(BM178,AT178)&lt;2,"FIX_TRACKING",IF(CB178="guardrail_fail","STOP_VARIANT_GUARDRAIL",IF(CB178="watchlist","WATCHLIST_ONLY",IF(AND(BV178="high",BY178="low"),"KEEP_HOOK_REWRITE_CTA",IF(AND(BW178="high",BX178="low"),"KEEP_STRUCTURE_CHANGE_DISCUSSION_ANGLE",IF(AND(BX178="high",BZ178="low"),"DOWNWEIGHT_TEMPLATE",IF(CB178="win","RETEST_WINNER",IF(CB178="loss","RETURN_TO_BASELINE","COLLECT_MORE_DATA")))))))))</x:f>
        <x:v>COLLECT_MORE_DATA</x:v>
      </x:c>
      <x:c r="CD178" s="75"/>
    </x:row>
    <x:row r="179">
      <x:c r="A179" s="68"/>
      <x:c r="B179" s="69"/>
      <x:c r="C179" s="68"/>
      <x:c r="D179" s="68"/>
      <x:c r="E179" s="68"/>
      <x:c r="F179" s="68"/>
      <x:c r="G179" s="68"/>
      <x:c r="H179" s="70"/>
      <x:c r="I179" s="68"/>
      <x:c r="J179" s="68"/>
      <x:c r="K179" s="68"/>
      <x:c r="L179" s="71" t="str">
        <x:f>IF(K179="","unknown",IF(K179=0,"baseline",IF(K179=1,"pure","mixed")))</x:f>
        <x:v>unknown</x:v>
      </x:c>
      <x:c r="M179" s="68"/>
      <x:c r="N179" s="68"/>
      <x:c r="O179" s="68"/>
      <x:c r="P179" s="68"/>
      <x:c r="Q179" s="68"/>
      <x:c r="R179" s="68"/>
      <x:c r="S179" s="68"/>
      <x:c r="T179" s="68"/>
      <x:c r="U179" s="68"/>
      <x:c r="V179" s="68"/>
      <x:c r="W179" s="68"/>
      <x:c r="X179" s="68"/>
      <x:c r="Y179" s="68"/>
      <x:c r="Z179" s="68"/>
      <x:c r="AA179" s="68"/>
      <x:c r="AB179" s="68"/>
      <x:c r="AC179" s="68"/>
      <x:c r="AD179" s="70"/>
      <x:c r="AE179" s="70"/>
      <x:c r="AF179" s="70"/>
      <x:c r="AG179" s="70"/>
      <x:c r="AH179" s="70"/>
      <x:c r="AI179" s="70"/>
      <x:c r="AJ179" s="70"/>
      <x:c r="AK179" s="70"/>
      <x:c r="AL179" s="70"/>
      <x:c r="AM179" s="70"/>
      <x:c r="AN179" s="70"/>
      <x:c r="AO179" s="70"/>
      <x:c r="AP179" s="70"/>
      <x:c r="AQ179" s="70"/>
      <x:c r="AR179" s="70"/>
      <x:c r="AS179" s="70"/>
      <x:c r="AT179" s="72"/>
      <x:c r="AU179" s="72"/>
      <x:c r="AV179" s="72"/>
      <x:c r="AW179" s="72"/>
      <x:c r="AX179" s="72"/>
      <x:c r="AY179" s="72"/>
      <x:c r="AZ179" s="72"/>
      <x:c r="BA179" s="73" t="str">
        <x:f>IF(C179="xiaohongshu",IF(COUNT(AF179,AE179)&lt;2,"",IFERROR(AF179/AE179,"")),"")</x:f>
      </x:c>
      <x:c r="BB179" s="73" t="str">
        <x:f>IF(C179="xiaohongshu",IF(COUNT(AG179,AE179)&lt;2,"",IFERROR(AG179/AE179,"")),"")</x:f>
      </x:c>
      <x:c r="BC179" s="73" t="str">
        <x:f>IF(C179="xiaohongshu",IF(COUNT(AN179,AE179)&lt;2,"",IFERROR(AN179/AE179,"")),"")</x:f>
      </x:c>
      <x:c r="BD179" s="73" t="str">
        <x:f>IF(C179="xiaohongshu",IF(COUNT(AQ179,AE179)&lt;2,"",IFERROR(AQ179/AE179,"")),"")</x:f>
      </x:c>
      <x:c r="BE179" s="73" t="str">
        <x:f>IF(C179="xiaohongshu",IF(COUNT(AI179,AE179)&lt;2,"",IFERROR(AI179/AE179,"")),"")</x:f>
      </x:c>
      <x:c r="BF179" s="73" t="str">
        <x:f>IF(C179="xiaohongshu",IF(OR(COUNT(AE179)=0,COUNT(AR179,AS179)=0),"",IFERROR((AR179+AS179)/AE179,"")),"")</x:f>
      </x:c>
      <x:c r="BG179" s="73" t="str">
        <x:f>IF(C179="x",IF(COUNT(AD179)=0,"",IF(COUNT(AM179)=1,IFERROR(AM179/AD179,""),IF(COUNT(AH179,AI179,AK179,AL179)=0,"",IFERROR(SUM(AH179,AI179,AK179,AL179)/AD179,"")))),"")</x:f>
      </x:c>
      <x:c r="BH179" s="73" t="str">
        <x:f>IF(C179="x",IF(COUNT(AJ179,AD179)&lt;2,"",IFERROR(AJ179/AD179,"")),"")</x:f>
      </x:c>
      <x:c r="BI179" s="73" t="str">
        <x:f>IF(C179="x",IF(COUNT(AO179,AD179)&lt;2,"",IFERROR(AO179/AD179,"")),"")</x:f>
      </x:c>
      <x:c r="BJ179" s="73" t="str">
        <x:f>IF(C179="x",IF(COUNT(AP179,AD179)&lt;2,"",IFERROR(AP179/AD179,"")),"")</x:f>
      </x:c>
      <x:c r="BK179" s="73" t="str">
        <x:f>IF(C179="x",IF(COUNT(AL179,AD179)&lt;2,"",IFERROR(AL179/AD179,"")),"")</x:f>
      </x:c>
      <x:c r="BL179" s="73" t="str">
        <x:f>IF(C179="x",IF(OR(COUNT(AD179)=0,COUNT(AR179,AS179)=0),"",IFERROR((AR179+AS179)/AD179,"")),"")</x:f>
      </x:c>
      <x:c r="BM179" s="73" t="str">
        <x:f>IF(AB179="xhs_save_rate",BA179,IF(AB179="xhs_completion_rate",BB179,IF(AB179="xhs_profile_visit_rate",BC179,IF(AB179="xhs_dm_intent_rate",BD179,IF(AB179="xhs_discussion_rate",BE179,IF(AB179="xhs_product_relevance_rate",BF179,IF(AB179="x_first_screen_engaged_rate_proxy",BG179,IF(AB179="x_qualified_reply_rate",BH179,IF(AB179="x_profile_click_rate",BI179,IF(AB179="x_link_intent_rate",BJ179,IF(AB179="x_bookmark_rate",BK179,IF(AB179="x_product_relevance_rate",BL179,""))))))))))))</x:f>
      </x:c>
      <x:c r="BN179" s="73" t="str">
        <x:f>IFERROR(BM179/AT179-1,"")</x:f>
      </x:c>
      <x:c r="BO179" s="73" t="str">
        <x:f>IF(AC179="","",IF(AC179="xhs_save_rate",BA179,IF(AC179="xhs_completion_rate",BB179,IF(AC179="xhs_profile_visit_rate",BC179,IF(AC179="xhs_dm_intent_rate",BD179,IF(AC179="xhs_discussion_rate",BE179,IF(AC179="xhs_product_relevance_rate",BF179,IF(AC179="x_first_screen_engaged_rate_proxy",BG179,IF(AC179="x_qualified_reply_rate",BH179,IF(AC179="x_profile_click_rate",BI179,IF(AC179="x_link_intent_rate",BJ179,IF(AC179="x_bookmark_rate",BK179,IF(AC179="x_product_relevance_rate",BL179,"")))))))))))))</x:f>
      </x:c>
      <x:c r="BP179" s="73" t="str">
        <x:f>IFERROR(BO179/AU179-1,"")</x:f>
      </x:c>
      <x:c r="BQ179" s="74" t="str">
        <x:f>IF(COUNT(AD179)=0,"",AD179)</x:f>
      </x:c>
      <x:c r="BR179" s="73" t="str">
        <x:f>IF(C179="xiaohongshu",IF(COUNT(BA179,BB179)=2,AVERAGE(BA179,BB179),IF(COUNT(BA179)=1,BA179,BB179)),BK179)</x:f>
      </x:c>
      <x:c r="BS179" s="73" t="str">
        <x:f>IF(C179="xiaohongshu",BE179,BH179)</x:f>
      </x:c>
      <x:c r="BT179" s="73" t="str">
        <x:f>IF(C179="xiaohongshu",IF(I179="save",BA179,IF(I179="discussion",BE179,IF(I179="profile_visit",BC179,IF(I179="dm",BD179,IF(OR(I179="product_question",I179="trial_intent"),BF179,""))))),IF(I179="save",BK179,IF(I179="discussion",BH179,IF(OR(I179="profile_visit",I179="dm"),BI179,IF(I179="link_click",BJ179,IF(OR(I179="product_question",I179="trial_intent"),BL179,""))))))</x:f>
      </x:c>
      <x:c r="BU179" s="73" t="str">
        <x:f>IF(C179="xiaohongshu",BF179,BL179)</x:f>
      </x:c>
      <x:c r="BV179" s="65" t="str">
        <x:f>IF(COUNT(BQ179,AV179)&lt;2,"unknown",IF(BQ179/AV179-1&gt;=0.2,"high",IF(BQ179/AV179-1&lt;=-0.2,"low","normal")))</x:f>
        <x:v>unknown</x:v>
      </x:c>
      <x:c r="BW179" s="65" t="str">
        <x:f>IF(COUNT(BR179,AW179)&lt;2,"unknown",IF(BR179/AW179-1&gt;=0.2,"high",IF(BR179/AW179-1&lt;=-0.2,"low","normal")))</x:f>
        <x:v>unknown</x:v>
      </x:c>
      <x:c r="BX179" s="65" t="str">
        <x:f>IF(COUNT(BS179,AX179)&lt;2,"unknown",IF(BS179/AX179-1&gt;=0.2,"high",IF(BS179/AX179-1&lt;=-0.2,"low","normal")))</x:f>
        <x:v>unknown</x:v>
      </x:c>
      <x:c r="BY179" s="65" t="str">
        <x:f>IF(COUNT(BT179,AY179)&lt;2,"unknown",IF(BT179/AY179-1&gt;=0.2,"high",IF(BT179/AY179-1&lt;=-0.2,"low","normal")))</x:f>
        <x:v>unknown</x:v>
      </x:c>
      <x:c r="BZ179" s="65" t="str">
        <x:f>IF(COUNT(BU179,AZ179)&lt;2,"unknown",IF(BU179/AZ179-1&gt;=0.2,"high",IF(BU179/AZ179-1&lt;=-0.2,"low","normal")))</x:f>
        <x:v>unknown</x:v>
      </x:c>
      <x:c r="CA179" s="65" t="str">
        <x:f>IF(T179&lt;&gt;"complete","pending",IF(OR(L179&lt;&gt;"pure",U179="true",COUNT(BM179,AT179)&lt;2,AND(AC179&lt;&gt;"",COUNT(BO179,AU179)&lt;2)),"not_attributable","attributable"))</x:f>
        <x:v>pending</x:v>
      </x:c>
      <x:c r="CB179" s="65" t="str">
        <x:f>IF(T179&lt;&gt;"complete","not_evaluated",IF(COUNT(BM179,AT179)&lt;2,"insufficient_data",IF(AND(AC179&lt;&gt;"",COUNT(BP179)=1,BP179&lt;=-0.2),"guardrail_fail",IF(AND(CA179="not_attributable",OR(BV179="high",BN179&gt;=0.2)),"watchlist",IF(CA179&lt;&gt;"attributable","insufficient_data",IF(BN179&gt;=0.2,"win",IF(BN179&lt;=-0.2,"loss","inconclusive")))))))</x:f>
        <x:v>not_evaluated</x:v>
      </x:c>
      <x:c r="CC179" s="65" t="str">
        <x:f>IF(T179&lt;&gt;"complete","COLLECT_MORE_DATA",IF(COUNT(BM179,AT179)&lt;2,"FIX_TRACKING",IF(CB179="guardrail_fail","STOP_VARIANT_GUARDRAIL",IF(CB179="watchlist","WATCHLIST_ONLY",IF(AND(BV179="high",BY179="low"),"KEEP_HOOK_REWRITE_CTA",IF(AND(BW179="high",BX179="low"),"KEEP_STRUCTURE_CHANGE_DISCUSSION_ANGLE",IF(AND(BX179="high",BZ179="low"),"DOWNWEIGHT_TEMPLATE",IF(CB179="win","RETEST_WINNER",IF(CB179="loss","RETURN_TO_BASELINE","COLLECT_MORE_DATA")))))))))</x:f>
        <x:v>COLLECT_MORE_DATA</x:v>
      </x:c>
      <x:c r="CD179" s="75"/>
    </x:row>
    <x:row r="180">
      <x:c r="A180" s="68"/>
      <x:c r="B180" s="69"/>
      <x:c r="C180" s="68"/>
      <x:c r="D180" s="68"/>
      <x:c r="E180" s="68"/>
      <x:c r="F180" s="68"/>
      <x:c r="G180" s="68"/>
      <x:c r="H180" s="70"/>
      <x:c r="I180" s="68"/>
      <x:c r="J180" s="68"/>
      <x:c r="K180" s="68"/>
      <x:c r="L180" s="71" t="str">
        <x:f>IF(K180="","unknown",IF(K180=0,"baseline",IF(K180=1,"pure","mixed")))</x:f>
        <x:v>unknown</x:v>
      </x:c>
      <x:c r="M180" s="68"/>
      <x:c r="N180" s="68"/>
      <x:c r="O180" s="68"/>
      <x:c r="P180" s="68"/>
      <x:c r="Q180" s="68"/>
      <x:c r="R180" s="68"/>
      <x:c r="S180" s="68"/>
      <x:c r="T180" s="68"/>
      <x:c r="U180" s="68"/>
      <x:c r="V180" s="68"/>
      <x:c r="W180" s="68"/>
      <x:c r="X180" s="68"/>
      <x:c r="Y180" s="68"/>
      <x:c r="Z180" s="68"/>
      <x:c r="AA180" s="68"/>
      <x:c r="AB180" s="68"/>
      <x:c r="AC180" s="68"/>
      <x:c r="AD180" s="70"/>
      <x:c r="AE180" s="70"/>
      <x:c r="AF180" s="70"/>
      <x:c r="AG180" s="70"/>
      <x:c r="AH180" s="70"/>
      <x:c r="AI180" s="70"/>
      <x:c r="AJ180" s="70"/>
      <x:c r="AK180" s="70"/>
      <x:c r="AL180" s="70"/>
      <x:c r="AM180" s="70"/>
      <x:c r="AN180" s="70"/>
      <x:c r="AO180" s="70"/>
      <x:c r="AP180" s="70"/>
      <x:c r="AQ180" s="70"/>
      <x:c r="AR180" s="70"/>
      <x:c r="AS180" s="70"/>
      <x:c r="AT180" s="72"/>
      <x:c r="AU180" s="72"/>
      <x:c r="AV180" s="72"/>
      <x:c r="AW180" s="72"/>
      <x:c r="AX180" s="72"/>
      <x:c r="AY180" s="72"/>
      <x:c r="AZ180" s="72"/>
      <x:c r="BA180" s="73" t="str">
        <x:f>IF(C180="xiaohongshu",IF(COUNT(AF180,AE180)&lt;2,"",IFERROR(AF180/AE180,"")),"")</x:f>
      </x:c>
      <x:c r="BB180" s="73" t="str">
        <x:f>IF(C180="xiaohongshu",IF(COUNT(AG180,AE180)&lt;2,"",IFERROR(AG180/AE180,"")),"")</x:f>
      </x:c>
      <x:c r="BC180" s="73" t="str">
        <x:f>IF(C180="xiaohongshu",IF(COUNT(AN180,AE180)&lt;2,"",IFERROR(AN180/AE180,"")),"")</x:f>
      </x:c>
      <x:c r="BD180" s="73" t="str">
        <x:f>IF(C180="xiaohongshu",IF(COUNT(AQ180,AE180)&lt;2,"",IFERROR(AQ180/AE180,"")),"")</x:f>
      </x:c>
      <x:c r="BE180" s="73" t="str">
        <x:f>IF(C180="xiaohongshu",IF(COUNT(AI180,AE180)&lt;2,"",IFERROR(AI180/AE180,"")),"")</x:f>
      </x:c>
      <x:c r="BF180" s="73" t="str">
        <x:f>IF(C180="xiaohongshu",IF(OR(COUNT(AE180)=0,COUNT(AR180,AS180)=0),"",IFERROR((AR180+AS180)/AE180,"")),"")</x:f>
      </x:c>
      <x:c r="BG180" s="73" t="str">
        <x:f>IF(C180="x",IF(COUNT(AD180)=0,"",IF(COUNT(AM180)=1,IFERROR(AM180/AD180,""),IF(COUNT(AH180,AI180,AK180,AL180)=0,"",IFERROR(SUM(AH180,AI180,AK180,AL180)/AD180,"")))),"")</x:f>
      </x:c>
      <x:c r="BH180" s="73" t="str">
        <x:f>IF(C180="x",IF(COUNT(AJ180,AD180)&lt;2,"",IFERROR(AJ180/AD180,"")),"")</x:f>
      </x:c>
      <x:c r="BI180" s="73" t="str">
        <x:f>IF(C180="x",IF(COUNT(AO180,AD180)&lt;2,"",IFERROR(AO180/AD180,"")),"")</x:f>
      </x:c>
      <x:c r="BJ180" s="73" t="str">
        <x:f>IF(C180="x",IF(COUNT(AP180,AD180)&lt;2,"",IFERROR(AP180/AD180,"")),"")</x:f>
      </x:c>
      <x:c r="BK180" s="73" t="str">
        <x:f>IF(C180="x",IF(COUNT(AL180,AD180)&lt;2,"",IFERROR(AL180/AD180,"")),"")</x:f>
      </x:c>
      <x:c r="BL180" s="73" t="str">
        <x:f>IF(C180="x",IF(OR(COUNT(AD180)=0,COUNT(AR180,AS180)=0),"",IFERROR((AR180+AS180)/AD180,"")),"")</x:f>
      </x:c>
      <x:c r="BM180" s="73" t="str">
        <x:f>IF(AB180="xhs_save_rate",BA180,IF(AB180="xhs_completion_rate",BB180,IF(AB180="xhs_profile_visit_rate",BC180,IF(AB180="xhs_dm_intent_rate",BD180,IF(AB180="xhs_discussion_rate",BE180,IF(AB180="xhs_product_relevance_rate",BF180,IF(AB180="x_first_screen_engaged_rate_proxy",BG180,IF(AB180="x_qualified_reply_rate",BH180,IF(AB180="x_profile_click_rate",BI180,IF(AB180="x_link_intent_rate",BJ180,IF(AB180="x_bookmark_rate",BK180,IF(AB180="x_product_relevance_rate",BL180,""))))))))))))</x:f>
      </x:c>
      <x:c r="BN180" s="73" t="str">
        <x:f>IFERROR(BM180/AT180-1,"")</x:f>
      </x:c>
      <x:c r="BO180" s="73" t="str">
        <x:f>IF(AC180="","",IF(AC180="xhs_save_rate",BA180,IF(AC180="xhs_completion_rate",BB180,IF(AC180="xhs_profile_visit_rate",BC180,IF(AC180="xhs_dm_intent_rate",BD180,IF(AC180="xhs_discussion_rate",BE180,IF(AC180="xhs_product_relevance_rate",BF180,IF(AC180="x_first_screen_engaged_rate_proxy",BG180,IF(AC180="x_qualified_reply_rate",BH180,IF(AC180="x_profile_click_rate",BI180,IF(AC180="x_link_intent_rate",BJ180,IF(AC180="x_bookmark_rate",BK180,IF(AC180="x_product_relevance_rate",BL180,"")))))))))))))</x:f>
      </x:c>
      <x:c r="BP180" s="73" t="str">
        <x:f>IFERROR(BO180/AU180-1,"")</x:f>
      </x:c>
      <x:c r="BQ180" s="74" t="str">
        <x:f>IF(COUNT(AD180)=0,"",AD180)</x:f>
      </x:c>
      <x:c r="BR180" s="73" t="str">
        <x:f>IF(C180="xiaohongshu",IF(COUNT(BA180,BB180)=2,AVERAGE(BA180,BB180),IF(COUNT(BA180)=1,BA180,BB180)),BK180)</x:f>
      </x:c>
      <x:c r="BS180" s="73" t="str">
        <x:f>IF(C180="xiaohongshu",BE180,BH180)</x:f>
      </x:c>
      <x:c r="BT180" s="73" t="str">
        <x:f>IF(C180="xiaohongshu",IF(I180="save",BA180,IF(I180="discussion",BE180,IF(I180="profile_visit",BC180,IF(I180="dm",BD180,IF(OR(I180="product_question",I180="trial_intent"),BF180,""))))),IF(I180="save",BK180,IF(I180="discussion",BH180,IF(OR(I180="profile_visit",I180="dm"),BI180,IF(I180="link_click",BJ180,IF(OR(I180="product_question",I180="trial_intent"),BL180,""))))))</x:f>
      </x:c>
      <x:c r="BU180" s="73" t="str">
        <x:f>IF(C180="xiaohongshu",BF180,BL180)</x:f>
      </x:c>
      <x:c r="BV180" s="65" t="str">
        <x:f>IF(COUNT(BQ180,AV180)&lt;2,"unknown",IF(BQ180/AV180-1&gt;=0.2,"high",IF(BQ180/AV180-1&lt;=-0.2,"low","normal")))</x:f>
        <x:v>unknown</x:v>
      </x:c>
      <x:c r="BW180" s="65" t="str">
        <x:f>IF(COUNT(BR180,AW180)&lt;2,"unknown",IF(BR180/AW180-1&gt;=0.2,"high",IF(BR180/AW180-1&lt;=-0.2,"low","normal")))</x:f>
        <x:v>unknown</x:v>
      </x:c>
      <x:c r="BX180" s="65" t="str">
        <x:f>IF(COUNT(BS180,AX180)&lt;2,"unknown",IF(BS180/AX180-1&gt;=0.2,"high",IF(BS180/AX180-1&lt;=-0.2,"low","normal")))</x:f>
        <x:v>unknown</x:v>
      </x:c>
      <x:c r="BY180" s="65" t="str">
        <x:f>IF(COUNT(BT180,AY180)&lt;2,"unknown",IF(BT180/AY180-1&gt;=0.2,"high",IF(BT180/AY180-1&lt;=-0.2,"low","normal")))</x:f>
        <x:v>unknown</x:v>
      </x:c>
      <x:c r="BZ180" s="65" t="str">
        <x:f>IF(COUNT(BU180,AZ180)&lt;2,"unknown",IF(BU180/AZ180-1&gt;=0.2,"high",IF(BU180/AZ180-1&lt;=-0.2,"low","normal")))</x:f>
        <x:v>unknown</x:v>
      </x:c>
      <x:c r="CA180" s="65" t="str">
        <x:f>IF(T180&lt;&gt;"complete","pending",IF(OR(L180&lt;&gt;"pure",U180="true",COUNT(BM180,AT180)&lt;2,AND(AC180&lt;&gt;"",COUNT(BO180,AU180)&lt;2)),"not_attributable","attributable"))</x:f>
        <x:v>pending</x:v>
      </x:c>
      <x:c r="CB180" s="65" t="str">
        <x:f>IF(T180&lt;&gt;"complete","not_evaluated",IF(COUNT(BM180,AT180)&lt;2,"insufficient_data",IF(AND(AC180&lt;&gt;"",COUNT(BP180)=1,BP180&lt;=-0.2),"guardrail_fail",IF(AND(CA180="not_attributable",OR(BV180="high",BN180&gt;=0.2)),"watchlist",IF(CA180&lt;&gt;"attributable","insufficient_data",IF(BN180&gt;=0.2,"win",IF(BN180&lt;=-0.2,"loss","inconclusive")))))))</x:f>
        <x:v>not_evaluated</x:v>
      </x:c>
      <x:c r="CC180" s="65" t="str">
        <x:f>IF(T180&lt;&gt;"complete","COLLECT_MORE_DATA",IF(COUNT(BM180,AT180)&lt;2,"FIX_TRACKING",IF(CB180="guardrail_fail","STOP_VARIANT_GUARDRAIL",IF(CB180="watchlist","WATCHLIST_ONLY",IF(AND(BV180="high",BY180="low"),"KEEP_HOOK_REWRITE_CTA",IF(AND(BW180="high",BX180="low"),"KEEP_STRUCTURE_CHANGE_DISCUSSION_ANGLE",IF(AND(BX180="high",BZ180="low"),"DOWNWEIGHT_TEMPLATE",IF(CB180="win","RETEST_WINNER",IF(CB180="loss","RETURN_TO_BASELINE","COLLECT_MORE_DATA")))))))))</x:f>
        <x:v>COLLECT_MORE_DATA</x:v>
      </x:c>
      <x:c r="CD180" s="75"/>
    </x:row>
    <x:row r="181">
      <x:c r="A181" s="68"/>
      <x:c r="B181" s="69"/>
      <x:c r="C181" s="68"/>
      <x:c r="D181" s="68"/>
      <x:c r="E181" s="68"/>
      <x:c r="F181" s="68"/>
      <x:c r="G181" s="68"/>
      <x:c r="H181" s="70"/>
      <x:c r="I181" s="68"/>
      <x:c r="J181" s="68"/>
      <x:c r="K181" s="68"/>
      <x:c r="L181" s="71" t="str">
        <x:f>IF(K181="","unknown",IF(K181=0,"baseline",IF(K181=1,"pure","mixed")))</x:f>
        <x:v>unknown</x:v>
      </x:c>
      <x:c r="M181" s="68"/>
      <x:c r="N181" s="68"/>
      <x:c r="O181" s="68"/>
      <x:c r="P181" s="68"/>
      <x:c r="Q181" s="68"/>
      <x:c r="R181" s="68"/>
      <x:c r="S181" s="68"/>
      <x:c r="T181" s="68"/>
      <x:c r="U181" s="68"/>
      <x:c r="V181" s="68"/>
      <x:c r="W181" s="68"/>
      <x:c r="X181" s="68"/>
      <x:c r="Y181" s="68"/>
      <x:c r="Z181" s="68"/>
      <x:c r="AA181" s="68"/>
      <x:c r="AB181" s="68"/>
      <x:c r="AC181" s="68"/>
      <x:c r="AD181" s="70"/>
      <x:c r="AE181" s="70"/>
      <x:c r="AF181" s="70"/>
      <x:c r="AG181" s="70"/>
      <x:c r="AH181" s="70"/>
      <x:c r="AI181" s="70"/>
      <x:c r="AJ181" s="70"/>
      <x:c r="AK181" s="70"/>
      <x:c r="AL181" s="70"/>
      <x:c r="AM181" s="70"/>
      <x:c r="AN181" s="70"/>
      <x:c r="AO181" s="70"/>
      <x:c r="AP181" s="70"/>
      <x:c r="AQ181" s="70"/>
      <x:c r="AR181" s="70"/>
      <x:c r="AS181" s="70"/>
      <x:c r="AT181" s="72"/>
      <x:c r="AU181" s="72"/>
      <x:c r="AV181" s="72"/>
      <x:c r="AW181" s="72"/>
      <x:c r="AX181" s="72"/>
      <x:c r="AY181" s="72"/>
      <x:c r="AZ181" s="72"/>
      <x:c r="BA181" s="73" t="str">
        <x:f>IF(C181="xiaohongshu",IF(COUNT(AF181,AE181)&lt;2,"",IFERROR(AF181/AE181,"")),"")</x:f>
      </x:c>
      <x:c r="BB181" s="73" t="str">
        <x:f>IF(C181="xiaohongshu",IF(COUNT(AG181,AE181)&lt;2,"",IFERROR(AG181/AE181,"")),"")</x:f>
      </x:c>
      <x:c r="BC181" s="73" t="str">
        <x:f>IF(C181="xiaohongshu",IF(COUNT(AN181,AE181)&lt;2,"",IFERROR(AN181/AE181,"")),"")</x:f>
      </x:c>
      <x:c r="BD181" s="73" t="str">
        <x:f>IF(C181="xiaohongshu",IF(COUNT(AQ181,AE181)&lt;2,"",IFERROR(AQ181/AE181,"")),"")</x:f>
      </x:c>
      <x:c r="BE181" s="73" t="str">
        <x:f>IF(C181="xiaohongshu",IF(COUNT(AI181,AE181)&lt;2,"",IFERROR(AI181/AE181,"")),"")</x:f>
      </x:c>
      <x:c r="BF181" s="73" t="str">
        <x:f>IF(C181="xiaohongshu",IF(OR(COUNT(AE181)=0,COUNT(AR181,AS181)=0),"",IFERROR((AR181+AS181)/AE181,"")),"")</x:f>
      </x:c>
      <x:c r="BG181" s="73" t="str">
        <x:f>IF(C181="x",IF(COUNT(AD181)=0,"",IF(COUNT(AM181)=1,IFERROR(AM181/AD181,""),IF(COUNT(AH181,AI181,AK181,AL181)=0,"",IFERROR(SUM(AH181,AI181,AK181,AL181)/AD181,"")))),"")</x:f>
      </x:c>
      <x:c r="BH181" s="73" t="str">
        <x:f>IF(C181="x",IF(COUNT(AJ181,AD181)&lt;2,"",IFERROR(AJ181/AD181,"")),"")</x:f>
      </x:c>
      <x:c r="BI181" s="73" t="str">
        <x:f>IF(C181="x",IF(COUNT(AO181,AD181)&lt;2,"",IFERROR(AO181/AD181,"")),"")</x:f>
      </x:c>
      <x:c r="BJ181" s="73" t="str">
        <x:f>IF(C181="x",IF(COUNT(AP181,AD181)&lt;2,"",IFERROR(AP181/AD181,"")),"")</x:f>
      </x:c>
      <x:c r="BK181" s="73" t="str">
        <x:f>IF(C181="x",IF(COUNT(AL181,AD181)&lt;2,"",IFERROR(AL181/AD181,"")),"")</x:f>
      </x:c>
      <x:c r="BL181" s="73" t="str">
        <x:f>IF(C181="x",IF(OR(COUNT(AD181)=0,COUNT(AR181,AS181)=0),"",IFERROR((AR181+AS181)/AD181,"")),"")</x:f>
      </x:c>
      <x:c r="BM181" s="73" t="str">
        <x:f>IF(AB181="xhs_save_rate",BA181,IF(AB181="xhs_completion_rate",BB181,IF(AB181="xhs_profile_visit_rate",BC181,IF(AB181="xhs_dm_intent_rate",BD181,IF(AB181="xhs_discussion_rate",BE181,IF(AB181="xhs_product_relevance_rate",BF181,IF(AB181="x_first_screen_engaged_rate_proxy",BG181,IF(AB181="x_qualified_reply_rate",BH181,IF(AB181="x_profile_click_rate",BI181,IF(AB181="x_link_intent_rate",BJ181,IF(AB181="x_bookmark_rate",BK181,IF(AB181="x_product_relevance_rate",BL181,""))))))))))))</x:f>
      </x:c>
      <x:c r="BN181" s="73" t="str">
        <x:f>IFERROR(BM181/AT181-1,"")</x:f>
      </x:c>
      <x:c r="BO181" s="73" t="str">
        <x:f>IF(AC181="","",IF(AC181="xhs_save_rate",BA181,IF(AC181="xhs_completion_rate",BB181,IF(AC181="xhs_profile_visit_rate",BC181,IF(AC181="xhs_dm_intent_rate",BD181,IF(AC181="xhs_discussion_rate",BE181,IF(AC181="xhs_product_relevance_rate",BF181,IF(AC181="x_first_screen_engaged_rate_proxy",BG181,IF(AC181="x_qualified_reply_rate",BH181,IF(AC181="x_profile_click_rate",BI181,IF(AC181="x_link_intent_rate",BJ181,IF(AC181="x_bookmark_rate",BK181,IF(AC181="x_product_relevance_rate",BL181,"")))))))))))))</x:f>
      </x:c>
      <x:c r="BP181" s="73" t="str">
        <x:f>IFERROR(BO181/AU181-1,"")</x:f>
      </x:c>
      <x:c r="BQ181" s="74" t="str">
        <x:f>IF(COUNT(AD181)=0,"",AD181)</x:f>
      </x:c>
      <x:c r="BR181" s="73" t="str">
        <x:f>IF(C181="xiaohongshu",IF(COUNT(BA181,BB181)=2,AVERAGE(BA181,BB181),IF(COUNT(BA181)=1,BA181,BB181)),BK181)</x:f>
      </x:c>
      <x:c r="BS181" s="73" t="str">
        <x:f>IF(C181="xiaohongshu",BE181,BH181)</x:f>
      </x:c>
      <x:c r="BT181" s="73" t="str">
        <x:f>IF(C181="xiaohongshu",IF(I181="save",BA181,IF(I181="discussion",BE181,IF(I181="profile_visit",BC181,IF(I181="dm",BD181,IF(OR(I181="product_question",I181="trial_intent"),BF181,""))))),IF(I181="save",BK181,IF(I181="discussion",BH181,IF(OR(I181="profile_visit",I181="dm"),BI181,IF(I181="link_click",BJ181,IF(OR(I181="product_question",I181="trial_intent"),BL181,""))))))</x:f>
      </x:c>
      <x:c r="BU181" s="73" t="str">
        <x:f>IF(C181="xiaohongshu",BF181,BL181)</x:f>
      </x:c>
      <x:c r="BV181" s="65" t="str">
        <x:f>IF(COUNT(BQ181,AV181)&lt;2,"unknown",IF(BQ181/AV181-1&gt;=0.2,"high",IF(BQ181/AV181-1&lt;=-0.2,"low","normal")))</x:f>
        <x:v>unknown</x:v>
      </x:c>
      <x:c r="BW181" s="65" t="str">
        <x:f>IF(COUNT(BR181,AW181)&lt;2,"unknown",IF(BR181/AW181-1&gt;=0.2,"high",IF(BR181/AW181-1&lt;=-0.2,"low","normal")))</x:f>
        <x:v>unknown</x:v>
      </x:c>
      <x:c r="BX181" s="65" t="str">
        <x:f>IF(COUNT(BS181,AX181)&lt;2,"unknown",IF(BS181/AX181-1&gt;=0.2,"high",IF(BS181/AX181-1&lt;=-0.2,"low","normal")))</x:f>
        <x:v>unknown</x:v>
      </x:c>
      <x:c r="BY181" s="65" t="str">
        <x:f>IF(COUNT(BT181,AY181)&lt;2,"unknown",IF(BT181/AY181-1&gt;=0.2,"high",IF(BT181/AY181-1&lt;=-0.2,"low","normal")))</x:f>
        <x:v>unknown</x:v>
      </x:c>
      <x:c r="BZ181" s="65" t="str">
        <x:f>IF(COUNT(BU181,AZ181)&lt;2,"unknown",IF(BU181/AZ181-1&gt;=0.2,"high",IF(BU181/AZ181-1&lt;=-0.2,"low","normal")))</x:f>
        <x:v>unknown</x:v>
      </x:c>
      <x:c r="CA181" s="65" t="str">
        <x:f>IF(T181&lt;&gt;"complete","pending",IF(OR(L181&lt;&gt;"pure",U181="true",COUNT(BM181,AT181)&lt;2,AND(AC181&lt;&gt;"",COUNT(BO181,AU181)&lt;2)),"not_attributable","attributable"))</x:f>
        <x:v>pending</x:v>
      </x:c>
      <x:c r="CB181" s="65" t="str">
        <x:f>IF(T181&lt;&gt;"complete","not_evaluated",IF(COUNT(BM181,AT181)&lt;2,"insufficient_data",IF(AND(AC181&lt;&gt;"",COUNT(BP181)=1,BP181&lt;=-0.2),"guardrail_fail",IF(AND(CA181="not_attributable",OR(BV181="high",BN181&gt;=0.2)),"watchlist",IF(CA181&lt;&gt;"attributable","insufficient_data",IF(BN181&gt;=0.2,"win",IF(BN181&lt;=-0.2,"loss","inconclusive")))))))</x:f>
        <x:v>not_evaluated</x:v>
      </x:c>
      <x:c r="CC181" s="65" t="str">
        <x:f>IF(T181&lt;&gt;"complete","COLLECT_MORE_DATA",IF(COUNT(BM181,AT181)&lt;2,"FIX_TRACKING",IF(CB181="guardrail_fail","STOP_VARIANT_GUARDRAIL",IF(CB181="watchlist","WATCHLIST_ONLY",IF(AND(BV181="high",BY181="low"),"KEEP_HOOK_REWRITE_CTA",IF(AND(BW181="high",BX181="low"),"KEEP_STRUCTURE_CHANGE_DISCUSSION_ANGLE",IF(AND(BX181="high",BZ181="low"),"DOWNWEIGHT_TEMPLATE",IF(CB181="win","RETEST_WINNER",IF(CB181="loss","RETURN_TO_BASELINE","COLLECT_MORE_DATA")))))))))</x:f>
        <x:v>COLLECT_MORE_DATA</x:v>
      </x:c>
      <x:c r="CD181" s="75"/>
    </x:row>
    <x:row r="182">
      <x:c r="A182" s="68"/>
      <x:c r="B182" s="69"/>
      <x:c r="C182" s="68"/>
      <x:c r="D182" s="68"/>
      <x:c r="E182" s="68"/>
      <x:c r="F182" s="68"/>
      <x:c r="G182" s="68"/>
      <x:c r="H182" s="70"/>
      <x:c r="I182" s="68"/>
      <x:c r="J182" s="68"/>
      <x:c r="K182" s="68"/>
      <x:c r="L182" s="71" t="str">
        <x:f>IF(K182="","unknown",IF(K182=0,"baseline",IF(K182=1,"pure","mixed")))</x:f>
        <x:v>unknown</x:v>
      </x:c>
      <x:c r="M182" s="68"/>
      <x:c r="N182" s="68"/>
      <x:c r="O182" s="68"/>
      <x:c r="P182" s="68"/>
      <x:c r="Q182" s="68"/>
      <x:c r="R182" s="68"/>
      <x:c r="S182" s="68"/>
      <x:c r="T182" s="68"/>
      <x:c r="U182" s="68"/>
      <x:c r="V182" s="68"/>
      <x:c r="W182" s="68"/>
      <x:c r="X182" s="68"/>
      <x:c r="Y182" s="68"/>
      <x:c r="Z182" s="68"/>
      <x:c r="AA182" s="68"/>
      <x:c r="AB182" s="68"/>
      <x:c r="AC182" s="68"/>
      <x:c r="AD182" s="70"/>
      <x:c r="AE182" s="70"/>
      <x:c r="AF182" s="70"/>
      <x:c r="AG182" s="70"/>
      <x:c r="AH182" s="70"/>
      <x:c r="AI182" s="70"/>
      <x:c r="AJ182" s="70"/>
      <x:c r="AK182" s="70"/>
      <x:c r="AL182" s="70"/>
      <x:c r="AM182" s="70"/>
      <x:c r="AN182" s="70"/>
      <x:c r="AO182" s="70"/>
      <x:c r="AP182" s="70"/>
      <x:c r="AQ182" s="70"/>
      <x:c r="AR182" s="70"/>
      <x:c r="AS182" s="70"/>
      <x:c r="AT182" s="72"/>
      <x:c r="AU182" s="72"/>
      <x:c r="AV182" s="72"/>
      <x:c r="AW182" s="72"/>
      <x:c r="AX182" s="72"/>
      <x:c r="AY182" s="72"/>
      <x:c r="AZ182" s="72"/>
      <x:c r="BA182" s="73" t="str">
        <x:f>IF(C182="xiaohongshu",IF(COUNT(AF182,AE182)&lt;2,"",IFERROR(AF182/AE182,"")),"")</x:f>
      </x:c>
      <x:c r="BB182" s="73" t="str">
        <x:f>IF(C182="xiaohongshu",IF(COUNT(AG182,AE182)&lt;2,"",IFERROR(AG182/AE182,"")),"")</x:f>
      </x:c>
      <x:c r="BC182" s="73" t="str">
        <x:f>IF(C182="xiaohongshu",IF(COUNT(AN182,AE182)&lt;2,"",IFERROR(AN182/AE182,"")),"")</x:f>
      </x:c>
      <x:c r="BD182" s="73" t="str">
        <x:f>IF(C182="xiaohongshu",IF(COUNT(AQ182,AE182)&lt;2,"",IFERROR(AQ182/AE182,"")),"")</x:f>
      </x:c>
      <x:c r="BE182" s="73" t="str">
        <x:f>IF(C182="xiaohongshu",IF(COUNT(AI182,AE182)&lt;2,"",IFERROR(AI182/AE182,"")),"")</x:f>
      </x:c>
      <x:c r="BF182" s="73" t="str">
        <x:f>IF(C182="xiaohongshu",IF(OR(COUNT(AE182)=0,COUNT(AR182,AS182)=0),"",IFERROR((AR182+AS182)/AE182,"")),"")</x:f>
      </x:c>
      <x:c r="BG182" s="73" t="str">
        <x:f>IF(C182="x",IF(COUNT(AD182)=0,"",IF(COUNT(AM182)=1,IFERROR(AM182/AD182,""),IF(COUNT(AH182,AI182,AK182,AL182)=0,"",IFERROR(SUM(AH182,AI182,AK182,AL182)/AD182,"")))),"")</x:f>
      </x:c>
      <x:c r="BH182" s="73" t="str">
        <x:f>IF(C182="x",IF(COUNT(AJ182,AD182)&lt;2,"",IFERROR(AJ182/AD182,"")),"")</x:f>
      </x:c>
      <x:c r="BI182" s="73" t="str">
        <x:f>IF(C182="x",IF(COUNT(AO182,AD182)&lt;2,"",IFERROR(AO182/AD182,"")),"")</x:f>
      </x:c>
      <x:c r="BJ182" s="73" t="str">
        <x:f>IF(C182="x",IF(COUNT(AP182,AD182)&lt;2,"",IFERROR(AP182/AD182,"")),"")</x:f>
      </x:c>
      <x:c r="BK182" s="73" t="str">
        <x:f>IF(C182="x",IF(COUNT(AL182,AD182)&lt;2,"",IFERROR(AL182/AD182,"")),"")</x:f>
      </x:c>
      <x:c r="BL182" s="73" t="str">
        <x:f>IF(C182="x",IF(OR(COUNT(AD182)=0,COUNT(AR182,AS182)=0),"",IFERROR((AR182+AS182)/AD182,"")),"")</x:f>
      </x:c>
      <x:c r="BM182" s="73" t="str">
        <x:f>IF(AB182="xhs_save_rate",BA182,IF(AB182="xhs_completion_rate",BB182,IF(AB182="xhs_profile_visit_rate",BC182,IF(AB182="xhs_dm_intent_rate",BD182,IF(AB182="xhs_discussion_rate",BE182,IF(AB182="xhs_product_relevance_rate",BF182,IF(AB182="x_first_screen_engaged_rate_proxy",BG182,IF(AB182="x_qualified_reply_rate",BH182,IF(AB182="x_profile_click_rate",BI182,IF(AB182="x_link_intent_rate",BJ182,IF(AB182="x_bookmark_rate",BK182,IF(AB182="x_product_relevance_rate",BL182,""))))))))))))</x:f>
      </x:c>
      <x:c r="BN182" s="73" t="str">
        <x:f>IFERROR(BM182/AT182-1,"")</x:f>
      </x:c>
      <x:c r="BO182" s="73" t="str">
        <x:f>IF(AC182="","",IF(AC182="xhs_save_rate",BA182,IF(AC182="xhs_completion_rate",BB182,IF(AC182="xhs_profile_visit_rate",BC182,IF(AC182="xhs_dm_intent_rate",BD182,IF(AC182="xhs_discussion_rate",BE182,IF(AC182="xhs_product_relevance_rate",BF182,IF(AC182="x_first_screen_engaged_rate_proxy",BG182,IF(AC182="x_qualified_reply_rate",BH182,IF(AC182="x_profile_click_rate",BI182,IF(AC182="x_link_intent_rate",BJ182,IF(AC182="x_bookmark_rate",BK182,IF(AC182="x_product_relevance_rate",BL182,"")))))))))))))</x:f>
      </x:c>
      <x:c r="BP182" s="73" t="str">
        <x:f>IFERROR(BO182/AU182-1,"")</x:f>
      </x:c>
      <x:c r="BQ182" s="74" t="str">
        <x:f>IF(COUNT(AD182)=0,"",AD182)</x:f>
      </x:c>
      <x:c r="BR182" s="73" t="str">
        <x:f>IF(C182="xiaohongshu",IF(COUNT(BA182,BB182)=2,AVERAGE(BA182,BB182),IF(COUNT(BA182)=1,BA182,BB182)),BK182)</x:f>
      </x:c>
      <x:c r="BS182" s="73" t="str">
        <x:f>IF(C182="xiaohongshu",BE182,BH182)</x:f>
      </x:c>
      <x:c r="BT182" s="73" t="str">
        <x:f>IF(C182="xiaohongshu",IF(I182="save",BA182,IF(I182="discussion",BE182,IF(I182="profile_visit",BC182,IF(I182="dm",BD182,IF(OR(I182="product_question",I182="trial_intent"),BF182,""))))),IF(I182="save",BK182,IF(I182="discussion",BH182,IF(OR(I182="profile_visit",I182="dm"),BI182,IF(I182="link_click",BJ182,IF(OR(I182="product_question",I182="trial_intent"),BL182,""))))))</x:f>
      </x:c>
      <x:c r="BU182" s="73" t="str">
        <x:f>IF(C182="xiaohongshu",BF182,BL182)</x:f>
      </x:c>
      <x:c r="BV182" s="65" t="str">
        <x:f>IF(COUNT(BQ182,AV182)&lt;2,"unknown",IF(BQ182/AV182-1&gt;=0.2,"high",IF(BQ182/AV182-1&lt;=-0.2,"low","normal")))</x:f>
        <x:v>unknown</x:v>
      </x:c>
      <x:c r="BW182" s="65" t="str">
        <x:f>IF(COUNT(BR182,AW182)&lt;2,"unknown",IF(BR182/AW182-1&gt;=0.2,"high",IF(BR182/AW182-1&lt;=-0.2,"low","normal")))</x:f>
        <x:v>unknown</x:v>
      </x:c>
      <x:c r="BX182" s="65" t="str">
        <x:f>IF(COUNT(BS182,AX182)&lt;2,"unknown",IF(BS182/AX182-1&gt;=0.2,"high",IF(BS182/AX182-1&lt;=-0.2,"low","normal")))</x:f>
        <x:v>unknown</x:v>
      </x:c>
      <x:c r="BY182" s="65" t="str">
        <x:f>IF(COUNT(BT182,AY182)&lt;2,"unknown",IF(BT182/AY182-1&gt;=0.2,"high",IF(BT182/AY182-1&lt;=-0.2,"low","normal")))</x:f>
        <x:v>unknown</x:v>
      </x:c>
      <x:c r="BZ182" s="65" t="str">
        <x:f>IF(COUNT(BU182,AZ182)&lt;2,"unknown",IF(BU182/AZ182-1&gt;=0.2,"high",IF(BU182/AZ182-1&lt;=-0.2,"low","normal")))</x:f>
        <x:v>unknown</x:v>
      </x:c>
      <x:c r="CA182" s="65" t="str">
        <x:f>IF(T182&lt;&gt;"complete","pending",IF(OR(L182&lt;&gt;"pure",U182="true",COUNT(BM182,AT182)&lt;2,AND(AC182&lt;&gt;"",COUNT(BO182,AU182)&lt;2)),"not_attributable","attributable"))</x:f>
        <x:v>pending</x:v>
      </x:c>
      <x:c r="CB182" s="65" t="str">
        <x:f>IF(T182&lt;&gt;"complete","not_evaluated",IF(COUNT(BM182,AT182)&lt;2,"insufficient_data",IF(AND(AC182&lt;&gt;"",COUNT(BP182)=1,BP182&lt;=-0.2),"guardrail_fail",IF(AND(CA182="not_attributable",OR(BV182="high",BN182&gt;=0.2)),"watchlist",IF(CA182&lt;&gt;"attributable","insufficient_data",IF(BN182&gt;=0.2,"win",IF(BN182&lt;=-0.2,"loss","inconclusive")))))))</x:f>
        <x:v>not_evaluated</x:v>
      </x:c>
      <x:c r="CC182" s="65" t="str">
        <x:f>IF(T182&lt;&gt;"complete","COLLECT_MORE_DATA",IF(COUNT(BM182,AT182)&lt;2,"FIX_TRACKING",IF(CB182="guardrail_fail","STOP_VARIANT_GUARDRAIL",IF(CB182="watchlist","WATCHLIST_ONLY",IF(AND(BV182="high",BY182="low"),"KEEP_HOOK_REWRITE_CTA",IF(AND(BW182="high",BX182="low"),"KEEP_STRUCTURE_CHANGE_DISCUSSION_ANGLE",IF(AND(BX182="high",BZ182="low"),"DOWNWEIGHT_TEMPLATE",IF(CB182="win","RETEST_WINNER",IF(CB182="loss","RETURN_TO_BASELINE","COLLECT_MORE_DATA")))))))))</x:f>
        <x:v>COLLECT_MORE_DATA</x:v>
      </x:c>
      <x:c r="CD182" s="75"/>
    </x:row>
    <x:row r="183">
      <x:c r="A183" s="68"/>
      <x:c r="B183" s="69"/>
      <x:c r="C183" s="68"/>
      <x:c r="D183" s="68"/>
      <x:c r="E183" s="68"/>
      <x:c r="F183" s="68"/>
      <x:c r="G183" s="68"/>
      <x:c r="H183" s="70"/>
      <x:c r="I183" s="68"/>
      <x:c r="J183" s="68"/>
      <x:c r="K183" s="68"/>
      <x:c r="L183" s="71" t="str">
        <x:f>IF(K183="","unknown",IF(K183=0,"baseline",IF(K183=1,"pure","mixed")))</x:f>
        <x:v>unknown</x:v>
      </x:c>
      <x:c r="M183" s="68"/>
      <x:c r="N183" s="68"/>
      <x:c r="O183" s="68"/>
      <x:c r="P183" s="68"/>
      <x:c r="Q183" s="68"/>
      <x:c r="R183" s="68"/>
      <x:c r="S183" s="68"/>
      <x:c r="T183" s="68"/>
      <x:c r="U183" s="68"/>
      <x:c r="V183" s="68"/>
      <x:c r="W183" s="68"/>
      <x:c r="X183" s="68"/>
      <x:c r="Y183" s="68"/>
      <x:c r="Z183" s="68"/>
      <x:c r="AA183" s="68"/>
      <x:c r="AB183" s="68"/>
      <x:c r="AC183" s="68"/>
      <x:c r="AD183" s="70"/>
      <x:c r="AE183" s="70"/>
      <x:c r="AF183" s="70"/>
      <x:c r="AG183" s="70"/>
      <x:c r="AH183" s="70"/>
      <x:c r="AI183" s="70"/>
      <x:c r="AJ183" s="70"/>
      <x:c r="AK183" s="70"/>
      <x:c r="AL183" s="70"/>
      <x:c r="AM183" s="70"/>
      <x:c r="AN183" s="70"/>
      <x:c r="AO183" s="70"/>
      <x:c r="AP183" s="70"/>
      <x:c r="AQ183" s="70"/>
      <x:c r="AR183" s="70"/>
      <x:c r="AS183" s="70"/>
      <x:c r="AT183" s="72"/>
      <x:c r="AU183" s="72"/>
      <x:c r="AV183" s="72"/>
      <x:c r="AW183" s="72"/>
      <x:c r="AX183" s="72"/>
      <x:c r="AY183" s="72"/>
      <x:c r="AZ183" s="72"/>
      <x:c r="BA183" s="73" t="str">
        <x:f>IF(C183="xiaohongshu",IF(COUNT(AF183,AE183)&lt;2,"",IFERROR(AF183/AE183,"")),"")</x:f>
      </x:c>
      <x:c r="BB183" s="73" t="str">
        <x:f>IF(C183="xiaohongshu",IF(COUNT(AG183,AE183)&lt;2,"",IFERROR(AG183/AE183,"")),"")</x:f>
      </x:c>
      <x:c r="BC183" s="73" t="str">
        <x:f>IF(C183="xiaohongshu",IF(COUNT(AN183,AE183)&lt;2,"",IFERROR(AN183/AE183,"")),"")</x:f>
      </x:c>
      <x:c r="BD183" s="73" t="str">
        <x:f>IF(C183="xiaohongshu",IF(COUNT(AQ183,AE183)&lt;2,"",IFERROR(AQ183/AE183,"")),"")</x:f>
      </x:c>
      <x:c r="BE183" s="73" t="str">
        <x:f>IF(C183="xiaohongshu",IF(COUNT(AI183,AE183)&lt;2,"",IFERROR(AI183/AE183,"")),"")</x:f>
      </x:c>
      <x:c r="BF183" s="73" t="str">
        <x:f>IF(C183="xiaohongshu",IF(OR(COUNT(AE183)=0,COUNT(AR183,AS183)=0),"",IFERROR((AR183+AS183)/AE183,"")),"")</x:f>
      </x:c>
      <x:c r="BG183" s="73" t="str">
        <x:f>IF(C183="x",IF(COUNT(AD183)=0,"",IF(COUNT(AM183)=1,IFERROR(AM183/AD183,""),IF(COUNT(AH183,AI183,AK183,AL183)=0,"",IFERROR(SUM(AH183,AI183,AK183,AL183)/AD183,"")))),"")</x:f>
      </x:c>
      <x:c r="BH183" s="73" t="str">
        <x:f>IF(C183="x",IF(COUNT(AJ183,AD183)&lt;2,"",IFERROR(AJ183/AD183,"")),"")</x:f>
      </x:c>
      <x:c r="BI183" s="73" t="str">
        <x:f>IF(C183="x",IF(COUNT(AO183,AD183)&lt;2,"",IFERROR(AO183/AD183,"")),"")</x:f>
      </x:c>
      <x:c r="BJ183" s="73" t="str">
        <x:f>IF(C183="x",IF(COUNT(AP183,AD183)&lt;2,"",IFERROR(AP183/AD183,"")),"")</x:f>
      </x:c>
      <x:c r="BK183" s="73" t="str">
        <x:f>IF(C183="x",IF(COUNT(AL183,AD183)&lt;2,"",IFERROR(AL183/AD183,"")),"")</x:f>
      </x:c>
      <x:c r="BL183" s="73" t="str">
        <x:f>IF(C183="x",IF(OR(COUNT(AD183)=0,COUNT(AR183,AS183)=0),"",IFERROR((AR183+AS183)/AD183,"")),"")</x:f>
      </x:c>
      <x:c r="BM183" s="73" t="str">
        <x:f>IF(AB183="xhs_save_rate",BA183,IF(AB183="xhs_completion_rate",BB183,IF(AB183="xhs_profile_visit_rate",BC183,IF(AB183="xhs_dm_intent_rate",BD183,IF(AB183="xhs_discussion_rate",BE183,IF(AB183="xhs_product_relevance_rate",BF183,IF(AB183="x_first_screen_engaged_rate_proxy",BG183,IF(AB183="x_qualified_reply_rate",BH183,IF(AB183="x_profile_click_rate",BI183,IF(AB183="x_link_intent_rate",BJ183,IF(AB183="x_bookmark_rate",BK183,IF(AB183="x_product_relevance_rate",BL183,""))))))))))))</x:f>
      </x:c>
      <x:c r="BN183" s="73" t="str">
        <x:f>IFERROR(BM183/AT183-1,"")</x:f>
      </x:c>
      <x:c r="BO183" s="73" t="str">
        <x:f>IF(AC183="","",IF(AC183="xhs_save_rate",BA183,IF(AC183="xhs_completion_rate",BB183,IF(AC183="xhs_profile_visit_rate",BC183,IF(AC183="xhs_dm_intent_rate",BD183,IF(AC183="xhs_discussion_rate",BE183,IF(AC183="xhs_product_relevance_rate",BF183,IF(AC183="x_first_screen_engaged_rate_proxy",BG183,IF(AC183="x_qualified_reply_rate",BH183,IF(AC183="x_profile_click_rate",BI183,IF(AC183="x_link_intent_rate",BJ183,IF(AC183="x_bookmark_rate",BK183,IF(AC183="x_product_relevance_rate",BL183,"")))))))))))))</x:f>
      </x:c>
      <x:c r="BP183" s="73" t="str">
        <x:f>IFERROR(BO183/AU183-1,"")</x:f>
      </x:c>
      <x:c r="BQ183" s="74" t="str">
        <x:f>IF(COUNT(AD183)=0,"",AD183)</x:f>
      </x:c>
      <x:c r="BR183" s="73" t="str">
        <x:f>IF(C183="xiaohongshu",IF(COUNT(BA183,BB183)=2,AVERAGE(BA183,BB183),IF(COUNT(BA183)=1,BA183,BB183)),BK183)</x:f>
      </x:c>
      <x:c r="BS183" s="73" t="str">
        <x:f>IF(C183="xiaohongshu",BE183,BH183)</x:f>
      </x:c>
      <x:c r="BT183" s="73" t="str">
        <x:f>IF(C183="xiaohongshu",IF(I183="save",BA183,IF(I183="discussion",BE183,IF(I183="profile_visit",BC183,IF(I183="dm",BD183,IF(OR(I183="product_question",I183="trial_intent"),BF183,""))))),IF(I183="save",BK183,IF(I183="discussion",BH183,IF(OR(I183="profile_visit",I183="dm"),BI183,IF(I183="link_click",BJ183,IF(OR(I183="product_question",I183="trial_intent"),BL183,""))))))</x:f>
      </x:c>
      <x:c r="BU183" s="73" t="str">
        <x:f>IF(C183="xiaohongshu",BF183,BL183)</x:f>
      </x:c>
      <x:c r="BV183" s="65" t="str">
        <x:f>IF(COUNT(BQ183,AV183)&lt;2,"unknown",IF(BQ183/AV183-1&gt;=0.2,"high",IF(BQ183/AV183-1&lt;=-0.2,"low","normal")))</x:f>
        <x:v>unknown</x:v>
      </x:c>
      <x:c r="BW183" s="65" t="str">
        <x:f>IF(COUNT(BR183,AW183)&lt;2,"unknown",IF(BR183/AW183-1&gt;=0.2,"high",IF(BR183/AW183-1&lt;=-0.2,"low","normal")))</x:f>
        <x:v>unknown</x:v>
      </x:c>
      <x:c r="BX183" s="65" t="str">
        <x:f>IF(COUNT(BS183,AX183)&lt;2,"unknown",IF(BS183/AX183-1&gt;=0.2,"high",IF(BS183/AX183-1&lt;=-0.2,"low","normal")))</x:f>
        <x:v>unknown</x:v>
      </x:c>
      <x:c r="BY183" s="65" t="str">
        <x:f>IF(COUNT(BT183,AY183)&lt;2,"unknown",IF(BT183/AY183-1&gt;=0.2,"high",IF(BT183/AY183-1&lt;=-0.2,"low","normal")))</x:f>
        <x:v>unknown</x:v>
      </x:c>
      <x:c r="BZ183" s="65" t="str">
        <x:f>IF(COUNT(BU183,AZ183)&lt;2,"unknown",IF(BU183/AZ183-1&gt;=0.2,"high",IF(BU183/AZ183-1&lt;=-0.2,"low","normal")))</x:f>
        <x:v>unknown</x:v>
      </x:c>
      <x:c r="CA183" s="65" t="str">
        <x:f>IF(T183&lt;&gt;"complete","pending",IF(OR(L183&lt;&gt;"pure",U183="true",COUNT(BM183,AT183)&lt;2,AND(AC183&lt;&gt;"",COUNT(BO183,AU183)&lt;2)),"not_attributable","attributable"))</x:f>
        <x:v>pending</x:v>
      </x:c>
      <x:c r="CB183" s="65" t="str">
        <x:f>IF(T183&lt;&gt;"complete","not_evaluated",IF(COUNT(BM183,AT183)&lt;2,"insufficient_data",IF(AND(AC183&lt;&gt;"",COUNT(BP183)=1,BP183&lt;=-0.2),"guardrail_fail",IF(AND(CA183="not_attributable",OR(BV183="high",BN183&gt;=0.2)),"watchlist",IF(CA183&lt;&gt;"attributable","insufficient_data",IF(BN183&gt;=0.2,"win",IF(BN183&lt;=-0.2,"loss","inconclusive")))))))</x:f>
        <x:v>not_evaluated</x:v>
      </x:c>
      <x:c r="CC183" s="65" t="str">
        <x:f>IF(T183&lt;&gt;"complete","COLLECT_MORE_DATA",IF(COUNT(BM183,AT183)&lt;2,"FIX_TRACKING",IF(CB183="guardrail_fail","STOP_VARIANT_GUARDRAIL",IF(CB183="watchlist","WATCHLIST_ONLY",IF(AND(BV183="high",BY183="low"),"KEEP_HOOK_REWRITE_CTA",IF(AND(BW183="high",BX183="low"),"KEEP_STRUCTURE_CHANGE_DISCUSSION_ANGLE",IF(AND(BX183="high",BZ183="low"),"DOWNWEIGHT_TEMPLATE",IF(CB183="win","RETEST_WINNER",IF(CB183="loss","RETURN_TO_BASELINE","COLLECT_MORE_DATA")))))))))</x:f>
        <x:v>COLLECT_MORE_DATA</x:v>
      </x:c>
      <x:c r="CD183" s="75"/>
    </x:row>
    <x:row r="184">
      <x:c r="A184" s="68"/>
      <x:c r="B184" s="69"/>
      <x:c r="C184" s="68"/>
      <x:c r="D184" s="68"/>
      <x:c r="E184" s="68"/>
      <x:c r="F184" s="68"/>
      <x:c r="G184" s="68"/>
      <x:c r="H184" s="70"/>
      <x:c r="I184" s="68"/>
      <x:c r="J184" s="68"/>
      <x:c r="K184" s="68"/>
      <x:c r="L184" s="71" t="str">
        <x:f>IF(K184="","unknown",IF(K184=0,"baseline",IF(K184=1,"pure","mixed")))</x:f>
        <x:v>unknown</x:v>
      </x:c>
      <x:c r="M184" s="68"/>
      <x:c r="N184" s="68"/>
      <x:c r="O184" s="68"/>
      <x:c r="P184" s="68"/>
      <x:c r="Q184" s="68"/>
      <x:c r="R184" s="68"/>
      <x:c r="S184" s="68"/>
      <x:c r="T184" s="68"/>
      <x:c r="U184" s="68"/>
      <x:c r="V184" s="68"/>
      <x:c r="W184" s="68"/>
      <x:c r="X184" s="68"/>
      <x:c r="Y184" s="68"/>
      <x:c r="Z184" s="68"/>
      <x:c r="AA184" s="68"/>
      <x:c r="AB184" s="68"/>
      <x:c r="AC184" s="68"/>
      <x:c r="AD184" s="70"/>
      <x:c r="AE184" s="70"/>
      <x:c r="AF184" s="70"/>
      <x:c r="AG184" s="70"/>
      <x:c r="AH184" s="70"/>
      <x:c r="AI184" s="70"/>
      <x:c r="AJ184" s="70"/>
      <x:c r="AK184" s="70"/>
      <x:c r="AL184" s="70"/>
      <x:c r="AM184" s="70"/>
      <x:c r="AN184" s="70"/>
      <x:c r="AO184" s="70"/>
      <x:c r="AP184" s="70"/>
      <x:c r="AQ184" s="70"/>
      <x:c r="AR184" s="70"/>
      <x:c r="AS184" s="70"/>
      <x:c r="AT184" s="72"/>
      <x:c r="AU184" s="72"/>
      <x:c r="AV184" s="72"/>
      <x:c r="AW184" s="72"/>
      <x:c r="AX184" s="72"/>
      <x:c r="AY184" s="72"/>
      <x:c r="AZ184" s="72"/>
      <x:c r="BA184" s="73" t="str">
        <x:f>IF(C184="xiaohongshu",IF(COUNT(AF184,AE184)&lt;2,"",IFERROR(AF184/AE184,"")),"")</x:f>
      </x:c>
      <x:c r="BB184" s="73" t="str">
        <x:f>IF(C184="xiaohongshu",IF(COUNT(AG184,AE184)&lt;2,"",IFERROR(AG184/AE184,"")),"")</x:f>
      </x:c>
      <x:c r="BC184" s="73" t="str">
        <x:f>IF(C184="xiaohongshu",IF(COUNT(AN184,AE184)&lt;2,"",IFERROR(AN184/AE184,"")),"")</x:f>
      </x:c>
      <x:c r="BD184" s="73" t="str">
        <x:f>IF(C184="xiaohongshu",IF(COUNT(AQ184,AE184)&lt;2,"",IFERROR(AQ184/AE184,"")),"")</x:f>
      </x:c>
      <x:c r="BE184" s="73" t="str">
        <x:f>IF(C184="xiaohongshu",IF(COUNT(AI184,AE184)&lt;2,"",IFERROR(AI184/AE184,"")),"")</x:f>
      </x:c>
      <x:c r="BF184" s="73" t="str">
        <x:f>IF(C184="xiaohongshu",IF(OR(COUNT(AE184)=0,COUNT(AR184,AS184)=0),"",IFERROR((AR184+AS184)/AE184,"")),"")</x:f>
      </x:c>
      <x:c r="BG184" s="73" t="str">
        <x:f>IF(C184="x",IF(COUNT(AD184)=0,"",IF(COUNT(AM184)=1,IFERROR(AM184/AD184,""),IF(COUNT(AH184,AI184,AK184,AL184)=0,"",IFERROR(SUM(AH184,AI184,AK184,AL184)/AD184,"")))),"")</x:f>
      </x:c>
      <x:c r="BH184" s="73" t="str">
        <x:f>IF(C184="x",IF(COUNT(AJ184,AD184)&lt;2,"",IFERROR(AJ184/AD184,"")),"")</x:f>
      </x:c>
      <x:c r="BI184" s="73" t="str">
        <x:f>IF(C184="x",IF(COUNT(AO184,AD184)&lt;2,"",IFERROR(AO184/AD184,"")),"")</x:f>
      </x:c>
      <x:c r="BJ184" s="73" t="str">
        <x:f>IF(C184="x",IF(COUNT(AP184,AD184)&lt;2,"",IFERROR(AP184/AD184,"")),"")</x:f>
      </x:c>
      <x:c r="BK184" s="73" t="str">
        <x:f>IF(C184="x",IF(COUNT(AL184,AD184)&lt;2,"",IFERROR(AL184/AD184,"")),"")</x:f>
      </x:c>
      <x:c r="BL184" s="73" t="str">
        <x:f>IF(C184="x",IF(OR(COUNT(AD184)=0,COUNT(AR184,AS184)=0),"",IFERROR((AR184+AS184)/AD184,"")),"")</x:f>
      </x:c>
      <x:c r="BM184" s="73" t="str">
        <x:f>IF(AB184="xhs_save_rate",BA184,IF(AB184="xhs_completion_rate",BB184,IF(AB184="xhs_profile_visit_rate",BC184,IF(AB184="xhs_dm_intent_rate",BD184,IF(AB184="xhs_discussion_rate",BE184,IF(AB184="xhs_product_relevance_rate",BF184,IF(AB184="x_first_screen_engaged_rate_proxy",BG184,IF(AB184="x_qualified_reply_rate",BH184,IF(AB184="x_profile_click_rate",BI184,IF(AB184="x_link_intent_rate",BJ184,IF(AB184="x_bookmark_rate",BK184,IF(AB184="x_product_relevance_rate",BL184,""))))))))))))</x:f>
      </x:c>
      <x:c r="BN184" s="73" t="str">
        <x:f>IFERROR(BM184/AT184-1,"")</x:f>
      </x:c>
      <x:c r="BO184" s="73" t="str">
        <x:f>IF(AC184="","",IF(AC184="xhs_save_rate",BA184,IF(AC184="xhs_completion_rate",BB184,IF(AC184="xhs_profile_visit_rate",BC184,IF(AC184="xhs_dm_intent_rate",BD184,IF(AC184="xhs_discussion_rate",BE184,IF(AC184="xhs_product_relevance_rate",BF184,IF(AC184="x_first_screen_engaged_rate_proxy",BG184,IF(AC184="x_qualified_reply_rate",BH184,IF(AC184="x_profile_click_rate",BI184,IF(AC184="x_link_intent_rate",BJ184,IF(AC184="x_bookmark_rate",BK184,IF(AC184="x_product_relevance_rate",BL184,"")))))))))))))</x:f>
      </x:c>
      <x:c r="BP184" s="73" t="str">
        <x:f>IFERROR(BO184/AU184-1,"")</x:f>
      </x:c>
      <x:c r="BQ184" s="74" t="str">
        <x:f>IF(COUNT(AD184)=0,"",AD184)</x:f>
      </x:c>
      <x:c r="BR184" s="73" t="str">
        <x:f>IF(C184="xiaohongshu",IF(COUNT(BA184,BB184)=2,AVERAGE(BA184,BB184),IF(COUNT(BA184)=1,BA184,BB184)),BK184)</x:f>
      </x:c>
      <x:c r="BS184" s="73" t="str">
        <x:f>IF(C184="xiaohongshu",BE184,BH184)</x:f>
      </x:c>
      <x:c r="BT184" s="73" t="str">
        <x:f>IF(C184="xiaohongshu",IF(I184="save",BA184,IF(I184="discussion",BE184,IF(I184="profile_visit",BC184,IF(I184="dm",BD184,IF(OR(I184="product_question",I184="trial_intent"),BF184,""))))),IF(I184="save",BK184,IF(I184="discussion",BH184,IF(OR(I184="profile_visit",I184="dm"),BI184,IF(I184="link_click",BJ184,IF(OR(I184="product_question",I184="trial_intent"),BL184,""))))))</x:f>
      </x:c>
      <x:c r="BU184" s="73" t="str">
        <x:f>IF(C184="xiaohongshu",BF184,BL184)</x:f>
      </x:c>
      <x:c r="BV184" s="65" t="str">
        <x:f>IF(COUNT(BQ184,AV184)&lt;2,"unknown",IF(BQ184/AV184-1&gt;=0.2,"high",IF(BQ184/AV184-1&lt;=-0.2,"low","normal")))</x:f>
        <x:v>unknown</x:v>
      </x:c>
      <x:c r="BW184" s="65" t="str">
        <x:f>IF(COUNT(BR184,AW184)&lt;2,"unknown",IF(BR184/AW184-1&gt;=0.2,"high",IF(BR184/AW184-1&lt;=-0.2,"low","normal")))</x:f>
        <x:v>unknown</x:v>
      </x:c>
      <x:c r="BX184" s="65" t="str">
        <x:f>IF(COUNT(BS184,AX184)&lt;2,"unknown",IF(BS184/AX184-1&gt;=0.2,"high",IF(BS184/AX184-1&lt;=-0.2,"low","normal")))</x:f>
        <x:v>unknown</x:v>
      </x:c>
      <x:c r="BY184" s="65" t="str">
        <x:f>IF(COUNT(BT184,AY184)&lt;2,"unknown",IF(BT184/AY184-1&gt;=0.2,"high",IF(BT184/AY184-1&lt;=-0.2,"low","normal")))</x:f>
        <x:v>unknown</x:v>
      </x:c>
      <x:c r="BZ184" s="65" t="str">
        <x:f>IF(COUNT(BU184,AZ184)&lt;2,"unknown",IF(BU184/AZ184-1&gt;=0.2,"high",IF(BU184/AZ184-1&lt;=-0.2,"low","normal")))</x:f>
        <x:v>unknown</x:v>
      </x:c>
      <x:c r="CA184" s="65" t="str">
        <x:f>IF(T184&lt;&gt;"complete","pending",IF(OR(L184&lt;&gt;"pure",U184="true",COUNT(BM184,AT184)&lt;2,AND(AC184&lt;&gt;"",COUNT(BO184,AU184)&lt;2)),"not_attributable","attributable"))</x:f>
        <x:v>pending</x:v>
      </x:c>
      <x:c r="CB184" s="65" t="str">
        <x:f>IF(T184&lt;&gt;"complete","not_evaluated",IF(COUNT(BM184,AT184)&lt;2,"insufficient_data",IF(AND(AC184&lt;&gt;"",COUNT(BP184)=1,BP184&lt;=-0.2),"guardrail_fail",IF(AND(CA184="not_attributable",OR(BV184="high",BN184&gt;=0.2)),"watchlist",IF(CA184&lt;&gt;"attributable","insufficient_data",IF(BN184&gt;=0.2,"win",IF(BN184&lt;=-0.2,"loss","inconclusive")))))))</x:f>
        <x:v>not_evaluated</x:v>
      </x:c>
      <x:c r="CC184" s="65" t="str">
        <x:f>IF(T184&lt;&gt;"complete","COLLECT_MORE_DATA",IF(COUNT(BM184,AT184)&lt;2,"FIX_TRACKING",IF(CB184="guardrail_fail","STOP_VARIANT_GUARDRAIL",IF(CB184="watchlist","WATCHLIST_ONLY",IF(AND(BV184="high",BY184="low"),"KEEP_HOOK_REWRITE_CTA",IF(AND(BW184="high",BX184="low"),"KEEP_STRUCTURE_CHANGE_DISCUSSION_ANGLE",IF(AND(BX184="high",BZ184="low"),"DOWNWEIGHT_TEMPLATE",IF(CB184="win","RETEST_WINNER",IF(CB184="loss","RETURN_TO_BASELINE","COLLECT_MORE_DATA")))))))))</x:f>
        <x:v>COLLECT_MORE_DATA</x:v>
      </x:c>
      <x:c r="CD184" s="75"/>
    </x:row>
    <x:row r="185">
      <x:c r="A185" s="68"/>
      <x:c r="B185" s="69"/>
      <x:c r="C185" s="68"/>
      <x:c r="D185" s="68"/>
      <x:c r="E185" s="68"/>
      <x:c r="F185" s="68"/>
      <x:c r="G185" s="68"/>
      <x:c r="H185" s="70"/>
      <x:c r="I185" s="68"/>
      <x:c r="J185" s="68"/>
      <x:c r="K185" s="68"/>
      <x:c r="L185" s="71" t="str">
        <x:f>IF(K185="","unknown",IF(K185=0,"baseline",IF(K185=1,"pure","mixed")))</x:f>
        <x:v>unknown</x:v>
      </x:c>
      <x:c r="M185" s="68"/>
      <x:c r="N185" s="68"/>
      <x:c r="O185" s="68"/>
      <x:c r="P185" s="68"/>
      <x:c r="Q185" s="68"/>
      <x:c r="R185" s="68"/>
      <x:c r="S185" s="68"/>
      <x:c r="T185" s="68"/>
      <x:c r="U185" s="68"/>
      <x:c r="V185" s="68"/>
      <x:c r="W185" s="68"/>
      <x:c r="X185" s="68"/>
      <x:c r="Y185" s="68"/>
      <x:c r="Z185" s="68"/>
      <x:c r="AA185" s="68"/>
      <x:c r="AB185" s="68"/>
      <x:c r="AC185" s="68"/>
      <x:c r="AD185" s="70"/>
      <x:c r="AE185" s="70"/>
      <x:c r="AF185" s="70"/>
      <x:c r="AG185" s="70"/>
      <x:c r="AH185" s="70"/>
      <x:c r="AI185" s="70"/>
      <x:c r="AJ185" s="70"/>
      <x:c r="AK185" s="70"/>
      <x:c r="AL185" s="70"/>
      <x:c r="AM185" s="70"/>
      <x:c r="AN185" s="70"/>
      <x:c r="AO185" s="70"/>
      <x:c r="AP185" s="70"/>
      <x:c r="AQ185" s="70"/>
      <x:c r="AR185" s="70"/>
      <x:c r="AS185" s="70"/>
      <x:c r="AT185" s="72"/>
      <x:c r="AU185" s="72"/>
      <x:c r="AV185" s="72"/>
      <x:c r="AW185" s="72"/>
      <x:c r="AX185" s="72"/>
      <x:c r="AY185" s="72"/>
      <x:c r="AZ185" s="72"/>
      <x:c r="BA185" s="73" t="str">
        <x:f>IF(C185="xiaohongshu",IF(COUNT(AF185,AE185)&lt;2,"",IFERROR(AF185/AE185,"")),"")</x:f>
      </x:c>
      <x:c r="BB185" s="73" t="str">
        <x:f>IF(C185="xiaohongshu",IF(COUNT(AG185,AE185)&lt;2,"",IFERROR(AG185/AE185,"")),"")</x:f>
      </x:c>
      <x:c r="BC185" s="73" t="str">
        <x:f>IF(C185="xiaohongshu",IF(COUNT(AN185,AE185)&lt;2,"",IFERROR(AN185/AE185,"")),"")</x:f>
      </x:c>
      <x:c r="BD185" s="73" t="str">
        <x:f>IF(C185="xiaohongshu",IF(COUNT(AQ185,AE185)&lt;2,"",IFERROR(AQ185/AE185,"")),"")</x:f>
      </x:c>
      <x:c r="BE185" s="73" t="str">
        <x:f>IF(C185="xiaohongshu",IF(COUNT(AI185,AE185)&lt;2,"",IFERROR(AI185/AE185,"")),"")</x:f>
      </x:c>
      <x:c r="BF185" s="73" t="str">
        <x:f>IF(C185="xiaohongshu",IF(OR(COUNT(AE185)=0,COUNT(AR185,AS185)=0),"",IFERROR((AR185+AS185)/AE185,"")),"")</x:f>
      </x:c>
      <x:c r="BG185" s="73" t="str">
        <x:f>IF(C185="x",IF(COUNT(AD185)=0,"",IF(COUNT(AM185)=1,IFERROR(AM185/AD185,""),IF(COUNT(AH185,AI185,AK185,AL185)=0,"",IFERROR(SUM(AH185,AI185,AK185,AL185)/AD185,"")))),"")</x:f>
      </x:c>
      <x:c r="BH185" s="73" t="str">
        <x:f>IF(C185="x",IF(COUNT(AJ185,AD185)&lt;2,"",IFERROR(AJ185/AD185,"")),"")</x:f>
      </x:c>
      <x:c r="BI185" s="73" t="str">
        <x:f>IF(C185="x",IF(COUNT(AO185,AD185)&lt;2,"",IFERROR(AO185/AD185,"")),"")</x:f>
      </x:c>
      <x:c r="BJ185" s="73" t="str">
        <x:f>IF(C185="x",IF(COUNT(AP185,AD185)&lt;2,"",IFERROR(AP185/AD185,"")),"")</x:f>
      </x:c>
      <x:c r="BK185" s="73" t="str">
        <x:f>IF(C185="x",IF(COUNT(AL185,AD185)&lt;2,"",IFERROR(AL185/AD185,"")),"")</x:f>
      </x:c>
      <x:c r="BL185" s="73" t="str">
        <x:f>IF(C185="x",IF(OR(COUNT(AD185)=0,COUNT(AR185,AS185)=0),"",IFERROR((AR185+AS185)/AD185,"")),"")</x:f>
      </x:c>
      <x:c r="BM185" s="73" t="str">
        <x:f>IF(AB185="xhs_save_rate",BA185,IF(AB185="xhs_completion_rate",BB185,IF(AB185="xhs_profile_visit_rate",BC185,IF(AB185="xhs_dm_intent_rate",BD185,IF(AB185="xhs_discussion_rate",BE185,IF(AB185="xhs_product_relevance_rate",BF185,IF(AB185="x_first_screen_engaged_rate_proxy",BG185,IF(AB185="x_qualified_reply_rate",BH185,IF(AB185="x_profile_click_rate",BI185,IF(AB185="x_link_intent_rate",BJ185,IF(AB185="x_bookmark_rate",BK185,IF(AB185="x_product_relevance_rate",BL185,""))))))))))))</x:f>
      </x:c>
      <x:c r="BN185" s="73" t="str">
        <x:f>IFERROR(BM185/AT185-1,"")</x:f>
      </x:c>
      <x:c r="BO185" s="73" t="str">
        <x:f>IF(AC185="","",IF(AC185="xhs_save_rate",BA185,IF(AC185="xhs_completion_rate",BB185,IF(AC185="xhs_profile_visit_rate",BC185,IF(AC185="xhs_dm_intent_rate",BD185,IF(AC185="xhs_discussion_rate",BE185,IF(AC185="xhs_product_relevance_rate",BF185,IF(AC185="x_first_screen_engaged_rate_proxy",BG185,IF(AC185="x_qualified_reply_rate",BH185,IF(AC185="x_profile_click_rate",BI185,IF(AC185="x_link_intent_rate",BJ185,IF(AC185="x_bookmark_rate",BK185,IF(AC185="x_product_relevance_rate",BL185,"")))))))))))))</x:f>
      </x:c>
      <x:c r="BP185" s="73" t="str">
        <x:f>IFERROR(BO185/AU185-1,"")</x:f>
      </x:c>
      <x:c r="BQ185" s="74" t="str">
        <x:f>IF(COUNT(AD185)=0,"",AD185)</x:f>
      </x:c>
      <x:c r="BR185" s="73" t="str">
        <x:f>IF(C185="xiaohongshu",IF(COUNT(BA185,BB185)=2,AVERAGE(BA185,BB185),IF(COUNT(BA185)=1,BA185,BB185)),BK185)</x:f>
      </x:c>
      <x:c r="BS185" s="73" t="str">
        <x:f>IF(C185="xiaohongshu",BE185,BH185)</x:f>
      </x:c>
      <x:c r="BT185" s="73" t="str">
        <x:f>IF(C185="xiaohongshu",IF(I185="save",BA185,IF(I185="discussion",BE185,IF(I185="profile_visit",BC185,IF(I185="dm",BD185,IF(OR(I185="product_question",I185="trial_intent"),BF185,""))))),IF(I185="save",BK185,IF(I185="discussion",BH185,IF(OR(I185="profile_visit",I185="dm"),BI185,IF(I185="link_click",BJ185,IF(OR(I185="product_question",I185="trial_intent"),BL185,""))))))</x:f>
      </x:c>
      <x:c r="BU185" s="73" t="str">
        <x:f>IF(C185="xiaohongshu",BF185,BL185)</x:f>
      </x:c>
      <x:c r="BV185" s="65" t="str">
        <x:f>IF(COUNT(BQ185,AV185)&lt;2,"unknown",IF(BQ185/AV185-1&gt;=0.2,"high",IF(BQ185/AV185-1&lt;=-0.2,"low","normal")))</x:f>
        <x:v>unknown</x:v>
      </x:c>
      <x:c r="BW185" s="65" t="str">
        <x:f>IF(COUNT(BR185,AW185)&lt;2,"unknown",IF(BR185/AW185-1&gt;=0.2,"high",IF(BR185/AW185-1&lt;=-0.2,"low","normal")))</x:f>
        <x:v>unknown</x:v>
      </x:c>
      <x:c r="BX185" s="65" t="str">
        <x:f>IF(COUNT(BS185,AX185)&lt;2,"unknown",IF(BS185/AX185-1&gt;=0.2,"high",IF(BS185/AX185-1&lt;=-0.2,"low","normal")))</x:f>
        <x:v>unknown</x:v>
      </x:c>
      <x:c r="BY185" s="65" t="str">
        <x:f>IF(COUNT(BT185,AY185)&lt;2,"unknown",IF(BT185/AY185-1&gt;=0.2,"high",IF(BT185/AY185-1&lt;=-0.2,"low","normal")))</x:f>
        <x:v>unknown</x:v>
      </x:c>
      <x:c r="BZ185" s="65" t="str">
        <x:f>IF(COUNT(BU185,AZ185)&lt;2,"unknown",IF(BU185/AZ185-1&gt;=0.2,"high",IF(BU185/AZ185-1&lt;=-0.2,"low","normal")))</x:f>
        <x:v>unknown</x:v>
      </x:c>
      <x:c r="CA185" s="65" t="str">
        <x:f>IF(T185&lt;&gt;"complete","pending",IF(OR(L185&lt;&gt;"pure",U185="true",COUNT(BM185,AT185)&lt;2,AND(AC185&lt;&gt;"",COUNT(BO185,AU185)&lt;2)),"not_attributable","attributable"))</x:f>
        <x:v>pending</x:v>
      </x:c>
      <x:c r="CB185" s="65" t="str">
        <x:f>IF(T185&lt;&gt;"complete","not_evaluated",IF(COUNT(BM185,AT185)&lt;2,"insufficient_data",IF(AND(AC185&lt;&gt;"",COUNT(BP185)=1,BP185&lt;=-0.2),"guardrail_fail",IF(AND(CA185="not_attributable",OR(BV185="high",BN185&gt;=0.2)),"watchlist",IF(CA185&lt;&gt;"attributable","insufficient_data",IF(BN185&gt;=0.2,"win",IF(BN185&lt;=-0.2,"loss","inconclusive")))))))</x:f>
        <x:v>not_evaluated</x:v>
      </x:c>
      <x:c r="CC185" s="65" t="str">
        <x:f>IF(T185&lt;&gt;"complete","COLLECT_MORE_DATA",IF(COUNT(BM185,AT185)&lt;2,"FIX_TRACKING",IF(CB185="guardrail_fail","STOP_VARIANT_GUARDRAIL",IF(CB185="watchlist","WATCHLIST_ONLY",IF(AND(BV185="high",BY185="low"),"KEEP_HOOK_REWRITE_CTA",IF(AND(BW185="high",BX185="low"),"KEEP_STRUCTURE_CHANGE_DISCUSSION_ANGLE",IF(AND(BX185="high",BZ185="low"),"DOWNWEIGHT_TEMPLATE",IF(CB185="win","RETEST_WINNER",IF(CB185="loss","RETURN_TO_BASELINE","COLLECT_MORE_DATA")))))))))</x:f>
        <x:v>COLLECT_MORE_DATA</x:v>
      </x:c>
      <x:c r="CD185" s="75"/>
    </x:row>
    <x:row r="186">
      <x:c r="A186" s="68"/>
      <x:c r="B186" s="69"/>
      <x:c r="C186" s="68"/>
      <x:c r="D186" s="68"/>
      <x:c r="E186" s="68"/>
      <x:c r="F186" s="68"/>
      <x:c r="G186" s="68"/>
      <x:c r="H186" s="70"/>
      <x:c r="I186" s="68"/>
      <x:c r="J186" s="68"/>
      <x:c r="K186" s="68"/>
      <x:c r="L186" s="71" t="str">
        <x:f>IF(K186="","unknown",IF(K186=0,"baseline",IF(K186=1,"pure","mixed")))</x:f>
        <x:v>unknown</x:v>
      </x:c>
      <x:c r="M186" s="68"/>
      <x:c r="N186" s="68"/>
      <x:c r="O186" s="68"/>
      <x:c r="P186" s="68"/>
      <x:c r="Q186" s="68"/>
      <x:c r="R186" s="68"/>
      <x:c r="S186" s="68"/>
      <x:c r="T186" s="68"/>
      <x:c r="U186" s="68"/>
      <x:c r="V186" s="68"/>
      <x:c r="W186" s="68"/>
      <x:c r="X186" s="68"/>
      <x:c r="Y186" s="68"/>
      <x:c r="Z186" s="68"/>
      <x:c r="AA186" s="68"/>
      <x:c r="AB186" s="68"/>
      <x:c r="AC186" s="68"/>
      <x:c r="AD186" s="70"/>
      <x:c r="AE186" s="70"/>
      <x:c r="AF186" s="70"/>
      <x:c r="AG186" s="70"/>
      <x:c r="AH186" s="70"/>
      <x:c r="AI186" s="70"/>
      <x:c r="AJ186" s="70"/>
      <x:c r="AK186" s="70"/>
      <x:c r="AL186" s="70"/>
      <x:c r="AM186" s="70"/>
      <x:c r="AN186" s="70"/>
      <x:c r="AO186" s="70"/>
      <x:c r="AP186" s="70"/>
      <x:c r="AQ186" s="70"/>
      <x:c r="AR186" s="70"/>
      <x:c r="AS186" s="70"/>
      <x:c r="AT186" s="72"/>
      <x:c r="AU186" s="72"/>
      <x:c r="AV186" s="72"/>
      <x:c r="AW186" s="72"/>
      <x:c r="AX186" s="72"/>
      <x:c r="AY186" s="72"/>
      <x:c r="AZ186" s="72"/>
      <x:c r="BA186" s="73" t="str">
        <x:f>IF(C186="xiaohongshu",IF(COUNT(AF186,AE186)&lt;2,"",IFERROR(AF186/AE186,"")),"")</x:f>
      </x:c>
      <x:c r="BB186" s="73" t="str">
        <x:f>IF(C186="xiaohongshu",IF(COUNT(AG186,AE186)&lt;2,"",IFERROR(AG186/AE186,"")),"")</x:f>
      </x:c>
      <x:c r="BC186" s="73" t="str">
        <x:f>IF(C186="xiaohongshu",IF(COUNT(AN186,AE186)&lt;2,"",IFERROR(AN186/AE186,"")),"")</x:f>
      </x:c>
      <x:c r="BD186" s="73" t="str">
        <x:f>IF(C186="xiaohongshu",IF(COUNT(AQ186,AE186)&lt;2,"",IFERROR(AQ186/AE186,"")),"")</x:f>
      </x:c>
      <x:c r="BE186" s="73" t="str">
        <x:f>IF(C186="xiaohongshu",IF(COUNT(AI186,AE186)&lt;2,"",IFERROR(AI186/AE186,"")),"")</x:f>
      </x:c>
      <x:c r="BF186" s="73" t="str">
        <x:f>IF(C186="xiaohongshu",IF(OR(COUNT(AE186)=0,COUNT(AR186,AS186)=0),"",IFERROR((AR186+AS186)/AE186,"")),"")</x:f>
      </x:c>
      <x:c r="BG186" s="73" t="str">
        <x:f>IF(C186="x",IF(COUNT(AD186)=0,"",IF(COUNT(AM186)=1,IFERROR(AM186/AD186,""),IF(COUNT(AH186,AI186,AK186,AL186)=0,"",IFERROR(SUM(AH186,AI186,AK186,AL186)/AD186,"")))),"")</x:f>
      </x:c>
      <x:c r="BH186" s="73" t="str">
        <x:f>IF(C186="x",IF(COUNT(AJ186,AD186)&lt;2,"",IFERROR(AJ186/AD186,"")),"")</x:f>
      </x:c>
      <x:c r="BI186" s="73" t="str">
        <x:f>IF(C186="x",IF(COUNT(AO186,AD186)&lt;2,"",IFERROR(AO186/AD186,"")),"")</x:f>
      </x:c>
      <x:c r="BJ186" s="73" t="str">
        <x:f>IF(C186="x",IF(COUNT(AP186,AD186)&lt;2,"",IFERROR(AP186/AD186,"")),"")</x:f>
      </x:c>
      <x:c r="BK186" s="73" t="str">
        <x:f>IF(C186="x",IF(COUNT(AL186,AD186)&lt;2,"",IFERROR(AL186/AD186,"")),"")</x:f>
      </x:c>
      <x:c r="BL186" s="73" t="str">
        <x:f>IF(C186="x",IF(OR(COUNT(AD186)=0,COUNT(AR186,AS186)=0),"",IFERROR((AR186+AS186)/AD186,"")),"")</x:f>
      </x:c>
      <x:c r="BM186" s="73" t="str">
        <x:f>IF(AB186="xhs_save_rate",BA186,IF(AB186="xhs_completion_rate",BB186,IF(AB186="xhs_profile_visit_rate",BC186,IF(AB186="xhs_dm_intent_rate",BD186,IF(AB186="xhs_discussion_rate",BE186,IF(AB186="xhs_product_relevance_rate",BF186,IF(AB186="x_first_screen_engaged_rate_proxy",BG186,IF(AB186="x_qualified_reply_rate",BH186,IF(AB186="x_profile_click_rate",BI186,IF(AB186="x_link_intent_rate",BJ186,IF(AB186="x_bookmark_rate",BK186,IF(AB186="x_product_relevance_rate",BL186,""))))))))))))</x:f>
      </x:c>
      <x:c r="BN186" s="73" t="str">
        <x:f>IFERROR(BM186/AT186-1,"")</x:f>
      </x:c>
      <x:c r="BO186" s="73" t="str">
        <x:f>IF(AC186="","",IF(AC186="xhs_save_rate",BA186,IF(AC186="xhs_completion_rate",BB186,IF(AC186="xhs_profile_visit_rate",BC186,IF(AC186="xhs_dm_intent_rate",BD186,IF(AC186="xhs_discussion_rate",BE186,IF(AC186="xhs_product_relevance_rate",BF186,IF(AC186="x_first_screen_engaged_rate_proxy",BG186,IF(AC186="x_qualified_reply_rate",BH186,IF(AC186="x_profile_click_rate",BI186,IF(AC186="x_link_intent_rate",BJ186,IF(AC186="x_bookmark_rate",BK186,IF(AC186="x_product_relevance_rate",BL186,"")))))))))))))</x:f>
      </x:c>
      <x:c r="BP186" s="73" t="str">
        <x:f>IFERROR(BO186/AU186-1,"")</x:f>
      </x:c>
      <x:c r="BQ186" s="74" t="str">
        <x:f>IF(COUNT(AD186)=0,"",AD186)</x:f>
      </x:c>
      <x:c r="BR186" s="73" t="str">
        <x:f>IF(C186="xiaohongshu",IF(COUNT(BA186,BB186)=2,AVERAGE(BA186,BB186),IF(COUNT(BA186)=1,BA186,BB186)),BK186)</x:f>
      </x:c>
      <x:c r="BS186" s="73" t="str">
        <x:f>IF(C186="xiaohongshu",BE186,BH186)</x:f>
      </x:c>
      <x:c r="BT186" s="73" t="str">
        <x:f>IF(C186="xiaohongshu",IF(I186="save",BA186,IF(I186="discussion",BE186,IF(I186="profile_visit",BC186,IF(I186="dm",BD186,IF(OR(I186="product_question",I186="trial_intent"),BF186,""))))),IF(I186="save",BK186,IF(I186="discussion",BH186,IF(OR(I186="profile_visit",I186="dm"),BI186,IF(I186="link_click",BJ186,IF(OR(I186="product_question",I186="trial_intent"),BL186,""))))))</x:f>
      </x:c>
      <x:c r="BU186" s="73" t="str">
        <x:f>IF(C186="xiaohongshu",BF186,BL186)</x:f>
      </x:c>
      <x:c r="BV186" s="65" t="str">
        <x:f>IF(COUNT(BQ186,AV186)&lt;2,"unknown",IF(BQ186/AV186-1&gt;=0.2,"high",IF(BQ186/AV186-1&lt;=-0.2,"low","normal")))</x:f>
        <x:v>unknown</x:v>
      </x:c>
      <x:c r="BW186" s="65" t="str">
        <x:f>IF(COUNT(BR186,AW186)&lt;2,"unknown",IF(BR186/AW186-1&gt;=0.2,"high",IF(BR186/AW186-1&lt;=-0.2,"low","normal")))</x:f>
        <x:v>unknown</x:v>
      </x:c>
      <x:c r="BX186" s="65" t="str">
        <x:f>IF(COUNT(BS186,AX186)&lt;2,"unknown",IF(BS186/AX186-1&gt;=0.2,"high",IF(BS186/AX186-1&lt;=-0.2,"low","normal")))</x:f>
        <x:v>unknown</x:v>
      </x:c>
      <x:c r="BY186" s="65" t="str">
        <x:f>IF(COUNT(BT186,AY186)&lt;2,"unknown",IF(BT186/AY186-1&gt;=0.2,"high",IF(BT186/AY186-1&lt;=-0.2,"low","normal")))</x:f>
        <x:v>unknown</x:v>
      </x:c>
      <x:c r="BZ186" s="65" t="str">
        <x:f>IF(COUNT(BU186,AZ186)&lt;2,"unknown",IF(BU186/AZ186-1&gt;=0.2,"high",IF(BU186/AZ186-1&lt;=-0.2,"low","normal")))</x:f>
        <x:v>unknown</x:v>
      </x:c>
      <x:c r="CA186" s="65" t="str">
        <x:f>IF(T186&lt;&gt;"complete","pending",IF(OR(L186&lt;&gt;"pure",U186="true",COUNT(BM186,AT186)&lt;2,AND(AC186&lt;&gt;"",COUNT(BO186,AU186)&lt;2)),"not_attributable","attributable"))</x:f>
        <x:v>pending</x:v>
      </x:c>
      <x:c r="CB186" s="65" t="str">
        <x:f>IF(T186&lt;&gt;"complete","not_evaluated",IF(COUNT(BM186,AT186)&lt;2,"insufficient_data",IF(AND(AC186&lt;&gt;"",COUNT(BP186)=1,BP186&lt;=-0.2),"guardrail_fail",IF(AND(CA186="not_attributable",OR(BV186="high",BN186&gt;=0.2)),"watchlist",IF(CA186&lt;&gt;"attributable","insufficient_data",IF(BN186&gt;=0.2,"win",IF(BN186&lt;=-0.2,"loss","inconclusive")))))))</x:f>
        <x:v>not_evaluated</x:v>
      </x:c>
      <x:c r="CC186" s="65" t="str">
        <x:f>IF(T186&lt;&gt;"complete","COLLECT_MORE_DATA",IF(COUNT(BM186,AT186)&lt;2,"FIX_TRACKING",IF(CB186="guardrail_fail","STOP_VARIANT_GUARDRAIL",IF(CB186="watchlist","WATCHLIST_ONLY",IF(AND(BV186="high",BY186="low"),"KEEP_HOOK_REWRITE_CTA",IF(AND(BW186="high",BX186="low"),"KEEP_STRUCTURE_CHANGE_DISCUSSION_ANGLE",IF(AND(BX186="high",BZ186="low"),"DOWNWEIGHT_TEMPLATE",IF(CB186="win","RETEST_WINNER",IF(CB186="loss","RETURN_TO_BASELINE","COLLECT_MORE_DATA")))))))))</x:f>
        <x:v>COLLECT_MORE_DATA</x:v>
      </x:c>
      <x:c r="CD186" s="75"/>
    </x:row>
    <x:row r="187">
      <x:c r="A187" s="68"/>
      <x:c r="B187" s="69"/>
      <x:c r="C187" s="68"/>
      <x:c r="D187" s="68"/>
      <x:c r="E187" s="68"/>
      <x:c r="F187" s="68"/>
      <x:c r="G187" s="68"/>
      <x:c r="H187" s="70"/>
      <x:c r="I187" s="68"/>
      <x:c r="J187" s="68"/>
      <x:c r="K187" s="68"/>
      <x:c r="L187" s="71" t="str">
        <x:f>IF(K187="","unknown",IF(K187=0,"baseline",IF(K187=1,"pure","mixed")))</x:f>
        <x:v>unknown</x:v>
      </x:c>
      <x:c r="M187" s="68"/>
      <x:c r="N187" s="68"/>
      <x:c r="O187" s="68"/>
      <x:c r="P187" s="68"/>
      <x:c r="Q187" s="68"/>
      <x:c r="R187" s="68"/>
      <x:c r="S187" s="68"/>
      <x:c r="T187" s="68"/>
      <x:c r="U187" s="68"/>
      <x:c r="V187" s="68"/>
      <x:c r="W187" s="68"/>
      <x:c r="X187" s="68"/>
      <x:c r="Y187" s="68"/>
      <x:c r="Z187" s="68"/>
      <x:c r="AA187" s="68"/>
      <x:c r="AB187" s="68"/>
      <x:c r="AC187" s="68"/>
      <x:c r="AD187" s="70"/>
      <x:c r="AE187" s="70"/>
      <x:c r="AF187" s="70"/>
      <x:c r="AG187" s="70"/>
      <x:c r="AH187" s="70"/>
      <x:c r="AI187" s="70"/>
      <x:c r="AJ187" s="70"/>
      <x:c r="AK187" s="70"/>
      <x:c r="AL187" s="70"/>
      <x:c r="AM187" s="70"/>
      <x:c r="AN187" s="70"/>
      <x:c r="AO187" s="70"/>
      <x:c r="AP187" s="70"/>
      <x:c r="AQ187" s="70"/>
      <x:c r="AR187" s="70"/>
      <x:c r="AS187" s="70"/>
      <x:c r="AT187" s="72"/>
      <x:c r="AU187" s="72"/>
      <x:c r="AV187" s="72"/>
      <x:c r="AW187" s="72"/>
      <x:c r="AX187" s="72"/>
      <x:c r="AY187" s="72"/>
      <x:c r="AZ187" s="72"/>
      <x:c r="BA187" s="73" t="str">
        <x:f>IF(C187="xiaohongshu",IF(COUNT(AF187,AE187)&lt;2,"",IFERROR(AF187/AE187,"")),"")</x:f>
      </x:c>
      <x:c r="BB187" s="73" t="str">
        <x:f>IF(C187="xiaohongshu",IF(COUNT(AG187,AE187)&lt;2,"",IFERROR(AG187/AE187,"")),"")</x:f>
      </x:c>
      <x:c r="BC187" s="73" t="str">
        <x:f>IF(C187="xiaohongshu",IF(COUNT(AN187,AE187)&lt;2,"",IFERROR(AN187/AE187,"")),"")</x:f>
      </x:c>
      <x:c r="BD187" s="73" t="str">
        <x:f>IF(C187="xiaohongshu",IF(COUNT(AQ187,AE187)&lt;2,"",IFERROR(AQ187/AE187,"")),"")</x:f>
      </x:c>
      <x:c r="BE187" s="73" t="str">
        <x:f>IF(C187="xiaohongshu",IF(COUNT(AI187,AE187)&lt;2,"",IFERROR(AI187/AE187,"")),"")</x:f>
      </x:c>
      <x:c r="BF187" s="73" t="str">
        <x:f>IF(C187="xiaohongshu",IF(OR(COUNT(AE187)=0,COUNT(AR187,AS187)=0),"",IFERROR((AR187+AS187)/AE187,"")),"")</x:f>
      </x:c>
      <x:c r="BG187" s="73" t="str">
        <x:f>IF(C187="x",IF(COUNT(AD187)=0,"",IF(COUNT(AM187)=1,IFERROR(AM187/AD187,""),IF(COUNT(AH187,AI187,AK187,AL187)=0,"",IFERROR(SUM(AH187,AI187,AK187,AL187)/AD187,"")))),"")</x:f>
      </x:c>
      <x:c r="BH187" s="73" t="str">
        <x:f>IF(C187="x",IF(COUNT(AJ187,AD187)&lt;2,"",IFERROR(AJ187/AD187,"")),"")</x:f>
      </x:c>
      <x:c r="BI187" s="73" t="str">
        <x:f>IF(C187="x",IF(COUNT(AO187,AD187)&lt;2,"",IFERROR(AO187/AD187,"")),"")</x:f>
      </x:c>
      <x:c r="BJ187" s="73" t="str">
        <x:f>IF(C187="x",IF(COUNT(AP187,AD187)&lt;2,"",IFERROR(AP187/AD187,"")),"")</x:f>
      </x:c>
      <x:c r="BK187" s="73" t="str">
        <x:f>IF(C187="x",IF(COUNT(AL187,AD187)&lt;2,"",IFERROR(AL187/AD187,"")),"")</x:f>
      </x:c>
      <x:c r="BL187" s="73" t="str">
        <x:f>IF(C187="x",IF(OR(COUNT(AD187)=0,COUNT(AR187,AS187)=0),"",IFERROR((AR187+AS187)/AD187,"")),"")</x:f>
      </x:c>
      <x:c r="BM187" s="73" t="str">
        <x:f>IF(AB187="xhs_save_rate",BA187,IF(AB187="xhs_completion_rate",BB187,IF(AB187="xhs_profile_visit_rate",BC187,IF(AB187="xhs_dm_intent_rate",BD187,IF(AB187="xhs_discussion_rate",BE187,IF(AB187="xhs_product_relevance_rate",BF187,IF(AB187="x_first_screen_engaged_rate_proxy",BG187,IF(AB187="x_qualified_reply_rate",BH187,IF(AB187="x_profile_click_rate",BI187,IF(AB187="x_link_intent_rate",BJ187,IF(AB187="x_bookmark_rate",BK187,IF(AB187="x_product_relevance_rate",BL187,""))))))))))))</x:f>
      </x:c>
      <x:c r="BN187" s="73" t="str">
        <x:f>IFERROR(BM187/AT187-1,"")</x:f>
      </x:c>
      <x:c r="BO187" s="73" t="str">
        <x:f>IF(AC187="","",IF(AC187="xhs_save_rate",BA187,IF(AC187="xhs_completion_rate",BB187,IF(AC187="xhs_profile_visit_rate",BC187,IF(AC187="xhs_dm_intent_rate",BD187,IF(AC187="xhs_discussion_rate",BE187,IF(AC187="xhs_product_relevance_rate",BF187,IF(AC187="x_first_screen_engaged_rate_proxy",BG187,IF(AC187="x_qualified_reply_rate",BH187,IF(AC187="x_profile_click_rate",BI187,IF(AC187="x_link_intent_rate",BJ187,IF(AC187="x_bookmark_rate",BK187,IF(AC187="x_product_relevance_rate",BL187,"")))))))))))))</x:f>
      </x:c>
      <x:c r="BP187" s="73" t="str">
        <x:f>IFERROR(BO187/AU187-1,"")</x:f>
      </x:c>
      <x:c r="BQ187" s="74" t="str">
        <x:f>IF(COUNT(AD187)=0,"",AD187)</x:f>
      </x:c>
      <x:c r="BR187" s="73" t="str">
        <x:f>IF(C187="xiaohongshu",IF(COUNT(BA187,BB187)=2,AVERAGE(BA187,BB187),IF(COUNT(BA187)=1,BA187,BB187)),BK187)</x:f>
      </x:c>
      <x:c r="BS187" s="73" t="str">
        <x:f>IF(C187="xiaohongshu",BE187,BH187)</x:f>
      </x:c>
      <x:c r="BT187" s="73" t="str">
        <x:f>IF(C187="xiaohongshu",IF(I187="save",BA187,IF(I187="discussion",BE187,IF(I187="profile_visit",BC187,IF(I187="dm",BD187,IF(OR(I187="product_question",I187="trial_intent"),BF187,""))))),IF(I187="save",BK187,IF(I187="discussion",BH187,IF(OR(I187="profile_visit",I187="dm"),BI187,IF(I187="link_click",BJ187,IF(OR(I187="product_question",I187="trial_intent"),BL187,""))))))</x:f>
      </x:c>
      <x:c r="BU187" s="73" t="str">
        <x:f>IF(C187="xiaohongshu",BF187,BL187)</x:f>
      </x:c>
      <x:c r="BV187" s="65" t="str">
        <x:f>IF(COUNT(BQ187,AV187)&lt;2,"unknown",IF(BQ187/AV187-1&gt;=0.2,"high",IF(BQ187/AV187-1&lt;=-0.2,"low","normal")))</x:f>
        <x:v>unknown</x:v>
      </x:c>
      <x:c r="BW187" s="65" t="str">
        <x:f>IF(COUNT(BR187,AW187)&lt;2,"unknown",IF(BR187/AW187-1&gt;=0.2,"high",IF(BR187/AW187-1&lt;=-0.2,"low","normal")))</x:f>
        <x:v>unknown</x:v>
      </x:c>
      <x:c r="BX187" s="65" t="str">
        <x:f>IF(COUNT(BS187,AX187)&lt;2,"unknown",IF(BS187/AX187-1&gt;=0.2,"high",IF(BS187/AX187-1&lt;=-0.2,"low","normal")))</x:f>
        <x:v>unknown</x:v>
      </x:c>
      <x:c r="BY187" s="65" t="str">
        <x:f>IF(COUNT(BT187,AY187)&lt;2,"unknown",IF(BT187/AY187-1&gt;=0.2,"high",IF(BT187/AY187-1&lt;=-0.2,"low","normal")))</x:f>
        <x:v>unknown</x:v>
      </x:c>
      <x:c r="BZ187" s="65" t="str">
        <x:f>IF(COUNT(BU187,AZ187)&lt;2,"unknown",IF(BU187/AZ187-1&gt;=0.2,"high",IF(BU187/AZ187-1&lt;=-0.2,"low","normal")))</x:f>
        <x:v>unknown</x:v>
      </x:c>
      <x:c r="CA187" s="65" t="str">
        <x:f>IF(T187&lt;&gt;"complete","pending",IF(OR(L187&lt;&gt;"pure",U187="true",COUNT(BM187,AT187)&lt;2,AND(AC187&lt;&gt;"",COUNT(BO187,AU187)&lt;2)),"not_attributable","attributable"))</x:f>
        <x:v>pending</x:v>
      </x:c>
      <x:c r="CB187" s="65" t="str">
        <x:f>IF(T187&lt;&gt;"complete","not_evaluated",IF(COUNT(BM187,AT187)&lt;2,"insufficient_data",IF(AND(AC187&lt;&gt;"",COUNT(BP187)=1,BP187&lt;=-0.2),"guardrail_fail",IF(AND(CA187="not_attributable",OR(BV187="high",BN187&gt;=0.2)),"watchlist",IF(CA187&lt;&gt;"attributable","insufficient_data",IF(BN187&gt;=0.2,"win",IF(BN187&lt;=-0.2,"loss","inconclusive")))))))</x:f>
        <x:v>not_evaluated</x:v>
      </x:c>
      <x:c r="CC187" s="65" t="str">
        <x:f>IF(T187&lt;&gt;"complete","COLLECT_MORE_DATA",IF(COUNT(BM187,AT187)&lt;2,"FIX_TRACKING",IF(CB187="guardrail_fail","STOP_VARIANT_GUARDRAIL",IF(CB187="watchlist","WATCHLIST_ONLY",IF(AND(BV187="high",BY187="low"),"KEEP_HOOK_REWRITE_CTA",IF(AND(BW187="high",BX187="low"),"KEEP_STRUCTURE_CHANGE_DISCUSSION_ANGLE",IF(AND(BX187="high",BZ187="low"),"DOWNWEIGHT_TEMPLATE",IF(CB187="win","RETEST_WINNER",IF(CB187="loss","RETURN_TO_BASELINE","COLLECT_MORE_DATA")))))))))</x:f>
        <x:v>COLLECT_MORE_DATA</x:v>
      </x:c>
      <x:c r="CD187" s="75"/>
    </x:row>
    <x:row r="188">
      <x:c r="A188" s="68"/>
      <x:c r="B188" s="69"/>
      <x:c r="C188" s="68"/>
      <x:c r="D188" s="68"/>
      <x:c r="E188" s="68"/>
      <x:c r="F188" s="68"/>
      <x:c r="G188" s="68"/>
      <x:c r="H188" s="70"/>
      <x:c r="I188" s="68"/>
      <x:c r="J188" s="68"/>
      <x:c r="K188" s="68"/>
      <x:c r="L188" s="71" t="str">
        <x:f>IF(K188="","unknown",IF(K188=0,"baseline",IF(K188=1,"pure","mixed")))</x:f>
        <x:v>unknown</x:v>
      </x:c>
      <x:c r="M188" s="68"/>
      <x:c r="N188" s="68"/>
      <x:c r="O188" s="68"/>
      <x:c r="P188" s="68"/>
      <x:c r="Q188" s="68"/>
      <x:c r="R188" s="68"/>
      <x:c r="S188" s="68"/>
      <x:c r="T188" s="68"/>
      <x:c r="U188" s="68"/>
      <x:c r="V188" s="68"/>
      <x:c r="W188" s="68"/>
      <x:c r="X188" s="68"/>
      <x:c r="Y188" s="68"/>
      <x:c r="Z188" s="68"/>
      <x:c r="AA188" s="68"/>
      <x:c r="AB188" s="68"/>
      <x:c r="AC188" s="68"/>
      <x:c r="AD188" s="70"/>
      <x:c r="AE188" s="70"/>
      <x:c r="AF188" s="70"/>
      <x:c r="AG188" s="70"/>
      <x:c r="AH188" s="70"/>
      <x:c r="AI188" s="70"/>
      <x:c r="AJ188" s="70"/>
      <x:c r="AK188" s="70"/>
      <x:c r="AL188" s="70"/>
      <x:c r="AM188" s="70"/>
      <x:c r="AN188" s="70"/>
      <x:c r="AO188" s="70"/>
      <x:c r="AP188" s="70"/>
      <x:c r="AQ188" s="70"/>
      <x:c r="AR188" s="70"/>
      <x:c r="AS188" s="70"/>
      <x:c r="AT188" s="72"/>
      <x:c r="AU188" s="72"/>
      <x:c r="AV188" s="72"/>
      <x:c r="AW188" s="72"/>
      <x:c r="AX188" s="72"/>
      <x:c r="AY188" s="72"/>
      <x:c r="AZ188" s="72"/>
      <x:c r="BA188" s="73" t="str">
        <x:f>IF(C188="xiaohongshu",IF(COUNT(AF188,AE188)&lt;2,"",IFERROR(AF188/AE188,"")),"")</x:f>
      </x:c>
      <x:c r="BB188" s="73" t="str">
        <x:f>IF(C188="xiaohongshu",IF(COUNT(AG188,AE188)&lt;2,"",IFERROR(AG188/AE188,"")),"")</x:f>
      </x:c>
      <x:c r="BC188" s="73" t="str">
        <x:f>IF(C188="xiaohongshu",IF(COUNT(AN188,AE188)&lt;2,"",IFERROR(AN188/AE188,"")),"")</x:f>
      </x:c>
      <x:c r="BD188" s="73" t="str">
        <x:f>IF(C188="xiaohongshu",IF(COUNT(AQ188,AE188)&lt;2,"",IFERROR(AQ188/AE188,"")),"")</x:f>
      </x:c>
      <x:c r="BE188" s="73" t="str">
        <x:f>IF(C188="xiaohongshu",IF(COUNT(AI188,AE188)&lt;2,"",IFERROR(AI188/AE188,"")),"")</x:f>
      </x:c>
      <x:c r="BF188" s="73" t="str">
        <x:f>IF(C188="xiaohongshu",IF(OR(COUNT(AE188)=0,COUNT(AR188,AS188)=0),"",IFERROR((AR188+AS188)/AE188,"")),"")</x:f>
      </x:c>
      <x:c r="BG188" s="73" t="str">
        <x:f>IF(C188="x",IF(COUNT(AD188)=0,"",IF(COUNT(AM188)=1,IFERROR(AM188/AD188,""),IF(COUNT(AH188,AI188,AK188,AL188)=0,"",IFERROR(SUM(AH188,AI188,AK188,AL188)/AD188,"")))),"")</x:f>
      </x:c>
      <x:c r="BH188" s="73" t="str">
        <x:f>IF(C188="x",IF(COUNT(AJ188,AD188)&lt;2,"",IFERROR(AJ188/AD188,"")),"")</x:f>
      </x:c>
      <x:c r="BI188" s="73" t="str">
        <x:f>IF(C188="x",IF(COUNT(AO188,AD188)&lt;2,"",IFERROR(AO188/AD188,"")),"")</x:f>
      </x:c>
      <x:c r="BJ188" s="73" t="str">
        <x:f>IF(C188="x",IF(COUNT(AP188,AD188)&lt;2,"",IFERROR(AP188/AD188,"")),"")</x:f>
      </x:c>
      <x:c r="BK188" s="73" t="str">
        <x:f>IF(C188="x",IF(COUNT(AL188,AD188)&lt;2,"",IFERROR(AL188/AD188,"")),"")</x:f>
      </x:c>
      <x:c r="BL188" s="73" t="str">
        <x:f>IF(C188="x",IF(OR(COUNT(AD188)=0,COUNT(AR188,AS188)=0),"",IFERROR((AR188+AS188)/AD188,"")),"")</x:f>
      </x:c>
      <x:c r="BM188" s="73" t="str">
        <x:f>IF(AB188="xhs_save_rate",BA188,IF(AB188="xhs_completion_rate",BB188,IF(AB188="xhs_profile_visit_rate",BC188,IF(AB188="xhs_dm_intent_rate",BD188,IF(AB188="xhs_discussion_rate",BE188,IF(AB188="xhs_product_relevance_rate",BF188,IF(AB188="x_first_screen_engaged_rate_proxy",BG188,IF(AB188="x_qualified_reply_rate",BH188,IF(AB188="x_profile_click_rate",BI188,IF(AB188="x_link_intent_rate",BJ188,IF(AB188="x_bookmark_rate",BK188,IF(AB188="x_product_relevance_rate",BL188,""))))))))))))</x:f>
      </x:c>
      <x:c r="BN188" s="73" t="str">
        <x:f>IFERROR(BM188/AT188-1,"")</x:f>
      </x:c>
      <x:c r="BO188" s="73" t="str">
        <x:f>IF(AC188="","",IF(AC188="xhs_save_rate",BA188,IF(AC188="xhs_completion_rate",BB188,IF(AC188="xhs_profile_visit_rate",BC188,IF(AC188="xhs_dm_intent_rate",BD188,IF(AC188="xhs_discussion_rate",BE188,IF(AC188="xhs_product_relevance_rate",BF188,IF(AC188="x_first_screen_engaged_rate_proxy",BG188,IF(AC188="x_qualified_reply_rate",BH188,IF(AC188="x_profile_click_rate",BI188,IF(AC188="x_link_intent_rate",BJ188,IF(AC188="x_bookmark_rate",BK188,IF(AC188="x_product_relevance_rate",BL188,"")))))))))))))</x:f>
      </x:c>
      <x:c r="BP188" s="73" t="str">
        <x:f>IFERROR(BO188/AU188-1,"")</x:f>
      </x:c>
      <x:c r="BQ188" s="74" t="str">
        <x:f>IF(COUNT(AD188)=0,"",AD188)</x:f>
      </x:c>
      <x:c r="BR188" s="73" t="str">
        <x:f>IF(C188="xiaohongshu",IF(COUNT(BA188,BB188)=2,AVERAGE(BA188,BB188),IF(COUNT(BA188)=1,BA188,BB188)),BK188)</x:f>
      </x:c>
      <x:c r="BS188" s="73" t="str">
        <x:f>IF(C188="xiaohongshu",BE188,BH188)</x:f>
      </x:c>
      <x:c r="BT188" s="73" t="str">
        <x:f>IF(C188="xiaohongshu",IF(I188="save",BA188,IF(I188="discussion",BE188,IF(I188="profile_visit",BC188,IF(I188="dm",BD188,IF(OR(I188="product_question",I188="trial_intent"),BF188,""))))),IF(I188="save",BK188,IF(I188="discussion",BH188,IF(OR(I188="profile_visit",I188="dm"),BI188,IF(I188="link_click",BJ188,IF(OR(I188="product_question",I188="trial_intent"),BL188,""))))))</x:f>
      </x:c>
      <x:c r="BU188" s="73" t="str">
        <x:f>IF(C188="xiaohongshu",BF188,BL188)</x:f>
      </x:c>
      <x:c r="BV188" s="65" t="str">
        <x:f>IF(COUNT(BQ188,AV188)&lt;2,"unknown",IF(BQ188/AV188-1&gt;=0.2,"high",IF(BQ188/AV188-1&lt;=-0.2,"low","normal")))</x:f>
        <x:v>unknown</x:v>
      </x:c>
      <x:c r="BW188" s="65" t="str">
        <x:f>IF(COUNT(BR188,AW188)&lt;2,"unknown",IF(BR188/AW188-1&gt;=0.2,"high",IF(BR188/AW188-1&lt;=-0.2,"low","normal")))</x:f>
        <x:v>unknown</x:v>
      </x:c>
      <x:c r="BX188" s="65" t="str">
        <x:f>IF(COUNT(BS188,AX188)&lt;2,"unknown",IF(BS188/AX188-1&gt;=0.2,"high",IF(BS188/AX188-1&lt;=-0.2,"low","normal")))</x:f>
        <x:v>unknown</x:v>
      </x:c>
      <x:c r="BY188" s="65" t="str">
        <x:f>IF(COUNT(BT188,AY188)&lt;2,"unknown",IF(BT188/AY188-1&gt;=0.2,"high",IF(BT188/AY188-1&lt;=-0.2,"low","normal")))</x:f>
        <x:v>unknown</x:v>
      </x:c>
      <x:c r="BZ188" s="65" t="str">
        <x:f>IF(COUNT(BU188,AZ188)&lt;2,"unknown",IF(BU188/AZ188-1&gt;=0.2,"high",IF(BU188/AZ188-1&lt;=-0.2,"low","normal")))</x:f>
        <x:v>unknown</x:v>
      </x:c>
      <x:c r="CA188" s="65" t="str">
        <x:f>IF(T188&lt;&gt;"complete","pending",IF(OR(L188&lt;&gt;"pure",U188="true",COUNT(BM188,AT188)&lt;2,AND(AC188&lt;&gt;"",COUNT(BO188,AU188)&lt;2)),"not_attributable","attributable"))</x:f>
        <x:v>pending</x:v>
      </x:c>
      <x:c r="CB188" s="65" t="str">
        <x:f>IF(T188&lt;&gt;"complete","not_evaluated",IF(COUNT(BM188,AT188)&lt;2,"insufficient_data",IF(AND(AC188&lt;&gt;"",COUNT(BP188)=1,BP188&lt;=-0.2),"guardrail_fail",IF(AND(CA188="not_attributable",OR(BV188="high",BN188&gt;=0.2)),"watchlist",IF(CA188&lt;&gt;"attributable","insufficient_data",IF(BN188&gt;=0.2,"win",IF(BN188&lt;=-0.2,"loss","inconclusive")))))))</x:f>
        <x:v>not_evaluated</x:v>
      </x:c>
      <x:c r="CC188" s="65" t="str">
        <x:f>IF(T188&lt;&gt;"complete","COLLECT_MORE_DATA",IF(COUNT(BM188,AT188)&lt;2,"FIX_TRACKING",IF(CB188="guardrail_fail","STOP_VARIANT_GUARDRAIL",IF(CB188="watchlist","WATCHLIST_ONLY",IF(AND(BV188="high",BY188="low"),"KEEP_HOOK_REWRITE_CTA",IF(AND(BW188="high",BX188="low"),"KEEP_STRUCTURE_CHANGE_DISCUSSION_ANGLE",IF(AND(BX188="high",BZ188="low"),"DOWNWEIGHT_TEMPLATE",IF(CB188="win","RETEST_WINNER",IF(CB188="loss","RETURN_TO_BASELINE","COLLECT_MORE_DATA")))))))))</x:f>
        <x:v>COLLECT_MORE_DATA</x:v>
      </x:c>
      <x:c r="CD188" s="75"/>
    </x:row>
    <x:row r="189">
      <x:c r="A189" s="68"/>
      <x:c r="B189" s="69"/>
      <x:c r="C189" s="68"/>
      <x:c r="D189" s="68"/>
      <x:c r="E189" s="68"/>
      <x:c r="F189" s="68"/>
      <x:c r="G189" s="68"/>
      <x:c r="H189" s="70"/>
      <x:c r="I189" s="68"/>
      <x:c r="J189" s="68"/>
      <x:c r="K189" s="68"/>
      <x:c r="L189" s="71" t="str">
        <x:f>IF(K189="","unknown",IF(K189=0,"baseline",IF(K189=1,"pure","mixed")))</x:f>
        <x:v>unknown</x:v>
      </x:c>
      <x:c r="M189" s="68"/>
      <x:c r="N189" s="68"/>
      <x:c r="O189" s="68"/>
      <x:c r="P189" s="68"/>
      <x:c r="Q189" s="68"/>
      <x:c r="R189" s="68"/>
      <x:c r="S189" s="68"/>
      <x:c r="T189" s="68"/>
      <x:c r="U189" s="68"/>
      <x:c r="V189" s="68"/>
      <x:c r="W189" s="68"/>
      <x:c r="X189" s="68"/>
      <x:c r="Y189" s="68"/>
      <x:c r="Z189" s="68"/>
      <x:c r="AA189" s="68"/>
      <x:c r="AB189" s="68"/>
      <x:c r="AC189" s="68"/>
      <x:c r="AD189" s="70"/>
      <x:c r="AE189" s="70"/>
      <x:c r="AF189" s="70"/>
      <x:c r="AG189" s="70"/>
      <x:c r="AH189" s="70"/>
      <x:c r="AI189" s="70"/>
      <x:c r="AJ189" s="70"/>
      <x:c r="AK189" s="70"/>
      <x:c r="AL189" s="70"/>
      <x:c r="AM189" s="70"/>
      <x:c r="AN189" s="70"/>
      <x:c r="AO189" s="70"/>
      <x:c r="AP189" s="70"/>
      <x:c r="AQ189" s="70"/>
      <x:c r="AR189" s="70"/>
      <x:c r="AS189" s="70"/>
      <x:c r="AT189" s="72"/>
      <x:c r="AU189" s="72"/>
      <x:c r="AV189" s="72"/>
      <x:c r="AW189" s="72"/>
      <x:c r="AX189" s="72"/>
      <x:c r="AY189" s="72"/>
      <x:c r="AZ189" s="72"/>
      <x:c r="BA189" s="73" t="str">
        <x:f>IF(C189="xiaohongshu",IF(COUNT(AF189,AE189)&lt;2,"",IFERROR(AF189/AE189,"")),"")</x:f>
      </x:c>
      <x:c r="BB189" s="73" t="str">
        <x:f>IF(C189="xiaohongshu",IF(COUNT(AG189,AE189)&lt;2,"",IFERROR(AG189/AE189,"")),"")</x:f>
      </x:c>
      <x:c r="BC189" s="73" t="str">
        <x:f>IF(C189="xiaohongshu",IF(COUNT(AN189,AE189)&lt;2,"",IFERROR(AN189/AE189,"")),"")</x:f>
      </x:c>
      <x:c r="BD189" s="73" t="str">
        <x:f>IF(C189="xiaohongshu",IF(COUNT(AQ189,AE189)&lt;2,"",IFERROR(AQ189/AE189,"")),"")</x:f>
      </x:c>
      <x:c r="BE189" s="73" t="str">
        <x:f>IF(C189="xiaohongshu",IF(COUNT(AI189,AE189)&lt;2,"",IFERROR(AI189/AE189,"")),"")</x:f>
      </x:c>
      <x:c r="BF189" s="73" t="str">
        <x:f>IF(C189="xiaohongshu",IF(OR(COUNT(AE189)=0,COUNT(AR189,AS189)=0),"",IFERROR((AR189+AS189)/AE189,"")),"")</x:f>
      </x:c>
      <x:c r="BG189" s="73" t="str">
        <x:f>IF(C189="x",IF(COUNT(AD189)=0,"",IF(COUNT(AM189)=1,IFERROR(AM189/AD189,""),IF(COUNT(AH189,AI189,AK189,AL189)=0,"",IFERROR(SUM(AH189,AI189,AK189,AL189)/AD189,"")))),"")</x:f>
      </x:c>
      <x:c r="BH189" s="73" t="str">
        <x:f>IF(C189="x",IF(COUNT(AJ189,AD189)&lt;2,"",IFERROR(AJ189/AD189,"")),"")</x:f>
      </x:c>
      <x:c r="BI189" s="73" t="str">
        <x:f>IF(C189="x",IF(COUNT(AO189,AD189)&lt;2,"",IFERROR(AO189/AD189,"")),"")</x:f>
      </x:c>
      <x:c r="BJ189" s="73" t="str">
        <x:f>IF(C189="x",IF(COUNT(AP189,AD189)&lt;2,"",IFERROR(AP189/AD189,"")),"")</x:f>
      </x:c>
      <x:c r="BK189" s="73" t="str">
        <x:f>IF(C189="x",IF(COUNT(AL189,AD189)&lt;2,"",IFERROR(AL189/AD189,"")),"")</x:f>
      </x:c>
      <x:c r="BL189" s="73" t="str">
        <x:f>IF(C189="x",IF(OR(COUNT(AD189)=0,COUNT(AR189,AS189)=0),"",IFERROR((AR189+AS189)/AD189,"")),"")</x:f>
      </x:c>
      <x:c r="BM189" s="73" t="str">
        <x:f>IF(AB189="xhs_save_rate",BA189,IF(AB189="xhs_completion_rate",BB189,IF(AB189="xhs_profile_visit_rate",BC189,IF(AB189="xhs_dm_intent_rate",BD189,IF(AB189="xhs_discussion_rate",BE189,IF(AB189="xhs_product_relevance_rate",BF189,IF(AB189="x_first_screen_engaged_rate_proxy",BG189,IF(AB189="x_qualified_reply_rate",BH189,IF(AB189="x_profile_click_rate",BI189,IF(AB189="x_link_intent_rate",BJ189,IF(AB189="x_bookmark_rate",BK189,IF(AB189="x_product_relevance_rate",BL189,""))))))))))))</x:f>
      </x:c>
      <x:c r="BN189" s="73" t="str">
        <x:f>IFERROR(BM189/AT189-1,"")</x:f>
      </x:c>
      <x:c r="BO189" s="73" t="str">
        <x:f>IF(AC189="","",IF(AC189="xhs_save_rate",BA189,IF(AC189="xhs_completion_rate",BB189,IF(AC189="xhs_profile_visit_rate",BC189,IF(AC189="xhs_dm_intent_rate",BD189,IF(AC189="xhs_discussion_rate",BE189,IF(AC189="xhs_product_relevance_rate",BF189,IF(AC189="x_first_screen_engaged_rate_proxy",BG189,IF(AC189="x_qualified_reply_rate",BH189,IF(AC189="x_profile_click_rate",BI189,IF(AC189="x_link_intent_rate",BJ189,IF(AC189="x_bookmark_rate",BK189,IF(AC189="x_product_relevance_rate",BL189,"")))))))))))))</x:f>
      </x:c>
      <x:c r="BP189" s="73" t="str">
        <x:f>IFERROR(BO189/AU189-1,"")</x:f>
      </x:c>
      <x:c r="BQ189" s="74" t="str">
        <x:f>IF(COUNT(AD189)=0,"",AD189)</x:f>
      </x:c>
      <x:c r="BR189" s="73" t="str">
        <x:f>IF(C189="xiaohongshu",IF(COUNT(BA189,BB189)=2,AVERAGE(BA189,BB189),IF(COUNT(BA189)=1,BA189,BB189)),BK189)</x:f>
      </x:c>
      <x:c r="BS189" s="73" t="str">
        <x:f>IF(C189="xiaohongshu",BE189,BH189)</x:f>
      </x:c>
      <x:c r="BT189" s="73" t="str">
        <x:f>IF(C189="xiaohongshu",IF(I189="save",BA189,IF(I189="discussion",BE189,IF(I189="profile_visit",BC189,IF(I189="dm",BD189,IF(OR(I189="product_question",I189="trial_intent"),BF189,""))))),IF(I189="save",BK189,IF(I189="discussion",BH189,IF(OR(I189="profile_visit",I189="dm"),BI189,IF(I189="link_click",BJ189,IF(OR(I189="product_question",I189="trial_intent"),BL189,""))))))</x:f>
      </x:c>
      <x:c r="BU189" s="73" t="str">
        <x:f>IF(C189="xiaohongshu",BF189,BL189)</x:f>
      </x:c>
      <x:c r="BV189" s="65" t="str">
        <x:f>IF(COUNT(BQ189,AV189)&lt;2,"unknown",IF(BQ189/AV189-1&gt;=0.2,"high",IF(BQ189/AV189-1&lt;=-0.2,"low","normal")))</x:f>
        <x:v>unknown</x:v>
      </x:c>
      <x:c r="BW189" s="65" t="str">
        <x:f>IF(COUNT(BR189,AW189)&lt;2,"unknown",IF(BR189/AW189-1&gt;=0.2,"high",IF(BR189/AW189-1&lt;=-0.2,"low","normal")))</x:f>
        <x:v>unknown</x:v>
      </x:c>
      <x:c r="BX189" s="65" t="str">
        <x:f>IF(COUNT(BS189,AX189)&lt;2,"unknown",IF(BS189/AX189-1&gt;=0.2,"high",IF(BS189/AX189-1&lt;=-0.2,"low","normal")))</x:f>
        <x:v>unknown</x:v>
      </x:c>
      <x:c r="BY189" s="65" t="str">
        <x:f>IF(COUNT(BT189,AY189)&lt;2,"unknown",IF(BT189/AY189-1&gt;=0.2,"high",IF(BT189/AY189-1&lt;=-0.2,"low","normal")))</x:f>
        <x:v>unknown</x:v>
      </x:c>
      <x:c r="BZ189" s="65" t="str">
        <x:f>IF(COUNT(BU189,AZ189)&lt;2,"unknown",IF(BU189/AZ189-1&gt;=0.2,"high",IF(BU189/AZ189-1&lt;=-0.2,"low","normal")))</x:f>
        <x:v>unknown</x:v>
      </x:c>
      <x:c r="CA189" s="65" t="str">
        <x:f>IF(T189&lt;&gt;"complete","pending",IF(OR(L189&lt;&gt;"pure",U189="true",COUNT(BM189,AT189)&lt;2,AND(AC189&lt;&gt;"",COUNT(BO189,AU189)&lt;2)),"not_attributable","attributable"))</x:f>
        <x:v>pending</x:v>
      </x:c>
      <x:c r="CB189" s="65" t="str">
        <x:f>IF(T189&lt;&gt;"complete","not_evaluated",IF(COUNT(BM189,AT189)&lt;2,"insufficient_data",IF(AND(AC189&lt;&gt;"",COUNT(BP189)=1,BP189&lt;=-0.2),"guardrail_fail",IF(AND(CA189="not_attributable",OR(BV189="high",BN189&gt;=0.2)),"watchlist",IF(CA189&lt;&gt;"attributable","insufficient_data",IF(BN189&gt;=0.2,"win",IF(BN189&lt;=-0.2,"loss","inconclusive")))))))</x:f>
        <x:v>not_evaluated</x:v>
      </x:c>
      <x:c r="CC189" s="65" t="str">
        <x:f>IF(T189&lt;&gt;"complete","COLLECT_MORE_DATA",IF(COUNT(BM189,AT189)&lt;2,"FIX_TRACKING",IF(CB189="guardrail_fail","STOP_VARIANT_GUARDRAIL",IF(CB189="watchlist","WATCHLIST_ONLY",IF(AND(BV189="high",BY189="low"),"KEEP_HOOK_REWRITE_CTA",IF(AND(BW189="high",BX189="low"),"KEEP_STRUCTURE_CHANGE_DISCUSSION_ANGLE",IF(AND(BX189="high",BZ189="low"),"DOWNWEIGHT_TEMPLATE",IF(CB189="win","RETEST_WINNER",IF(CB189="loss","RETURN_TO_BASELINE","COLLECT_MORE_DATA")))))))))</x:f>
        <x:v>COLLECT_MORE_DATA</x:v>
      </x:c>
      <x:c r="CD189" s="75"/>
    </x:row>
    <x:row r="190">
      <x:c r="A190" s="68"/>
      <x:c r="B190" s="69"/>
      <x:c r="C190" s="68"/>
      <x:c r="D190" s="68"/>
      <x:c r="E190" s="68"/>
      <x:c r="F190" s="68"/>
      <x:c r="G190" s="68"/>
      <x:c r="H190" s="70"/>
      <x:c r="I190" s="68"/>
      <x:c r="J190" s="68"/>
      <x:c r="K190" s="68"/>
      <x:c r="L190" s="71" t="str">
        <x:f>IF(K190="","unknown",IF(K190=0,"baseline",IF(K190=1,"pure","mixed")))</x:f>
        <x:v>unknown</x:v>
      </x:c>
      <x:c r="M190" s="68"/>
      <x:c r="N190" s="68"/>
      <x:c r="O190" s="68"/>
      <x:c r="P190" s="68"/>
      <x:c r="Q190" s="68"/>
      <x:c r="R190" s="68"/>
      <x:c r="S190" s="68"/>
      <x:c r="T190" s="68"/>
      <x:c r="U190" s="68"/>
      <x:c r="V190" s="68"/>
      <x:c r="W190" s="68"/>
      <x:c r="X190" s="68"/>
      <x:c r="Y190" s="68"/>
      <x:c r="Z190" s="68"/>
      <x:c r="AA190" s="68"/>
      <x:c r="AB190" s="68"/>
      <x:c r="AC190" s="68"/>
      <x:c r="AD190" s="70"/>
      <x:c r="AE190" s="70"/>
      <x:c r="AF190" s="70"/>
      <x:c r="AG190" s="70"/>
      <x:c r="AH190" s="70"/>
      <x:c r="AI190" s="70"/>
      <x:c r="AJ190" s="70"/>
      <x:c r="AK190" s="70"/>
      <x:c r="AL190" s="70"/>
      <x:c r="AM190" s="70"/>
      <x:c r="AN190" s="70"/>
      <x:c r="AO190" s="70"/>
      <x:c r="AP190" s="70"/>
      <x:c r="AQ190" s="70"/>
      <x:c r="AR190" s="70"/>
      <x:c r="AS190" s="70"/>
      <x:c r="AT190" s="72"/>
      <x:c r="AU190" s="72"/>
      <x:c r="AV190" s="72"/>
      <x:c r="AW190" s="72"/>
      <x:c r="AX190" s="72"/>
      <x:c r="AY190" s="72"/>
      <x:c r="AZ190" s="72"/>
      <x:c r="BA190" s="73" t="str">
        <x:f>IF(C190="xiaohongshu",IF(COUNT(AF190,AE190)&lt;2,"",IFERROR(AF190/AE190,"")),"")</x:f>
      </x:c>
      <x:c r="BB190" s="73" t="str">
        <x:f>IF(C190="xiaohongshu",IF(COUNT(AG190,AE190)&lt;2,"",IFERROR(AG190/AE190,"")),"")</x:f>
      </x:c>
      <x:c r="BC190" s="73" t="str">
        <x:f>IF(C190="xiaohongshu",IF(COUNT(AN190,AE190)&lt;2,"",IFERROR(AN190/AE190,"")),"")</x:f>
      </x:c>
      <x:c r="BD190" s="73" t="str">
        <x:f>IF(C190="xiaohongshu",IF(COUNT(AQ190,AE190)&lt;2,"",IFERROR(AQ190/AE190,"")),"")</x:f>
      </x:c>
      <x:c r="BE190" s="73" t="str">
        <x:f>IF(C190="xiaohongshu",IF(COUNT(AI190,AE190)&lt;2,"",IFERROR(AI190/AE190,"")),"")</x:f>
      </x:c>
      <x:c r="BF190" s="73" t="str">
        <x:f>IF(C190="xiaohongshu",IF(OR(COUNT(AE190)=0,COUNT(AR190,AS190)=0),"",IFERROR((AR190+AS190)/AE190,"")),"")</x:f>
      </x:c>
      <x:c r="BG190" s="73" t="str">
        <x:f>IF(C190="x",IF(COUNT(AD190)=0,"",IF(COUNT(AM190)=1,IFERROR(AM190/AD190,""),IF(COUNT(AH190,AI190,AK190,AL190)=0,"",IFERROR(SUM(AH190,AI190,AK190,AL190)/AD190,"")))),"")</x:f>
      </x:c>
      <x:c r="BH190" s="73" t="str">
        <x:f>IF(C190="x",IF(COUNT(AJ190,AD190)&lt;2,"",IFERROR(AJ190/AD190,"")),"")</x:f>
      </x:c>
      <x:c r="BI190" s="73" t="str">
        <x:f>IF(C190="x",IF(COUNT(AO190,AD190)&lt;2,"",IFERROR(AO190/AD190,"")),"")</x:f>
      </x:c>
      <x:c r="BJ190" s="73" t="str">
        <x:f>IF(C190="x",IF(COUNT(AP190,AD190)&lt;2,"",IFERROR(AP190/AD190,"")),"")</x:f>
      </x:c>
      <x:c r="BK190" s="73" t="str">
        <x:f>IF(C190="x",IF(COUNT(AL190,AD190)&lt;2,"",IFERROR(AL190/AD190,"")),"")</x:f>
      </x:c>
      <x:c r="BL190" s="73" t="str">
        <x:f>IF(C190="x",IF(OR(COUNT(AD190)=0,COUNT(AR190,AS190)=0),"",IFERROR((AR190+AS190)/AD190,"")),"")</x:f>
      </x:c>
      <x:c r="BM190" s="73" t="str">
        <x:f>IF(AB190="xhs_save_rate",BA190,IF(AB190="xhs_completion_rate",BB190,IF(AB190="xhs_profile_visit_rate",BC190,IF(AB190="xhs_dm_intent_rate",BD190,IF(AB190="xhs_discussion_rate",BE190,IF(AB190="xhs_product_relevance_rate",BF190,IF(AB190="x_first_screen_engaged_rate_proxy",BG190,IF(AB190="x_qualified_reply_rate",BH190,IF(AB190="x_profile_click_rate",BI190,IF(AB190="x_link_intent_rate",BJ190,IF(AB190="x_bookmark_rate",BK190,IF(AB190="x_product_relevance_rate",BL190,""))))))))))))</x:f>
      </x:c>
      <x:c r="BN190" s="73" t="str">
        <x:f>IFERROR(BM190/AT190-1,"")</x:f>
      </x:c>
      <x:c r="BO190" s="73" t="str">
        <x:f>IF(AC190="","",IF(AC190="xhs_save_rate",BA190,IF(AC190="xhs_completion_rate",BB190,IF(AC190="xhs_profile_visit_rate",BC190,IF(AC190="xhs_dm_intent_rate",BD190,IF(AC190="xhs_discussion_rate",BE190,IF(AC190="xhs_product_relevance_rate",BF190,IF(AC190="x_first_screen_engaged_rate_proxy",BG190,IF(AC190="x_qualified_reply_rate",BH190,IF(AC190="x_profile_click_rate",BI190,IF(AC190="x_link_intent_rate",BJ190,IF(AC190="x_bookmark_rate",BK190,IF(AC190="x_product_relevance_rate",BL190,"")))))))))))))</x:f>
      </x:c>
      <x:c r="BP190" s="73" t="str">
        <x:f>IFERROR(BO190/AU190-1,"")</x:f>
      </x:c>
      <x:c r="BQ190" s="74" t="str">
        <x:f>IF(COUNT(AD190)=0,"",AD190)</x:f>
      </x:c>
      <x:c r="BR190" s="73" t="str">
        <x:f>IF(C190="xiaohongshu",IF(COUNT(BA190,BB190)=2,AVERAGE(BA190,BB190),IF(COUNT(BA190)=1,BA190,BB190)),BK190)</x:f>
      </x:c>
      <x:c r="BS190" s="73" t="str">
        <x:f>IF(C190="xiaohongshu",BE190,BH190)</x:f>
      </x:c>
      <x:c r="BT190" s="73" t="str">
        <x:f>IF(C190="xiaohongshu",IF(I190="save",BA190,IF(I190="discussion",BE190,IF(I190="profile_visit",BC190,IF(I190="dm",BD190,IF(OR(I190="product_question",I190="trial_intent"),BF190,""))))),IF(I190="save",BK190,IF(I190="discussion",BH190,IF(OR(I190="profile_visit",I190="dm"),BI190,IF(I190="link_click",BJ190,IF(OR(I190="product_question",I190="trial_intent"),BL190,""))))))</x:f>
      </x:c>
      <x:c r="BU190" s="73" t="str">
        <x:f>IF(C190="xiaohongshu",BF190,BL190)</x:f>
      </x:c>
      <x:c r="BV190" s="65" t="str">
        <x:f>IF(COUNT(BQ190,AV190)&lt;2,"unknown",IF(BQ190/AV190-1&gt;=0.2,"high",IF(BQ190/AV190-1&lt;=-0.2,"low","normal")))</x:f>
        <x:v>unknown</x:v>
      </x:c>
      <x:c r="BW190" s="65" t="str">
        <x:f>IF(COUNT(BR190,AW190)&lt;2,"unknown",IF(BR190/AW190-1&gt;=0.2,"high",IF(BR190/AW190-1&lt;=-0.2,"low","normal")))</x:f>
        <x:v>unknown</x:v>
      </x:c>
      <x:c r="BX190" s="65" t="str">
        <x:f>IF(COUNT(BS190,AX190)&lt;2,"unknown",IF(BS190/AX190-1&gt;=0.2,"high",IF(BS190/AX190-1&lt;=-0.2,"low","normal")))</x:f>
        <x:v>unknown</x:v>
      </x:c>
      <x:c r="BY190" s="65" t="str">
        <x:f>IF(COUNT(BT190,AY190)&lt;2,"unknown",IF(BT190/AY190-1&gt;=0.2,"high",IF(BT190/AY190-1&lt;=-0.2,"low","normal")))</x:f>
        <x:v>unknown</x:v>
      </x:c>
      <x:c r="BZ190" s="65" t="str">
        <x:f>IF(COUNT(BU190,AZ190)&lt;2,"unknown",IF(BU190/AZ190-1&gt;=0.2,"high",IF(BU190/AZ190-1&lt;=-0.2,"low","normal")))</x:f>
        <x:v>unknown</x:v>
      </x:c>
      <x:c r="CA190" s="65" t="str">
        <x:f>IF(T190&lt;&gt;"complete","pending",IF(OR(L190&lt;&gt;"pure",U190="true",COUNT(BM190,AT190)&lt;2,AND(AC190&lt;&gt;"",COUNT(BO190,AU190)&lt;2)),"not_attributable","attributable"))</x:f>
        <x:v>pending</x:v>
      </x:c>
      <x:c r="CB190" s="65" t="str">
        <x:f>IF(T190&lt;&gt;"complete","not_evaluated",IF(COUNT(BM190,AT190)&lt;2,"insufficient_data",IF(AND(AC190&lt;&gt;"",COUNT(BP190)=1,BP190&lt;=-0.2),"guardrail_fail",IF(AND(CA190="not_attributable",OR(BV190="high",BN190&gt;=0.2)),"watchlist",IF(CA190&lt;&gt;"attributable","insufficient_data",IF(BN190&gt;=0.2,"win",IF(BN190&lt;=-0.2,"loss","inconclusive")))))))</x:f>
        <x:v>not_evaluated</x:v>
      </x:c>
      <x:c r="CC190" s="65" t="str">
        <x:f>IF(T190&lt;&gt;"complete","COLLECT_MORE_DATA",IF(COUNT(BM190,AT190)&lt;2,"FIX_TRACKING",IF(CB190="guardrail_fail","STOP_VARIANT_GUARDRAIL",IF(CB190="watchlist","WATCHLIST_ONLY",IF(AND(BV190="high",BY190="low"),"KEEP_HOOK_REWRITE_CTA",IF(AND(BW190="high",BX190="low"),"KEEP_STRUCTURE_CHANGE_DISCUSSION_ANGLE",IF(AND(BX190="high",BZ190="low"),"DOWNWEIGHT_TEMPLATE",IF(CB190="win","RETEST_WINNER",IF(CB190="loss","RETURN_TO_BASELINE","COLLECT_MORE_DATA")))))))))</x:f>
        <x:v>COLLECT_MORE_DATA</x:v>
      </x:c>
      <x:c r="CD190" s="75"/>
    </x:row>
    <x:row r="191">
      <x:c r="A191" s="68"/>
      <x:c r="B191" s="69"/>
      <x:c r="C191" s="68"/>
      <x:c r="D191" s="68"/>
      <x:c r="E191" s="68"/>
      <x:c r="F191" s="68"/>
      <x:c r="G191" s="68"/>
      <x:c r="H191" s="70"/>
      <x:c r="I191" s="68"/>
      <x:c r="J191" s="68"/>
      <x:c r="K191" s="68"/>
      <x:c r="L191" s="71" t="str">
        <x:f>IF(K191="","unknown",IF(K191=0,"baseline",IF(K191=1,"pure","mixed")))</x:f>
        <x:v>unknown</x:v>
      </x:c>
      <x:c r="M191" s="68"/>
      <x:c r="N191" s="68"/>
      <x:c r="O191" s="68"/>
      <x:c r="P191" s="68"/>
      <x:c r="Q191" s="68"/>
      <x:c r="R191" s="68"/>
      <x:c r="S191" s="68"/>
      <x:c r="T191" s="68"/>
      <x:c r="U191" s="68"/>
      <x:c r="V191" s="68"/>
      <x:c r="W191" s="68"/>
      <x:c r="X191" s="68"/>
      <x:c r="Y191" s="68"/>
      <x:c r="Z191" s="68"/>
      <x:c r="AA191" s="68"/>
      <x:c r="AB191" s="68"/>
      <x:c r="AC191" s="68"/>
      <x:c r="AD191" s="70"/>
      <x:c r="AE191" s="70"/>
      <x:c r="AF191" s="70"/>
      <x:c r="AG191" s="70"/>
      <x:c r="AH191" s="70"/>
      <x:c r="AI191" s="70"/>
      <x:c r="AJ191" s="70"/>
      <x:c r="AK191" s="70"/>
      <x:c r="AL191" s="70"/>
      <x:c r="AM191" s="70"/>
      <x:c r="AN191" s="70"/>
      <x:c r="AO191" s="70"/>
      <x:c r="AP191" s="70"/>
      <x:c r="AQ191" s="70"/>
      <x:c r="AR191" s="70"/>
      <x:c r="AS191" s="70"/>
      <x:c r="AT191" s="72"/>
      <x:c r="AU191" s="72"/>
      <x:c r="AV191" s="72"/>
      <x:c r="AW191" s="72"/>
      <x:c r="AX191" s="72"/>
      <x:c r="AY191" s="72"/>
      <x:c r="AZ191" s="72"/>
      <x:c r="BA191" s="73" t="str">
        <x:f>IF(C191="xiaohongshu",IF(COUNT(AF191,AE191)&lt;2,"",IFERROR(AF191/AE191,"")),"")</x:f>
      </x:c>
      <x:c r="BB191" s="73" t="str">
        <x:f>IF(C191="xiaohongshu",IF(COUNT(AG191,AE191)&lt;2,"",IFERROR(AG191/AE191,"")),"")</x:f>
      </x:c>
      <x:c r="BC191" s="73" t="str">
        <x:f>IF(C191="xiaohongshu",IF(COUNT(AN191,AE191)&lt;2,"",IFERROR(AN191/AE191,"")),"")</x:f>
      </x:c>
      <x:c r="BD191" s="73" t="str">
        <x:f>IF(C191="xiaohongshu",IF(COUNT(AQ191,AE191)&lt;2,"",IFERROR(AQ191/AE191,"")),"")</x:f>
      </x:c>
      <x:c r="BE191" s="73" t="str">
        <x:f>IF(C191="xiaohongshu",IF(COUNT(AI191,AE191)&lt;2,"",IFERROR(AI191/AE191,"")),"")</x:f>
      </x:c>
      <x:c r="BF191" s="73" t="str">
        <x:f>IF(C191="xiaohongshu",IF(OR(COUNT(AE191)=0,COUNT(AR191,AS191)=0),"",IFERROR((AR191+AS191)/AE191,"")),"")</x:f>
      </x:c>
      <x:c r="BG191" s="73" t="str">
        <x:f>IF(C191="x",IF(COUNT(AD191)=0,"",IF(COUNT(AM191)=1,IFERROR(AM191/AD191,""),IF(COUNT(AH191,AI191,AK191,AL191)=0,"",IFERROR(SUM(AH191,AI191,AK191,AL191)/AD191,"")))),"")</x:f>
      </x:c>
      <x:c r="BH191" s="73" t="str">
        <x:f>IF(C191="x",IF(COUNT(AJ191,AD191)&lt;2,"",IFERROR(AJ191/AD191,"")),"")</x:f>
      </x:c>
      <x:c r="BI191" s="73" t="str">
        <x:f>IF(C191="x",IF(COUNT(AO191,AD191)&lt;2,"",IFERROR(AO191/AD191,"")),"")</x:f>
      </x:c>
      <x:c r="BJ191" s="73" t="str">
        <x:f>IF(C191="x",IF(COUNT(AP191,AD191)&lt;2,"",IFERROR(AP191/AD191,"")),"")</x:f>
      </x:c>
      <x:c r="BK191" s="73" t="str">
        <x:f>IF(C191="x",IF(COUNT(AL191,AD191)&lt;2,"",IFERROR(AL191/AD191,"")),"")</x:f>
      </x:c>
      <x:c r="BL191" s="73" t="str">
        <x:f>IF(C191="x",IF(OR(COUNT(AD191)=0,COUNT(AR191,AS191)=0),"",IFERROR((AR191+AS191)/AD191,"")),"")</x:f>
      </x:c>
      <x:c r="BM191" s="73" t="str">
        <x:f>IF(AB191="xhs_save_rate",BA191,IF(AB191="xhs_completion_rate",BB191,IF(AB191="xhs_profile_visit_rate",BC191,IF(AB191="xhs_dm_intent_rate",BD191,IF(AB191="xhs_discussion_rate",BE191,IF(AB191="xhs_product_relevance_rate",BF191,IF(AB191="x_first_screen_engaged_rate_proxy",BG191,IF(AB191="x_qualified_reply_rate",BH191,IF(AB191="x_profile_click_rate",BI191,IF(AB191="x_link_intent_rate",BJ191,IF(AB191="x_bookmark_rate",BK191,IF(AB191="x_product_relevance_rate",BL191,""))))))))))))</x:f>
      </x:c>
      <x:c r="BN191" s="73" t="str">
        <x:f>IFERROR(BM191/AT191-1,"")</x:f>
      </x:c>
      <x:c r="BO191" s="73" t="str">
        <x:f>IF(AC191="","",IF(AC191="xhs_save_rate",BA191,IF(AC191="xhs_completion_rate",BB191,IF(AC191="xhs_profile_visit_rate",BC191,IF(AC191="xhs_dm_intent_rate",BD191,IF(AC191="xhs_discussion_rate",BE191,IF(AC191="xhs_product_relevance_rate",BF191,IF(AC191="x_first_screen_engaged_rate_proxy",BG191,IF(AC191="x_qualified_reply_rate",BH191,IF(AC191="x_profile_click_rate",BI191,IF(AC191="x_link_intent_rate",BJ191,IF(AC191="x_bookmark_rate",BK191,IF(AC191="x_product_relevance_rate",BL191,"")))))))))))))</x:f>
      </x:c>
      <x:c r="BP191" s="73" t="str">
        <x:f>IFERROR(BO191/AU191-1,"")</x:f>
      </x:c>
      <x:c r="BQ191" s="74" t="str">
        <x:f>IF(COUNT(AD191)=0,"",AD191)</x:f>
      </x:c>
      <x:c r="BR191" s="73" t="str">
        <x:f>IF(C191="xiaohongshu",IF(COUNT(BA191,BB191)=2,AVERAGE(BA191,BB191),IF(COUNT(BA191)=1,BA191,BB191)),BK191)</x:f>
      </x:c>
      <x:c r="BS191" s="73" t="str">
        <x:f>IF(C191="xiaohongshu",BE191,BH191)</x:f>
      </x:c>
      <x:c r="BT191" s="73" t="str">
        <x:f>IF(C191="xiaohongshu",IF(I191="save",BA191,IF(I191="discussion",BE191,IF(I191="profile_visit",BC191,IF(I191="dm",BD191,IF(OR(I191="product_question",I191="trial_intent"),BF191,""))))),IF(I191="save",BK191,IF(I191="discussion",BH191,IF(OR(I191="profile_visit",I191="dm"),BI191,IF(I191="link_click",BJ191,IF(OR(I191="product_question",I191="trial_intent"),BL191,""))))))</x:f>
      </x:c>
      <x:c r="BU191" s="73" t="str">
        <x:f>IF(C191="xiaohongshu",BF191,BL191)</x:f>
      </x:c>
      <x:c r="BV191" s="65" t="str">
        <x:f>IF(COUNT(BQ191,AV191)&lt;2,"unknown",IF(BQ191/AV191-1&gt;=0.2,"high",IF(BQ191/AV191-1&lt;=-0.2,"low","normal")))</x:f>
        <x:v>unknown</x:v>
      </x:c>
      <x:c r="BW191" s="65" t="str">
        <x:f>IF(COUNT(BR191,AW191)&lt;2,"unknown",IF(BR191/AW191-1&gt;=0.2,"high",IF(BR191/AW191-1&lt;=-0.2,"low","normal")))</x:f>
        <x:v>unknown</x:v>
      </x:c>
      <x:c r="BX191" s="65" t="str">
        <x:f>IF(COUNT(BS191,AX191)&lt;2,"unknown",IF(BS191/AX191-1&gt;=0.2,"high",IF(BS191/AX191-1&lt;=-0.2,"low","normal")))</x:f>
        <x:v>unknown</x:v>
      </x:c>
      <x:c r="BY191" s="65" t="str">
        <x:f>IF(COUNT(BT191,AY191)&lt;2,"unknown",IF(BT191/AY191-1&gt;=0.2,"high",IF(BT191/AY191-1&lt;=-0.2,"low","normal")))</x:f>
        <x:v>unknown</x:v>
      </x:c>
      <x:c r="BZ191" s="65" t="str">
        <x:f>IF(COUNT(BU191,AZ191)&lt;2,"unknown",IF(BU191/AZ191-1&gt;=0.2,"high",IF(BU191/AZ191-1&lt;=-0.2,"low","normal")))</x:f>
        <x:v>unknown</x:v>
      </x:c>
      <x:c r="CA191" s="65" t="str">
        <x:f>IF(T191&lt;&gt;"complete","pending",IF(OR(L191&lt;&gt;"pure",U191="true",COUNT(BM191,AT191)&lt;2,AND(AC191&lt;&gt;"",COUNT(BO191,AU191)&lt;2)),"not_attributable","attributable"))</x:f>
        <x:v>pending</x:v>
      </x:c>
      <x:c r="CB191" s="65" t="str">
        <x:f>IF(T191&lt;&gt;"complete","not_evaluated",IF(COUNT(BM191,AT191)&lt;2,"insufficient_data",IF(AND(AC191&lt;&gt;"",COUNT(BP191)=1,BP191&lt;=-0.2),"guardrail_fail",IF(AND(CA191="not_attributable",OR(BV191="high",BN191&gt;=0.2)),"watchlist",IF(CA191&lt;&gt;"attributable","insufficient_data",IF(BN191&gt;=0.2,"win",IF(BN191&lt;=-0.2,"loss","inconclusive")))))))</x:f>
        <x:v>not_evaluated</x:v>
      </x:c>
      <x:c r="CC191" s="65" t="str">
        <x:f>IF(T191&lt;&gt;"complete","COLLECT_MORE_DATA",IF(COUNT(BM191,AT191)&lt;2,"FIX_TRACKING",IF(CB191="guardrail_fail","STOP_VARIANT_GUARDRAIL",IF(CB191="watchlist","WATCHLIST_ONLY",IF(AND(BV191="high",BY191="low"),"KEEP_HOOK_REWRITE_CTA",IF(AND(BW191="high",BX191="low"),"KEEP_STRUCTURE_CHANGE_DISCUSSION_ANGLE",IF(AND(BX191="high",BZ191="low"),"DOWNWEIGHT_TEMPLATE",IF(CB191="win","RETEST_WINNER",IF(CB191="loss","RETURN_TO_BASELINE","COLLECT_MORE_DATA")))))))))</x:f>
        <x:v>COLLECT_MORE_DATA</x:v>
      </x:c>
      <x:c r="CD191" s="75"/>
    </x:row>
    <x:row r="192">
      <x:c r="A192" s="68"/>
      <x:c r="B192" s="69"/>
      <x:c r="C192" s="68"/>
      <x:c r="D192" s="68"/>
      <x:c r="E192" s="68"/>
      <x:c r="F192" s="68"/>
      <x:c r="G192" s="68"/>
      <x:c r="H192" s="70"/>
      <x:c r="I192" s="68"/>
      <x:c r="J192" s="68"/>
      <x:c r="K192" s="68"/>
      <x:c r="L192" s="71" t="str">
        <x:f>IF(K192="","unknown",IF(K192=0,"baseline",IF(K192=1,"pure","mixed")))</x:f>
        <x:v>unknown</x:v>
      </x:c>
      <x:c r="M192" s="68"/>
      <x:c r="N192" s="68"/>
      <x:c r="O192" s="68"/>
      <x:c r="P192" s="68"/>
      <x:c r="Q192" s="68"/>
      <x:c r="R192" s="68"/>
      <x:c r="S192" s="68"/>
      <x:c r="T192" s="68"/>
      <x:c r="U192" s="68"/>
      <x:c r="V192" s="68"/>
      <x:c r="W192" s="68"/>
      <x:c r="X192" s="68"/>
      <x:c r="Y192" s="68"/>
      <x:c r="Z192" s="68"/>
      <x:c r="AA192" s="68"/>
      <x:c r="AB192" s="68"/>
      <x:c r="AC192" s="68"/>
      <x:c r="AD192" s="70"/>
      <x:c r="AE192" s="70"/>
      <x:c r="AF192" s="70"/>
      <x:c r="AG192" s="70"/>
      <x:c r="AH192" s="70"/>
      <x:c r="AI192" s="70"/>
      <x:c r="AJ192" s="70"/>
      <x:c r="AK192" s="70"/>
      <x:c r="AL192" s="70"/>
      <x:c r="AM192" s="70"/>
      <x:c r="AN192" s="70"/>
      <x:c r="AO192" s="70"/>
      <x:c r="AP192" s="70"/>
      <x:c r="AQ192" s="70"/>
      <x:c r="AR192" s="70"/>
      <x:c r="AS192" s="70"/>
      <x:c r="AT192" s="72"/>
      <x:c r="AU192" s="72"/>
      <x:c r="AV192" s="72"/>
      <x:c r="AW192" s="72"/>
      <x:c r="AX192" s="72"/>
      <x:c r="AY192" s="72"/>
      <x:c r="AZ192" s="72"/>
      <x:c r="BA192" s="73" t="str">
        <x:f>IF(C192="xiaohongshu",IF(COUNT(AF192,AE192)&lt;2,"",IFERROR(AF192/AE192,"")),"")</x:f>
      </x:c>
      <x:c r="BB192" s="73" t="str">
        <x:f>IF(C192="xiaohongshu",IF(COUNT(AG192,AE192)&lt;2,"",IFERROR(AG192/AE192,"")),"")</x:f>
      </x:c>
      <x:c r="BC192" s="73" t="str">
        <x:f>IF(C192="xiaohongshu",IF(COUNT(AN192,AE192)&lt;2,"",IFERROR(AN192/AE192,"")),"")</x:f>
      </x:c>
      <x:c r="BD192" s="73" t="str">
        <x:f>IF(C192="xiaohongshu",IF(COUNT(AQ192,AE192)&lt;2,"",IFERROR(AQ192/AE192,"")),"")</x:f>
      </x:c>
      <x:c r="BE192" s="73" t="str">
        <x:f>IF(C192="xiaohongshu",IF(COUNT(AI192,AE192)&lt;2,"",IFERROR(AI192/AE192,"")),"")</x:f>
      </x:c>
      <x:c r="BF192" s="73" t="str">
        <x:f>IF(C192="xiaohongshu",IF(OR(COUNT(AE192)=0,COUNT(AR192,AS192)=0),"",IFERROR((AR192+AS192)/AE192,"")),"")</x:f>
      </x:c>
      <x:c r="BG192" s="73" t="str">
        <x:f>IF(C192="x",IF(COUNT(AD192)=0,"",IF(COUNT(AM192)=1,IFERROR(AM192/AD192,""),IF(COUNT(AH192,AI192,AK192,AL192)=0,"",IFERROR(SUM(AH192,AI192,AK192,AL192)/AD192,"")))),"")</x:f>
      </x:c>
      <x:c r="BH192" s="73" t="str">
        <x:f>IF(C192="x",IF(COUNT(AJ192,AD192)&lt;2,"",IFERROR(AJ192/AD192,"")),"")</x:f>
      </x:c>
      <x:c r="BI192" s="73" t="str">
        <x:f>IF(C192="x",IF(COUNT(AO192,AD192)&lt;2,"",IFERROR(AO192/AD192,"")),"")</x:f>
      </x:c>
      <x:c r="BJ192" s="73" t="str">
        <x:f>IF(C192="x",IF(COUNT(AP192,AD192)&lt;2,"",IFERROR(AP192/AD192,"")),"")</x:f>
      </x:c>
      <x:c r="BK192" s="73" t="str">
        <x:f>IF(C192="x",IF(COUNT(AL192,AD192)&lt;2,"",IFERROR(AL192/AD192,"")),"")</x:f>
      </x:c>
      <x:c r="BL192" s="73" t="str">
        <x:f>IF(C192="x",IF(OR(COUNT(AD192)=0,COUNT(AR192,AS192)=0),"",IFERROR((AR192+AS192)/AD192,"")),"")</x:f>
      </x:c>
      <x:c r="BM192" s="73" t="str">
        <x:f>IF(AB192="xhs_save_rate",BA192,IF(AB192="xhs_completion_rate",BB192,IF(AB192="xhs_profile_visit_rate",BC192,IF(AB192="xhs_dm_intent_rate",BD192,IF(AB192="xhs_discussion_rate",BE192,IF(AB192="xhs_product_relevance_rate",BF192,IF(AB192="x_first_screen_engaged_rate_proxy",BG192,IF(AB192="x_qualified_reply_rate",BH192,IF(AB192="x_profile_click_rate",BI192,IF(AB192="x_link_intent_rate",BJ192,IF(AB192="x_bookmark_rate",BK192,IF(AB192="x_product_relevance_rate",BL192,""))))))))))))</x:f>
      </x:c>
      <x:c r="BN192" s="73" t="str">
        <x:f>IFERROR(BM192/AT192-1,"")</x:f>
      </x:c>
      <x:c r="BO192" s="73" t="str">
        <x:f>IF(AC192="","",IF(AC192="xhs_save_rate",BA192,IF(AC192="xhs_completion_rate",BB192,IF(AC192="xhs_profile_visit_rate",BC192,IF(AC192="xhs_dm_intent_rate",BD192,IF(AC192="xhs_discussion_rate",BE192,IF(AC192="xhs_product_relevance_rate",BF192,IF(AC192="x_first_screen_engaged_rate_proxy",BG192,IF(AC192="x_qualified_reply_rate",BH192,IF(AC192="x_profile_click_rate",BI192,IF(AC192="x_link_intent_rate",BJ192,IF(AC192="x_bookmark_rate",BK192,IF(AC192="x_product_relevance_rate",BL192,"")))))))))))))</x:f>
      </x:c>
      <x:c r="BP192" s="73" t="str">
        <x:f>IFERROR(BO192/AU192-1,"")</x:f>
      </x:c>
      <x:c r="BQ192" s="74" t="str">
        <x:f>IF(COUNT(AD192)=0,"",AD192)</x:f>
      </x:c>
      <x:c r="BR192" s="73" t="str">
        <x:f>IF(C192="xiaohongshu",IF(COUNT(BA192,BB192)=2,AVERAGE(BA192,BB192),IF(COUNT(BA192)=1,BA192,BB192)),BK192)</x:f>
      </x:c>
      <x:c r="BS192" s="73" t="str">
        <x:f>IF(C192="xiaohongshu",BE192,BH192)</x:f>
      </x:c>
      <x:c r="BT192" s="73" t="str">
        <x:f>IF(C192="xiaohongshu",IF(I192="save",BA192,IF(I192="discussion",BE192,IF(I192="profile_visit",BC192,IF(I192="dm",BD192,IF(OR(I192="product_question",I192="trial_intent"),BF192,""))))),IF(I192="save",BK192,IF(I192="discussion",BH192,IF(OR(I192="profile_visit",I192="dm"),BI192,IF(I192="link_click",BJ192,IF(OR(I192="product_question",I192="trial_intent"),BL192,""))))))</x:f>
      </x:c>
      <x:c r="BU192" s="73" t="str">
        <x:f>IF(C192="xiaohongshu",BF192,BL192)</x:f>
      </x:c>
      <x:c r="BV192" s="65" t="str">
        <x:f>IF(COUNT(BQ192,AV192)&lt;2,"unknown",IF(BQ192/AV192-1&gt;=0.2,"high",IF(BQ192/AV192-1&lt;=-0.2,"low","normal")))</x:f>
        <x:v>unknown</x:v>
      </x:c>
      <x:c r="BW192" s="65" t="str">
        <x:f>IF(COUNT(BR192,AW192)&lt;2,"unknown",IF(BR192/AW192-1&gt;=0.2,"high",IF(BR192/AW192-1&lt;=-0.2,"low","normal")))</x:f>
        <x:v>unknown</x:v>
      </x:c>
      <x:c r="BX192" s="65" t="str">
        <x:f>IF(COUNT(BS192,AX192)&lt;2,"unknown",IF(BS192/AX192-1&gt;=0.2,"high",IF(BS192/AX192-1&lt;=-0.2,"low","normal")))</x:f>
        <x:v>unknown</x:v>
      </x:c>
      <x:c r="BY192" s="65" t="str">
        <x:f>IF(COUNT(BT192,AY192)&lt;2,"unknown",IF(BT192/AY192-1&gt;=0.2,"high",IF(BT192/AY192-1&lt;=-0.2,"low","normal")))</x:f>
        <x:v>unknown</x:v>
      </x:c>
      <x:c r="BZ192" s="65" t="str">
        <x:f>IF(COUNT(BU192,AZ192)&lt;2,"unknown",IF(BU192/AZ192-1&gt;=0.2,"high",IF(BU192/AZ192-1&lt;=-0.2,"low","normal")))</x:f>
        <x:v>unknown</x:v>
      </x:c>
      <x:c r="CA192" s="65" t="str">
        <x:f>IF(T192&lt;&gt;"complete","pending",IF(OR(L192&lt;&gt;"pure",U192="true",COUNT(BM192,AT192)&lt;2,AND(AC192&lt;&gt;"",COUNT(BO192,AU192)&lt;2)),"not_attributable","attributable"))</x:f>
        <x:v>pending</x:v>
      </x:c>
      <x:c r="CB192" s="65" t="str">
        <x:f>IF(T192&lt;&gt;"complete","not_evaluated",IF(COUNT(BM192,AT192)&lt;2,"insufficient_data",IF(AND(AC192&lt;&gt;"",COUNT(BP192)=1,BP192&lt;=-0.2),"guardrail_fail",IF(AND(CA192="not_attributable",OR(BV192="high",BN192&gt;=0.2)),"watchlist",IF(CA192&lt;&gt;"attributable","insufficient_data",IF(BN192&gt;=0.2,"win",IF(BN192&lt;=-0.2,"loss","inconclusive")))))))</x:f>
        <x:v>not_evaluated</x:v>
      </x:c>
      <x:c r="CC192" s="65" t="str">
        <x:f>IF(T192&lt;&gt;"complete","COLLECT_MORE_DATA",IF(COUNT(BM192,AT192)&lt;2,"FIX_TRACKING",IF(CB192="guardrail_fail","STOP_VARIANT_GUARDRAIL",IF(CB192="watchlist","WATCHLIST_ONLY",IF(AND(BV192="high",BY192="low"),"KEEP_HOOK_REWRITE_CTA",IF(AND(BW192="high",BX192="low"),"KEEP_STRUCTURE_CHANGE_DISCUSSION_ANGLE",IF(AND(BX192="high",BZ192="low"),"DOWNWEIGHT_TEMPLATE",IF(CB192="win","RETEST_WINNER",IF(CB192="loss","RETURN_TO_BASELINE","COLLECT_MORE_DATA")))))))))</x:f>
        <x:v>COLLECT_MORE_DATA</x:v>
      </x:c>
      <x:c r="CD192" s="75"/>
    </x:row>
    <x:row r="193">
      <x:c r="A193" s="68"/>
      <x:c r="B193" s="69"/>
      <x:c r="C193" s="68"/>
      <x:c r="D193" s="68"/>
      <x:c r="E193" s="68"/>
      <x:c r="F193" s="68"/>
      <x:c r="G193" s="68"/>
      <x:c r="H193" s="70"/>
      <x:c r="I193" s="68"/>
      <x:c r="J193" s="68"/>
      <x:c r="K193" s="68"/>
      <x:c r="L193" s="71" t="str">
        <x:f>IF(K193="","unknown",IF(K193=0,"baseline",IF(K193=1,"pure","mixed")))</x:f>
        <x:v>unknown</x:v>
      </x:c>
      <x:c r="M193" s="68"/>
      <x:c r="N193" s="68"/>
      <x:c r="O193" s="68"/>
      <x:c r="P193" s="68"/>
      <x:c r="Q193" s="68"/>
      <x:c r="R193" s="68"/>
      <x:c r="S193" s="68"/>
      <x:c r="T193" s="68"/>
      <x:c r="U193" s="68"/>
      <x:c r="V193" s="68"/>
      <x:c r="W193" s="68"/>
      <x:c r="X193" s="68"/>
      <x:c r="Y193" s="68"/>
      <x:c r="Z193" s="68"/>
      <x:c r="AA193" s="68"/>
      <x:c r="AB193" s="68"/>
      <x:c r="AC193" s="68"/>
      <x:c r="AD193" s="70"/>
      <x:c r="AE193" s="70"/>
      <x:c r="AF193" s="70"/>
      <x:c r="AG193" s="70"/>
      <x:c r="AH193" s="70"/>
      <x:c r="AI193" s="70"/>
      <x:c r="AJ193" s="70"/>
      <x:c r="AK193" s="70"/>
      <x:c r="AL193" s="70"/>
      <x:c r="AM193" s="70"/>
      <x:c r="AN193" s="70"/>
      <x:c r="AO193" s="70"/>
      <x:c r="AP193" s="70"/>
      <x:c r="AQ193" s="70"/>
      <x:c r="AR193" s="70"/>
      <x:c r="AS193" s="70"/>
      <x:c r="AT193" s="72"/>
      <x:c r="AU193" s="72"/>
      <x:c r="AV193" s="72"/>
      <x:c r="AW193" s="72"/>
      <x:c r="AX193" s="72"/>
      <x:c r="AY193" s="72"/>
      <x:c r="AZ193" s="72"/>
      <x:c r="BA193" s="73" t="str">
        <x:f>IF(C193="xiaohongshu",IF(COUNT(AF193,AE193)&lt;2,"",IFERROR(AF193/AE193,"")),"")</x:f>
      </x:c>
      <x:c r="BB193" s="73" t="str">
        <x:f>IF(C193="xiaohongshu",IF(COUNT(AG193,AE193)&lt;2,"",IFERROR(AG193/AE193,"")),"")</x:f>
      </x:c>
      <x:c r="BC193" s="73" t="str">
        <x:f>IF(C193="xiaohongshu",IF(COUNT(AN193,AE193)&lt;2,"",IFERROR(AN193/AE193,"")),"")</x:f>
      </x:c>
      <x:c r="BD193" s="73" t="str">
        <x:f>IF(C193="xiaohongshu",IF(COUNT(AQ193,AE193)&lt;2,"",IFERROR(AQ193/AE193,"")),"")</x:f>
      </x:c>
      <x:c r="BE193" s="73" t="str">
        <x:f>IF(C193="xiaohongshu",IF(COUNT(AI193,AE193)&lt;2,"",IFERROR(AI193/AE193,"")),"")</x:f>
      </x:c>
      <x:c r="BF193" s="73" t="str">
        <x:f>IF(C193="xiaohongshu",IF(OR(COUNT(AE193)=0,COUNT(AR193,AS193)=0),"",IFERROR((AR193+AS193)/AE193,"")),"")</x:f>
      </x:c>
      <x:c r="BG193" s="73" t="str">
        <x:f>IF(C193="x",IF(COUNT(AD193)=0,"",IF(COUNT(AM193)=1,IFERROR(AM193/AD193,""),IF(COUNT(AH193,AI193,AK193,AL193)=0,"",IFERROR(SUM(AH193,AI193,AK193,AL193)/AD193,"")))),"")</x:f>
      </x:c>
      <x:c r="BH193" s="73" t="str">
        <x:f>IF(C193="x",IF(COUNT(AJ193,AD193)&lt;2,"",IFERROR(AJ193/AD193,"")),"")</x:f>
      </x:c>
      <x:c r="BI193" s="73" t="str">
        <x:f>IF(C193="x",IF(COUNT(AO193,AD193)&lt;2,"",IFERROR(AO193/AD193,"")),"")</x:f>
      </x:c>
      <x:c r="BJ193" s="73" t="str">
        <x:f>IF(C193="x",IF(COUNT(AP193,AD193)&lt;2,"",IFERROR(AP193/AD193,"")),"")</x:f>
      </x:c>
      <x:c r="BK193" s="73" t="str">
        <x:f>IF(C193="x",IF(COUNT(AL193,AD193)&lt;2,"",IFERROR(AL193/AD193,"")),"")</x:f>
      </x:c>
      <x:c r="BL193" s="73" t="str">
        <x:f>IF(C193="x",IF(OR(COUNT(AD193)=0,COUNT(AR193,AS193)=0),"",IFERROR((AR193+AS193)/AD193,"")),"")</x:f>
      </x:c>
      <x:c r="BM193" s="73" t="str">
        <x:f>IF(AB193="xhs_save_rate",BA193,IF(AB193="xhs_completion_rate",BB193,IF(AB193="xhs_profile_visit_rate",BC193,IF(AB193="xhs_dm_intent_rate",BD193,IF(AB193="xhs_discussion_rate",BE193,IF(AB193="xhs_product_relevance_rate",BF193,IF(AB193="x_first_screen_engaged_rate_proxy",BG193,IF(AB193="x_qualified_reply_rate",BH193,IF(AB193="x_profile_click_rate",BI193,IF(AB193="x_link_intent_rate",BJ193,IF(AB193="x_bookmark_rate",BK193,IF(AB193="x_product_relevance_rate",BL193,""))))))))))))</x:f>
      </x:c>
      <x:c r="BN193" s="73" t="str">
        <x:f>IFERROR(BM193/AT193-1,"")</x:f>
      </x:c>
      <x:c r="BO193" s="73" t="str">
        <x:f>IF(AC193="","",IF(AC193="xhs_save_rate",BA193,IF(AC193="xhs_completion_rate",BB193,IF(AC193="xhs_profile_visit_rate",BC193,IF(AC193="xhs_dm_intent_rate",BD193,IF(AC193="xhs_discussion_rate",BE193,IF(AC193="xhs_product_relevance_rate",BF193,IF(AC193="x_first_screen_engaged_rate_proxy",BG193,IF(AC193="x_qualified_reply_rate",BH193,IF(AC193="x_profile_click_rate",BI193,IF(AC193="x_link_intent_rate",BJ193,IF(AC193="x_bookmark_rate",BK193,IF(AC193="x_product_relevance_rate",BL193,"")))))))))))))</x:f>
      </x:c>
      <x:c r="BP193" s="73" t="str">
        <x:f>IFERROR(BO193/AU193-1,"")</x:f>
      </x:c>
      <x:c r="BQ193" s="74" t="str">
        <x:f>IF(COUNT(AD193)=0,"",AD193)</x:f>
      </x:c>
      <x:c r="BR193" s="73" t="str">
        <x:f>IF(C193="xiaohongshu",IF(COUNT(BA193,BB193)=2,AVERAGE(BA193,BB193),IF(COUNT(BA193)=1,BA193,BB193)),BK193)</x:f>
      </x:c>
      <x:c r="BS193" s="73" t="str">
        <x:f>IF(C193="xiaohongshu",BE193,BH193)</x:f>
      </x:c>
      <x:c r="BT193" s="73" t="str">
        <x:f>IF(C193="xiaohongshu",IF(I193="save",BA193,IF(I193="discussion",BE193,IF(I193="profile_visit",BC193,IF(I193="dm",BD193,IF(OR(I193="product_question",I193="trial_intent"),BF193,""))))),IF(I193="save",BK193,IF(I193="discussion",BH193,IF(OR(I193="profile_visit",I193="dm"),BI193,IF(I193="link_click",BJ193,IF(OR(I193="product_question",I193="trial_intent"),BL193,""))))))</x:f>
      </x:c>
      <x:c r="BU193" s="73" t="str">
        <x:f>IF(C193="xiaohongshu",BF193,BL193)</x:f>
      </x:c>
      <x:c r="BV193" s="65" t="str">
        <x:f>IF(COUNT(BQ193,AV193)&lt;2,"unknown",IF(BQ193/AV193-1&gt;=0.2,"high",IF(BQ193/AV193-1&lt;=-0.2,"low","normal")))</x:f>
        <x:v>unknown</x:v>
      </x:c>
      <x:c r="BW193" s="65" t="str">
        <x:f>IF(COUNT(BR193,AW193)&lt;2,"unknown",IF(BR193/AW193-1&gt;=0.2,"high",IF(BR193/AW193-1&lt;=-0.2,"low","normal")))</x:f>
        <x:v>unknown</x:v>
      </x:c>
      <x:c r="BX193" s="65" t="str">
        <x:f>IF(COUNT(BS193,AX193)&lt;2,"unknown",IF(BS193/AX193-1&gt;=0.2,"high",IF(BS193/AX193-1&lt;=-0.2,"low","normal")))</x:f>
        <x:v>unknown</x:v>
      </x:c>
      <x:c r="BY193" s="65" t="str">
        <x:f>IF(COUNT(BT193,AY193)&lt;2,"unknown",IF(BT193/AY193-1&gt;=0.2,"high",IF(BT193/AY193-1&lt;=-0.2,"low","normal")))</x:f>
        <x:v>unknown</x:v>
      </x:c>
      <x:c r="BZ193" s="65" t="str">
        <x:f>IF(COUNT(BU193,AZ193)&lt;2,"unknown",IF(BU193/AZ193-1&gt;=0.2,"high",IF(BU193/AZ193-1&lt;=-0.2,"low","normal")))</x:f>
        <x:v>unknown</x:v>
      </x:c>
      <x:c r="CA193" s="65" t="str">
        <x:f>IF(T193&lt;&gt;"complete","pending",IF(OR(L193&lt;&gt;"pure",U193="true",COUNT(BM193,AT193)&lt;2,AND(AC193&lt;&gt;"",COUNT(BO193,AU193)&lt;2)),"not_attributable","attributable"))</x:f>
        <x:v>pending</x:v>
      </x:c>
      <x:c r="CB193" s="65" t="str">
        <x:f>IF(T193&lt;&gt;"complete","not_evaluated",IF(COUNT(BM193,AT193)&lt;2,"insufficient_data",IF(AND(AC193&lt;&gt;"",COUNT(BP193)=1,BP193&lt;=-0.2),"guardrail_fail",IF(AND(CA193="not_attributable",OR(BV193="high",BN193&gt;=0.2)),"watchlist",IF(CA193&lt;&gt;"attributable","insufficient_data",IF(BN193&gt;=0.2,"win",IF(BN193&lt;=-0.2,"loss","inconclusive")))))))</x:f>
        <x:v>not_evaluated</x:v>
      </x:c>
      <x:c r="CC193" s="65" t="str">
        <x:f>IF(T193&lt;&gt;"complete","COLLECT_MORE_DATA",IF(COUNT(BM193,AT193)&lt;2,"FIX_TRACKING",IF(CB193="guardrail_fail","STOP_VARIANT_GUARDRAIL",IF(CB193="watchlist","WATCHLIST_ONLY",IF(AND(BV193="high",BY193="low"),"KEEP_HOOK_REWRITE_CTA",IF(AND(BW193="high",BX193="low"),"KEEP_STRUCTURE_CHANGE_DISCUSSION_ANGLE",IF(AND(BX193="high",BZ193="low"),"DOWNWEIGHT_TEMPLATE",IF(CB193="win","RETEST_WINNER",IF(CB193="loss","RETURN_TO_BASELINE","COLLECT_MORE_DATA")))))))))</x:f>
        <x:v>COLLECT_MORE_DATA</x:v>
      </x:c>
      <x:c r="CD193" s="75"/>
    </x:row>
    <x:row r="194">
      <x:c r="A194" s="68"/>
      <x:c r="B194" s="69"/>
      <x:c r="C194" s="68"/>
      <x:c r="D194" s="68"/>
      <x:c r="E194" s="68"/>
      <x:c r="F194" s="68"/>
      <x:c r="G194" s="68"/>
      <x:c r="H194" s="70"/>
      <x:c r="I194" s="68"/>
      <x:c r="J194" s="68"/>
      <x:c r="K194" s="68"/>
      <x:c r="L194" s="71" t="str">
        <x:f>IF(K194="","unknown",IF(K194=0,"baseline",IF(K194=1,"pure","mixed")))</x:f>
        <x:v>unknown</x:v>
      </x:c>
      <x:c r="M194" s="68"/>
      <x:c r="N194" s="68"/>
      <x:c r="O194" s="68"/>
      <x:c r="P194" s="68"/>
      <x:c r="Q194" s="68"/>
      <x:c r="R194" s="68"/>
      <x:c r="S194" s="68"/>
      <x:c r="T194" s="68"/>
      <x:c r="U194" s="68"/>
      <x:c r="V194" s="68"/>
      <x:c r="W194" s="68"/>
      <x:c r="X194" s="68"/>
      <x:c r="Y194" s="68"/>
      <x:c r="Z194" s="68"/>
      <x:c r="AA194" s="68"/>
      <x:c r="AB194" s="68"/>
      <x:c r="AC194" s="68"/>
      <x:c r="AD194" s="70"/>
      <x:c r="AE194" s="70"/>
      <x:c r="AF194" s="70"/>
      <x:c r="AG194" s="70"/>
      <x:c r="AH194" s="70"/>
      <x:c r="AI194" s="70"/>
      <x:c r="AJ194" s="70"/>
      <x:c r="AK194" s="70"/>
      <x:c r="AL194" s="70"/>
      <x:c r="AM194" s="70"/>
      <x:c r="AN194" s="70"/>
      <x:c r="AO194" s="70"/>
      <x:c r="AP194" s="70"/>
      <x:c r="AQ194" s="70"/>
      <x:c r="AR194" s="70"/>
      <x:c r="AS194" s="70"/>
      <x:c r="AT194" s="72"/>
      <x:c r="AU194" s="72"/>
      <x:c r="AV194" s="72"/>
      <x:c r="AW194" s="72"/>
      <x:c r="AX194" s="72"/>
      <x:c r="AY194" s="72"/>
      <x:c r="AZ194" s="72"/>
      <x:c r="BA194" s="73" t="str">
        <x:f>IF(C194="xiaohongshu",IF(COUNT(AF194,AE194)&lt;2,"",IFERROR(AF194/AE194,"")),"")</x:f>
      </x:c>
      <x:c r="BB194" s="73" t="str">
        <x:f>IF(C194="xiaohongshu",IF(COUNT(AG194,AE194)&lt;2,"",IFERROR(AG194/AE194,"")),"")</x:f>
      </x:c>
      <x:c r="BC194" s="73" t="str">
        <x:f>IF(C194="xiaohongshu",IF(COUNT(AN194,AE194)&lt;2,"",IFERROR(AN194/AE194,"")),"")</x:f>
      </x:c>
      <x:c r="BD194" s="73" t="str">
        <x:f>IF(C194="xiaohongshu",IF(COUNT(AQ194,AE194)&lt;2,"",IFERROR(AQ194/AE194,"")),"")</x:f>
      </x:c>
      <x:c r="BE194" s="73" t="str">
        <x:f>IF(C194="xiaohongshu",IF(COUNT(AI194,AE194)&lt;2,"",IFERROR(AI194/AE194,"")),"")</x:f>
      </x:c>
      <x:c r="BF194" s="73" t="str">
        <x:f>IF(C194="xiaohongshu",IF(OR(COUNT(AE194)=0,COUNT(AR194,AS194)=0),"",IFERROR((AR194+AS194)/AE194,"")),"")</x:f>
      </x:c>
      <x:c r="BG194" s="73" t="str">
        <x:f>IF(C194="x",IF(COUNT(AD194)=0,"",IF(COUNT(AM194)=1,IFERROR(AM194/AD194,""),IF(COUNT(AH194,AI194,AK194,AL194)=0,"",IFERROR(SUM(AH194,AI194,AK194,AL194)/AD194,"")))),"")</x:f>
      </x:c>
      <x:c r="BH194" s="73" t="str">
        <x:f>IF(C194="x",IF(COUNT(AJ194,AD194)&lt;2,"",IFERROR(AJ194/AD194,"")),"")</x:f>
      </x:c>
      <x:c r="BI194" s="73" t="str">
        <x:f>IF(C194="x",IF(COUNT(AO194,AD194)&lt;2,"",IFERROR(AO194/AD194,"")),"")</x:f>
      </x:c>
      <x:c r="BJ194" s="73" t="str">
        <x:f>IF(C194="x",IF(COUNT(AP194,AD194)&lt;2,"",IFERROR(AP194/AD194,"")),"")</x:f>
      </x:c>
      <x:c r="BK194" s="73" t="str">
        <x:f>IF(C194="x",IF(COUNT(AL194,AD194)&lt;2,"",IFERROR(AL194/AD194,"")),"")</x:f>
      </x:c>
      <x:c r="BL194" s="73" t="str">
        <x:f>IF(C194="x",IF(OR(COUNT(AD194)=0,COUNT(AR194,AS194)=0),"",IFERROR((AR194+AS194)/AD194,"")),"")</x:f>
      </x:c>
      <x:c r="BM194" s="73" t="str">
        <x:f>IF(AB194="xhs_save_rate",BA194,IF(AB194="xhs_completion_rate",BB194,IF(AB194="xhs_profile_visit_rate",BC194,IF(AB194="xhs_dm_intent_rate",BD194,IF(AB194="xhs_discussion_rate",BE194,IF(AB194="xhs_product_relevance_rate",BF194,IF(AB194="x_first_screen_engaged_rate_proxy",BG194,IF(AB194="x_qualified_reply_rate",BH194,IF(AB194="x_profile_click_rate",BI194,IF(AB194="x_link_intent_rate",BJ194,IF(AB194="x_bookmark_rate",BK194,IF(AB194="x_product_relevance_rate",BL194,""))))))))))))</x:f>
      </x:c>
      <x:c r="BN194" s="73" t="str">
        <x:f>IFERROR(BM194/AT194-1,"")</x:f>
      </x:c>
      <x:c r="BO194" s="73" t="str">
        <x:f>IF(AC194="","",IF(AC194="xhs_save_rate",BA194,IF(AC194="xhs_completion_rate",BB194,IF(AC194="xhs_profile_visit_rate",BC194,IF(AC194="xhs_dm_intent_rate",BD194,IF(AC194="xhs_discussion_rate",BE194,IF(AC194="xhs_product_relevance_rate",BF194,IF(AC194="x_first_screen_engaged_rate_proxy",BG194,IF(AC194="x_qualified_reply_rate",BH194,IF(AC194="x_profile_click_rate",BI194,IF(AC194="x_link_intent_rate",BJ194,IF(AC194="x_bookmark_rate",BK194,IF(AC194="x_product_relevance_rate",BL194,"")))))))))))))</x:f>
      </x:c>
      <x:c r="BP194" s="73" t="str">
        <x:f>IFERROR(BO194/AU194-1,"")</x:f>
      </x:c>
      <x:c r="BQ194" s="74" t="str">
        <x:f>IF(COUNT(AD194)=0,"",AD194)</x:f>
      </x:c>
      <x:c r="BR194" s="73" t="str">
        <x:f>IF(C194="xiaohongshu",IF(COUNT(BA194,BB194)=2,AVERAGE(BA194,BB194),IF(COUNT(BA194)=1,BA194,BB194)),BK194)</x:f>
      </x:c>
      <x:c r="BS194" s="73" t="str">
        <x:f>IF(C194="xiaohongshu",BE194,BH194)</x:f>
      </x:c>
      <x:c r="BT194" s="73" t="str">
        <x:f>IF(C194="xiaohongshu",IF(I194="save",BA194,IF(I194="discussion",BE194,IF(I194="profile_visit",BC194,IF(I194="dm",BD194,IF(OR(I194="product_question",I194="trial_intent"),BF194,""))))),IF(I194="save",BK194,IF(I194="discussion",BH194,IF(OR(I194="profile_visit",I194="dm"),BI194,IF(I194="link_click",BJ194,IF(OR(I194="product_question",I194="trial_intent"),BL194,""))))))</x:f>
      </x:c>
      <x:c r="BU194" s="73" t="str">
        <x:f>IF(C194="xiaohongshu",BF194,BL194)</x:f>
      </x:c>
      <x:c r="BV194" s="65" t="str">
        <x:f>IF(COUNT(BQ194,AV194)&lt;2,"unknown",IF(BQ194/AV194-1&gt;=0.2,"high",IF(BQ194/AV194-1&lt;=-0.2,"low","normal")))</x:f>
        <x:v>unknown</x:v>
      </x:c>
      <x:c r="BW194" s="65" t="str">
        <x:f>IF(COUNT(BR194,AW194)&lt;2,"unknown",IF(BR194/AW194-1&gt;=0.2,"high",IF(BR194/AW194-1&lt;=-0.2,"low","normal")))</x:f>
        <x:v>unknown</x:v>
      </x:c>
      <x:c r="BX194" s="65" t="str">
        <x:f>IF(COUNT(BS194,AX194)&lt;2,"unknown",IF(BS194/AX194-1&gt;=0.2,"high",IF(BS194/AX194-1&lt;=-0.2,"low","normal")))</x:f>
        <x:v>unknown</x:v>
      </x:c>
      <x:c r="BY194" s="65" t="str">
        <x:f>IF(COUNT(BT194,AY194)&lt;2,"unknown",IF(BT194/AY194-1&gt;=0.2,"high",IF(BT194/AY194-1&lt;=-0.2,"low","normal")))</x:f>
        <x:v>unknown</x:v>
      </x:c>
      <x:c r="BZ194" s="65" t="str">
        <x:f>IF(COUNT(BU194,AZ194)&lt;2,"unknown",IF(BU194/AZ194-1&gt;=0.2,"high",IF(BU194/AZ194-1&lt;=-0.2,"low","normal")))</x:f>
        <x:v>unknown</x:v>
      </x:c>
      <x:c r="CA194" s="65" t="str">
        <x:f>IF(T194&lt;&gt;"complete","pending",IF(OR(L194&lt;&gt;"pure",U194="true",COUNT(BM194,AT194)&lt;2,AND(AC194&lt;&gt;"",COUNT(BO194,AU194)&lt;2)),"not_attributable","attributable"))</x:f>
        <x:v>pending</x:v>
      </x:c>
      <x:c r="CB194" s="65" t="str">
        <x:f>IF(T194&lt;&gt;"complete","not_evaluated",IF(COUNT(BM194,AT194)&lt;2,"insufficient_data",IF(AND(AC194&lt;&gt;"",COUNT(BP194)=1,BP194&lt;=-0.2),"guardrail_fail",IF(AND(CA194="not_attributable",OR(BV194="high",BN194&gt;=0.2)),"watchlist",IF(CA194&lt;&gt;"attributable","insufficient_data",IF(BN194&gt;=0.2,"win",IF(BN194&lt;=-0.2,"loss","inconclusive")))))))</x:f>
        <x:v>not_evaluated</x:v>
      </x:c>
      <x:c r="CC194" s="65" t="str">
        <x:f>IF(T194&lt;&gt;"complete","COLLECT_MORE_DATA",IF(COUNT(BM194,AT194)&lt;2,"FIX_TRACKING",IF(CB194="guardrail_fail","STOP_VARIANT_GUARDRAIL",IF(CB194="watchlist","WATCHLIST_ONLY",IF(AND(BV194="high",BY194="low"),"KEEP_HOOK_REWRITE_CTA",IF(AND(BW194="high",BX194="low"),"KEEP_STRUCTURE_CHANGE_DISCUSSION_ANGLE",IF(AND(BX194="high",BZ194="low"),"DOWNWEIGHT_TEMPLATE",IF(CB194="win","RETEST_WINNER",IF(CB194="loss","RETURN_TO_BASELINE","COLLECT_MORE_DATA")))))))))</x:f>
        <x:v>COLLECT_MORE_DATA</x:v>
      </x:c>
      <x:c r="CD194" s="75"/>
    </x:row>
    <x:row r="195">
      <x:c r="A195" s="68"/>
      <x:c r="B195" s="69"/>
      <x:c r="C195" s="68"/>
      <x:c r="D195" s="68"/>
      <x:c r="E195" s="68"/>
      <x:c r="F195" s="68"/>
      <x:c r="G195" s="68"/>
      <x:c r="H195" s="70"/>
      <x:c r="I195" s="68"/>
      <x:c r="J195" s="68"/>
      <x:c r="K195" s="68"/>
      <x:c r="L195" s="71" t="str">
        <x:f>IF(K195="","unknown",IF(K195=0,"baseline",IF(K195=1,"pure","mixed")))</x:f>
        <x:v>unknown</x:v>
      </x:c>
      <x:c r="M195" s="68"/>
      <x:c r="N195" s="68"/>
      <x:c r="O195" s="68"/>
      <x:c r="P195" s="68"/>
      <x:c r="Q195" s="68"/>
      <x:c r="R195" s="68"/>
      <x:c r="S195" s="68"/>
      <x:c r="T195" s="68"/>
      <x:c r="U195" s="68"/>
      <x:c r="V195" s="68"/>
      <x:c r="W195" s="68"/>
      <x:c r="X195" s="68"/>
      <x:c r="Y195" s="68"/>
      <x:c r="Z195" s="68"/>
      <x:c r="AA195" s="68"/>
      <x:c r="AB195" s="68"/>
      <x:c r="AC195" s="68"/>
      <x:c r="AD195" s="70"/>
      <x:c r="AE195" s="70"/>
      <x:c r="AF195" s="70"/>
      <x:c r="AG195" s="70"/>
      <x:c r="AH195" s="70"/>
      <x:c r="AI195" s="70"/>
      <x:c r="AJ195" s="70"/>
      <x:c r="AK195" s="70"/>
      <x:c r="AL195" s="70"/>
      <x:c r="AM195" s="70"/>
      <x:c r="AN195" s="70"/>
      <x:c r="AO195" s="70"/>
      <x:c r="AP195" s="70"/>
      <x:c r="AQ195" s="70"/>
      <x:c r="AR195" s="70"/>
      <x:c r="AS195" s="70"/>
      <x:c r="AT195" s="72"/>
      <x:c r="AU195" s="72"/>
      <x:c r="AV195" s="72"/>
      <x:c r="AW195" s="72"/>
      <x:c r="AX195" s="72"/>
      <x:c r="AY195" s="72"/>
      <x:c r="AZ195" s="72"/>
      <x:c r="BA195" s="73" t="str">
        <x:f>IF(C195="xiaohongshu",IF(COUNT(AF195,AE195)&lt;2,"",IFERROR(AF195/AE195,"")),"")</x:f>
      </x:c>
      <x:c r="BB195" s="73" t="str">
        <x:f>IF(C195="xiaohongshu",IF(COUNT(AG195,AE195)&lt;2,"",IFERROR(AG195/AE195,"")),"")</x:f>
      </x:c>
      <x:c r="BC195" s="73" t="str">
        <x:f>IF(C195="xiaohongshu",IF(COUNT(AN195,AE195)&lt;2,"",IFERROR(AN195/AE195,"")),"")</x:f>
      </x:c>
      <x:c r="BD195" s="73" t="str">
        <x:f>IF(C195="xiaohongshu",IF(COUNT(AQ195,AE195)&lt;2,"",IFERROR(AQ195/AE195,"")),"")</x:f>
      </x:c>
      <x:c r="BE195" s="73" t="str">
        <x:f>IF(C195="xiaohongshu",IF(COUNT(AI195,AE195)&lt;2,"",IFERROR(AI195/AE195,"")),"")</x:f>
      </x:c>
      <x:c r="BF195" s="73" t="str">
        <x:f>IF(C195="xiaohongshu",IF(OR(COUNT(AE195)=0,COUNT(AR195,AS195)=0),"",IFERROR((AR195+AS195)/AE195,"")),"")</x:f>
      </x:c>
      <x:c r="BG195" s="73" t="str">
        <x:f>IF(C195="x",IF(COUNT(AD195)=0,"",IF(COUNT(AM195)=1,IFERROR(AM195/AD195,""),IF(COUNT(AH195,AI195,AK195,AL195)=0,"",IFERROR(SUM(AH195,AI195,AK195,AL195)/AD195,"")))),"")</x:f>
      </x:c>
      <x:c r="BH195" s="73" t="str">
        <x:f>IF(C195="x",IF(COUNT(AJ195,AD195)&lt;2,"",IFERROR(AJ195/AD195,"")),"")</x:f>
      </x:c>
      <x:c r="BI195" s="73" t="str">
        <x:f>IF(C195="x",IF(COUNT(AO195,AD195)&lt;2,"",IFERROR(AO195/AD195,"")),"")</x:f>
      </x:c>
      <x:c r="BJ195" s="73" t="str">
        <x:f>IF(C195="x",IF(COUNT(AP195,AD195)&lt;2,"",IFERROR(AP195/AD195,"")),"")</x:f>
      </x:c>
      <x:c r="BK195" s="73" t="str">
        <x:f>IF(C195="x",IF(COUNT(AL195,AD195)&lt;2,"",IFERROR(AL195/AD195,"")),"")</x:f>
      </x:c>
      <x:c r="BL195" s="73" t="str">
        <x:f>IF(C195="x",IF(OR(COUNT(AD195)=0,COUNT(AR195,AS195)=0),"",IFERROR((AR195+AS195)/AD195,"")),"")</x:f>
      </x:c>
      <x:c r="BM195" s="73" t="str">
        <x:f>IF(AB195="xhs_save_rate",BA195,IF(AB195="xhs_completion_rate",BB195,IF(AB195="xhs_profile_visit_rate",BC195,IF(AB195="xhs_dm_intent_rate",BD195,IF(AB195="xhs_discussion_rate",BE195,IF(AB195="xhs_product_relevance_rate",BF195,IF(AB195="x_first_screen_engaged_rate_proxy",BG195,IF(AB195="x_qualified_reply_rate",BH195,IF(AB195="x_profile_click_rate",BI195,IF(AB195="x_link_intent_rate",BJ195,IF(AB195="x_bookmark_rate",BK195,IF(AB195="x_product_relevance_rate",BL195,""))))))))))))</x:f>
      </x:c>
      <x:c r="BN195" s="73" t="str">
        <x:f>IFERROR(BM195/AT195-1,"")</x:f>
      </x:c>
      <x:c r="BO195" s="73" t="str">
        <x:f>IF(AC195="","",IF(AC195="xhs_save_rate",BA195,IF(AC195="xhs_completion_rate",BB195,IF(AC195="xhs_profile_visit_rate",BC195,IF(AC195="xhs_dm_intent_rate",BD195,IF(AC195="xhs_discussion_rate",BE195,IF(AC195="xhs_product_relevance_rate",BF195,IF(AC195="x_first_screen_engaged_rate_proxy",BG195,IF(AC195="x_qualified_reply_rate",BH195,IF(AC195="x_profile_click_rate",BI195,IF(AC195="x_link_intent_rate",BJ195,IF(AC195="x_bookmark_rate",BK195,IF(AC195="x_product_relevance_rate",BL195,"")))))))))))))</x:f>
      </x:c>
      <x:c r="BP195" s="73" t="str">
        <x:f>IFERROR(BO195/AU195-1,"")</x:f>
      </x:c>
      <x:c r="BQ195" s="74" t="str">
        <x:f>IF(COUNT(AD195)=0,"",AD195)</x:f>
      </x:c>
      <x:c r="BR195" s="73" t="str">
        <x:f>IF(C195="xiaohongshu",IF(COUNT(BA195,BB195)=2,AVERAGE(BA195,BB195),IF(COUNT(BA195)=1,BA195,BB195)),BK195)</x:f>
      </x:c>
      <x:c r="BS195" s="73" t="str">
        <x:f>IF(C195="xiaohongshu",BE195,BH195)</x:f>
      </x:c>
      <x:c r="BT195" s="73" t="str">
        <x:f>IF(C195="xiaohongshu",IF(I195="save",BA195,IF(I195="discussion",BE195,IF(I195="profile_visit",BC195,IF(I195="dm",BD195,IF(OR(I195="product_question",I195="trial_intent"),BF195,""))))),IF(I195="save",BK195,IF(I195="discussion",BH195,IF(OR(I195="profile_visit",I195="dm"),BI195,IF(I195="link_click",BJ195,IF(OR(I195="product_question",I195="trial_intent"),BL195,""))))))</x:f>
      </x:c>
      <x:c r="BU195" s="73" t="str">
        <x:f>IF(C195="xiaohongshu",BF195,BL195)</x:f>
      </x:c>
      <x:c r="BV195" s="65" t="str">
        <x:f>IF(COUNT(BQ195,AV195)&lt;2,"unknown",IF(BQ195/AV195-1&gt;=0.2,"high",IF(BQ195/AV195-1&lt;=-0.2,"low","normal")))</x:f>
        <x:v>unknown</x:v>
      </x:c>
      <x:c r="BW195" s="65" t="str">
        <x:f>IF(COUNT(BR195,AW195)&lt;2,"unknown",IF(BR195/AW195-1&gt;=0.2,"high",IF(BR195/AW195-1&lt;=-0.2,"low","normal")))</x:f>
        <x:v>unknown</x:v>
      </x:c>
      <x:c r="BX195" s="65" t="str">
        <x:f>IF(COUNT(BS195,AX195)&lt;2,"unknown",IF(BS195/AX195-1&gt;=0.2,"high",IF(BS195/AX195-1&lt;=-0.2,"low","normal")))</x:f>
        <x:v>unknown</x:v>
      </x:c>
      <x:c r="BY195" s="65" t="str">
        <x:f>IF(COUNT(BT195,AY195)&lt;2,"unknown",IF(BT195/AY195-1&gt;=0.2,"high",IF(BT195/AY195-1&lt;=-0.2,"low","normal")))</x:f>
        <x:v>unknown</x:v>
      </x:c>
      <x:c r="BZ195" s="65" t="str">
        <x:f>IF(COUNT(BU195,AZ195)&lt;2,"unknown",IF(BU195/AZ195-1&gt;=0.2,"high",IF(BU195/AZ195-1&lt;=-0.2,"low","normal")))</x:f>
        <x:v>unknown</x:v>
      </x:c>
      <x:c r="CA195" s="65" t="str">
        <x:f>IF(T195&lt;&gt;"complete","pending",IF(OR(L195&lt;&gt;"pure",U195="true",COUNT(BM195,AT195)&lt;2,AND(AC195&lt;&gt;"",COUNT(BO195,AU195)&lt;2)),"not_attributable","attributable"))</x:f>
        <x:v>pending</x:v>
      </x:c>
      <x:c r="CB195" s="65" t="str">
        <x:f>IF(T195&lt;&gt;"complete","not_evaluated",IF(COUNT(BM195,AT195)&lt;2,"insufficient_data",IF(AND(AC195&lt;&gt;"",COUNT(BP195)=1,BP195&lt;=-0.2),"guardrail_fail",IF(AND(CA195="not_attributable",OR(BV195="high",BN195&gt;=0.2)),"watchlist",IF(CA195&lt;&gt;"attributable","insufficient_data",IF(BN195&gt;=0.2,"win",IF(BN195&lt;=-0.2,"loss","inconclusive")))))))</x:f>
        <x:v>not_evaluated</x:v>
      </x:c>
      <x:c r="CC195" s="65" t="str">
        <x:f>IF(T195&lt;&gt;"complete","COLLECT_MORE_DATA",IF(COUNT(BM195,AT195)&lt;2,"FIX_TRACKING",IF(CB195="guardrail_fail","STOP_VARIANT_GUARDRAIL",IF(CB195="watchlist","WATCHLIST_ONLY",IF(AND(BV195="high",BY195="low"),"KEEP_HOOK_REWRITE_CTA",IF(AND(BW195="high",BX195="low"),"KEEP_STRUCTURE_CHANGE_DISCUSSION_ANGLE",IF(AND(BX195="high",BZ195="low"),"DOWNWEIGHT_TEMPLATE",IF(CB195="win","RETEST_WINNER",IF(CB195="loss","RETURN_TO_BASELINE","COLLECT_MORE_DATA")))))))))</x:f>
        <x:v>COLLECT_MORE_DATA</x:v>
      </x:c>
      <x:c r="CD195" s="75"/>
    </x:row>
    <x:row r="196">
      <x:c r="A196" s="68"/>
      <x:c r="B196" s="69"/>
      <x:c r="C196" s="68"/>
      <x:c r="D196" s="68"/>
      <x:c r="E196" s="68"/>
      <x:c r="F196" s="68"/>
      <x:c r="G196" s="68"/>
      <x:c r="H196" s="70"/>
      <x:c r="I196" s="68"/>
      <x:c r="J196" s="68"/>
      <x:c r="K196" s="68"/>
      <x:c r="L196" s="71" t="str">
        <x:f>IF(K196="","unknown",IF(K196=0,"baseline",IF(K196=1,"pure","mixed")))</x:f>
        <x:v>unknown</x:v>
      </x:c>
      <x:c r="M196" s="68"/>
      <x:c r="N196" s="68"/>
      <x:c r="O196" s="68"/>
      <x:c r="P196" s="68"/>
      <x:c r="Q196" s="68"/>
      <x:c r="R196" s="68"/>
      <x:c r="S196" s="68"/>
      <x:c r="T196" s="68"/>
      <x:c r="U196" s="68"/>
      <x:c r="V196" s="68"/>
      <x:c r="W196" s="68"/>
      <x:c r="X196" s="68"/>
      <x:c r="Y196" s="68"/>
      <x:c r="Z196" s="68"/>
      <x:c r="AA196" s="68"/>
      <x:c r="AB196" s="68"/>
      <x:c r="AC196" s="68"/>
      <x:c r="AD196" s="70"/>
      <x:c r="AE196" s="70"/>
      <x:c r="AF196" s="70"/>
      <x:c r="AG196" s="70"/>
      <x:c r="AH196" s="70"/>
      <x:c r="AI196" s="70"/>
      <x:c r="AJ196" s="70"/>
      <x:c r="AK196" s="70"/>
      <x:c r="AL196" s="70"/>
      <x:c r="AM196" s="70"/>
      <x:c r="AN196" s="70"/>
      <x:c r="AO196" s="70"/>
      <x:c r="AP196" s="70"/>
      <x:c r="AQ196" s="70"/>
      <x:c r="AR196" s="70"/>
      <x:c r="AS196" s="70"/>
      <x:c r="AT196" s="72"/>
      <x:c r="AU196" s="72"/>
      <x:c r="AV196" s="72"/>
      <x:c r="AW196" s="72"/>
      <x:c r="AX196" s="72"/>
      <x:c r="AY196" s="72"/>
      <x:c r="AZ196" s="72"/>
      <x:c r="BA196" s="73" t="str">
        <x:f>IF(C196="xiaohongshu",IF(COUNT(AF196,AE196)&lt;2,"",IFERROR(AF196/AE196,"")),"")</x:f>
      </x:c>
      <x:c r="BB196" s="73" t="str">
        <x:f>IF(C196="xiaohongshu",IF(COUNT(AG196,AE196)&lt;2,"",IFERROR(AG196/AE196,"")),"")</x:f>
      </x:c>
      <x:c r="BC196" s="73" t="str">
        <x:f>IF(C196="xiaohongshu",IF(COUNT(AN196,AE196)&lt;2,"",IFERROR(AN196/AE196,"")),"")</x:f>
      </x:c>
      <x:c r="BD196" s="73" t="str">
        <x:f>IF(C196="xiaohongshu",IF(COUNT(AQ196,AE196)&lt;2,"",IFERROR(AQ196/AE196,"")),"")</x:f>
      </x:c>
      <x:c r="BE196" s="73" t="str">
        <x:f>IF(C196="xiaohongshu",IF(COUNT(AI196,AE196)&lt;2,"",IFERROR(AI196/AE196,"")),"")</x:f>
      </x:c>
      <x:c r="BF196" s="73" t="str">
        <x:f>IF(C196="xiaohongshu",IF(OR(COUNT(AE196)=0,COUNT(AR196,AS196)=0),"",IFERROR((AR196+AS196)/AE196,"")),"")</x:f>
      </x:c>
      <x:c r="BG196" s="73" t="str">
        <x:f>IF(C196="x",IF(COUNT(AD196)=0,"",IF(COUNT(AM196)=1,IFERROR(AM196/AD196,""),IF(COUNT(AH196,AI196,AK196,AL196)=0,"",IFERROR(SUM(AH196,AI196,AK196,AL196)/AD196,"")))),"")</x:f>
      </x:c>
      <x:c r="BH196" s="73" t="str">
        <x:f>IF(C196="x",IF(COUNT(AJ196,AD196)&lt;2,"",IFERROR(AJ196/AD196,"")),"")</x:f>
      </x:c>
      <x:c r="BI196" s="73" t="str">
        <x:f>IF(C196="x",IF(COUNT(AO196,AD196)&lt;2,"",IFERROR(AO196/AD196,"")),"")</x:f>
      </x:c>
      <x:c r="BJ196" s="73" t="str">
        <x:f>IF(C196="x",IF(COUNT(AP196,AD196)&lt;2,"",IFERROR(AP196/AD196,"")),"")</x:f>
      </x:c>
      <x:c r="BK196" s="73" t="str">
        <x:f>IF(C196="x",IF(COUNT(AL196,AD196)&lt;2,"",IFERROR(AL196/AD196,"")),"")</x:f>
      </x:c>
      <x:c r="BL196" s="73" t="str">
        <x:f>IF(C196="x",IF(OR(COUNT(AD196)=0,COUNT(AR196,AS196)=0),"",IFERROR((AR196+AS196)/AD196,"")),"")</x:f>
      </x:c>
      <x:c r="BM196" s="73" t="str">
        <x:f>IF(AB196="xhs_save_rate",BA196,IF(AB196="xhs_completion_rate",BB196,IF(AB196="xhs_profile_visit_rate",BC196,IF(AB196="xhs_dm_intent_rate",BD196,IF(AB196="xhs_discussion_rate",BE196,IF(AB196="xhs_product_relevance_rate",BF196,IF(AB196="x_first_screen_engaged_rate_proxy",BG196,IF(AB196="x_qualified_reply_rate",BH196,IF(AB196="x_profile_click_rate",BI196,IF(AB196="x_link_intent_rate",BJ196,IF(AB196="x_bookmark_rate",BK196,IF(AB196="x_product_relevance_rate",BL196,""))))))))))))</x:f>
      </x:c>
      <x:c r="BN196" s="73" t="str">
        <x:f>IFERROR(BM196/AT196-1,"")</x:f>
      </x:c>
      <x:c r="BO196" s="73" t="str">
        <x:f>IF(AC196="","",IF(AC196="xhs_save_rate",BA196,IF(AC196="xhs_completion_rate",BB196,IF(AC196="xhs_profile_visit_rate",BC196,IF(AC196="xhs_dm_intent_rate",BD196,IF(AC196="xhs_discussion_rate",BE196,IF(AC196="xhs_product_relevance_rate",BF196,IF(AC196="x_first_screen_engaged_rate_proxy",BG196,IF(AC196="x_qualified_reply_rate",BH196,IF(AC196="x_profile_click_rate",BI196,IF(AC196="x_link_intent_rate",BJ196,IF(AC196="x_bookmark_rate",BK196,IF(AC196="x_product_relevance_rate",BL196,"")))))))))))))</x:f>
      </x:c>
      <x:c r="BP196" s="73" t="str">
        <x:f>IFERROR(BO196/AU196-1,"")</x:f>
      </x:c>
      <x:c r="BQ196" s="74" t="str">
        <x:f>IF(COUNT(AD196)=0,"",AD196)</x:f>
      </x:c>
      <x:c r="BR196" s="73" t="str">
        <x:f>IF(C196="xiaohongshu",IF(COUNT(BA196,BB196)=2,AVERAGE(BA196,BB196),IF(COUNT(BA196)=1,BA196,BB196)),BK196)</x:f>
      </x:c>
      <x:c r="BS196" s="73" t="str">
        <x:f>IF(C196="xiaohongshu",BE196,BH196)</x:f>
      </x:c>
      <x:c r="BT196" s="73" t="str">
        <x:f>IF(C196="xiaohongshu",IF(I196="save",BA196,IF(I196="discussion",BE196,IF(I196="profile_visit",BC196,IF(I196="dm",BD196,IF(OR(I196="product_question",I196="trial_intent"),BF196,""))))),IF(I196="save",BK196,IF(I196="discussion",BH196,IF(OR(I196="profile_visit",I196="dm"),BI196,IF(I196="link_click",BJ196,IF(OR(I196="product_question",I196="trial_intent"),BL196,""))))))</x:f>
      </x:c>
      <x:c r="BU196" s="73" t="str">
        <x:f>IF(C196="xiaohongshu",BF196,BL196)</x:f>
      </x:c>
      <x:c r="BV196" s="65" t="str">
        <x:f>IF(COUNT(BQ196,AV196)&lt;2,"unknown",IF(BQ196/AV196-1&gt;=0.2,"high",IF(BQ196/AV196-1&lt;=-0.2,"low","normal")))</x:f>
        <x:v>unknown</x:v>
      </x:c>
      <x:c r="BW196" s="65" t="str">
        <x:f>IF(COUNT(BR196,AW196)&lt;2,"unknown",IF(BR196/AW196-1&gt;=0.2,"high",IF(BR196/AW196-1&lt;=-0.2,"low","normal")))</x:f>
        <x:v>unknown</x:v>
      </x:c>
      <x:c r="BX196" s="65" t="str">
        <x:f>IF(COUNT(BS196,AX196)&lt;2,"unknown",IF(BS196/AX196-1&gt;=0.2,"high",IF(BS196/AX196-1&lt;=-0.2,"low","normal")))</x:f>
        <x:v>unknown</x:v>
      </x:c>
      <x:c r="BY196" s="65" t="str">
        <x:f>IF(COUNT(BT196,AY196)&lt;2,"unknown",IF(BT196/AY196-1&gt;=0.2,"high",IF(BT196/AY196-1&lt;=-0.2,"low","normal")))</x:f>
        <x:v>unknown</x:v>
      </x:c>
      <x:c r="BZ196" s="65" t="str">
        <x:f>IF(COUNT(BU196,AZ196)&lt;2,"unknown",IF(BU196/AZ196-1&gt;=0.2,"high",IF(BU196/AZ196-1&lt;=-0.2,"low","normal")))</x:f>
        <x:v>unknown</x:v>
      </x:c>
      <x:c r="CA196" s="65" t="str">
        <x:f>IF(T196&lt;&gt;"complete","pending",IF(OR(L196&lt;&gt;"pure",U196="true",COUNT(BM196,AT196)&lt;2,AND(AC196&lt;&gt;"",COUNT(BO196,AU196)&lt;2)),"not_attributable","attributable"))</x:f>
        <x:v>pending</x:v>
      </x:c>
      <x:c r="CB196" s="65" t="str">
        <x:f>IF(T196&lt;&gt;"complete","not_evaluated",IF(COUNT(BM196,AT196)&lt;2,"insufficient_data",IF(AND(AC196&lt;&gt;"",COUNT(BP196)=1,BP196&lt;=-0.2),"guardrail_fail",IF(AND(CA196="not_attributable",OR(BV196="high",BN196&gt;=0.2)),"watchlist",IF(CA196&lt;&gt;"attributable","insufficient_data",IF(BN196&gt;=0.2,"win",IF(BN196&lt;=-0.2,"loss","inconclusive")))))))</x:f>
        <x:v>not_evaluated</x:v>
      </x:c>
      <x:c r="CC196" s="65" t="str">
        <x:f>IF(T196&lt;&gt;"complete","COLLECT_MORE_DATA",IF(COUNT(BM196,AT196)&lt;2,"FIX_TRACKING",IF(CB196="guardrail_fail","STOP_VARIANT_GUARDRAIL",IF(CB196="watchlist","WATCHLIST_ONLY",IF(AND(BV196="high",BY196="low"),"KEEP_HOOK_REWRITE_CTA",IF(AND(BW196="high",BX196="low"),"KEEP_STRUCTURE_CHANGE_DISCUSSION_ANGLE",IF(AND(BX196="high",BZ196="low"),"DOWNWEIGHT_TEMPLATE",IF(CB196="win","RETEST_WINNER",IF(CB196="loss","RETURN_TO_BASELINE","COLLECT_MORE_DATA")))))))))</x:f>
        <x:v>COLLECT_MORE_DATA</x:v>
      </x:c>
      <x:c r="CD196" s="75"/>
    </x:row>
    <x:row r="197">
      <x:c r="A197" s="68"/>
      <x:c r="B197" s="69"/>
      <x:c r="C197" s="68"/>
      <x:c r="D197" s="68"/>
      <x:c r="E197" s="68"/>
      <x:c r="F197" s="68"/>
      <x:c r="G197" s="68"/>
      <x:c r="H197" s="70"/>
      <x:c r="I197" s="68"/>
      <x:c r="J197" s="68"/>
      <x:c r="K197" s="68"/>
      <x:c r="L197" s="71" t="str">
        <x:f>IF(K197="","unknown",IF(K197=0,"baseline",IF(K197=1,"pure","mixed")))</x:f>
        <x:v>unknown</x:v>
      </x:c>
      <x:c r="M197" s="68"/>
      <x:c r="N197" s="68"/>
      <x:c r="O197" s="68"/>
      <x:c r="P197" s="68"/>
      <x:c r="Q197" s="68"/>
      <x:c r="R197" s="68"/>
      <x:c r="S197" s="68"/>
      <x:c r="T197" s="68"/>
      <x:c r="U197" s="68"/>
      <x:c r="V197" s="68"/>
      <x:c r="W197" s="68"/>
      <x:c r="X197" s="68"/>
      <x:c r="Y197" s="68"/>
      <x:c r="Z197" s="68"/>
      <x:c r="AA197" s="68"/>
      <x:c r="AB197" s="68"/>
      <x:c r="AC197" s="68"/>
      <x:c r="AD197" s="70"/>
      <x:c r="AE197" s="70"/>
      <x:c r="AF197" s="70"/>
      <x:c r="AG197" s="70"/>
      <x:c r="AH197" s="70"/>
      <x:c r="AI197" s="70"/>
      <x:c r="AJ197" s="70"/>
      <x:c r="AK197" s="70"/>
      <x:c r="AL197" s="70"/>
      <x:c r="AM197" s="70"/>
      <x:c r="AN197" s="70"/>
      <x:c r="AO197" s="70"/>
      <x:c r="AP197" s="70"/>
      <x:c r="AQ197" s="70"/>
      <x:c r="AR197" s="70"/>
      <x:c r="AS197" s="70"/>
      <x:c r="AT197" s="72"/>
      <x:c r="AU197" s="72"/>
      <x:c r="AV197" s="72"/>
      <x:c r="AW197" s="72"/>
      <x:c r="AX197" s="72"/>
      <x:c r="AY197" s="72"/>
      <x:c r="AZ197" s="72"/>
      <x:c r="BA197" s="73" t="str">
        <x:f>IF(C197="xiaohongshu",IF(COUNT(AF197,AE197)&lt;2,"",IFERROR(AF197/AE197,"")),"")</x:f>
      </x:c>
      <x:c r="BB197" s="73" t="str">
        <x:f>IF(C197="xiaohongshu",IF(COUNT(AG197,AE197)&lt;2,"",IFERROR(AG197/AE197,"")),"")</x:f>
      </x:c>
      <x:c r="BC197" s="73" t="str">
        <x:f>IF(C197="xiaohongshu",IF(COUNT(AN197,AE197)&lt;2,"",IFERROR(AN197/AE197,"")),"")</x:f>
      </x:c>
      <x:c r="BD197" s="73" t="str">
        <x:f>IF(C197="xiaohongshu",IF(COUNT(AQ197,AE197)&lt;2,"",IFERROR(AQ197/AE197,"")),"")</x:f>
      </x:c>
      <x:c r="BE197" s="73" t="str">
        <x:f>IF(C197="xiaohongshu",IF(COUNT(AI197,AE197)&lt;2,"",IFERROR(AI197/AE197,"")),"")</x:f>
      </x:c>
      <x:c r="BF197" s="73" t="str">
        <x:f>IF(C197="xiaohongshu",IF(OR(COUNT(AE197)=0,COUNT(AR197,AS197)=0),"",IFERROR((AR197+AS197)/AE197,"")),"")</x:f>
      </x:c>
      <x:c r="BG197" s="73" t="str">
        <x:f>IF(C197="x",IF(COUNT(AD197)=0,"",IF(COUNT(AM197)=1,IFERROR(AM197/AD197,""),IF(COUNT(AH197,AI197,AK197,AL197)=0,"",IFERROR(SUM(AH197,AI197,AK197,AL197)/AD197,"")))),"")</x:f>
      </x:c>
      <x:c r="BH197" s="73" t="str">
        <x:f>IF(C197="x",IF(COUNT(AJ197,AD197)&lt;2,"",IFERROR(AJ197/AD197,"")),"")</x:f>
      </x:c>
      <x:c r="BI197" s="73" t="str">
        <x:f>IF(C197="x",IF(COUNT(AO197,AD197)&lt;2,"",IFERROR(AO197/AD197,"")),"")</x:f>
      </x:c>
      <x:c r="BJ197" s="73" t="str">
        <x:f>IF(C197="x",IF(COUNT(AP197,AD197)&lt;2,"",IFERROR(AP197/AD197,"")),"")</x:f>
      </x:c>
      <x:c r="BK197" s="73" t="str">
        <x:f>IF(C197="x",IF(COUNT(AL197,AD197)&lt;2,"",IFERROR(AL197/AD197,"")),"")</x:f>
      </x:c>
      <x:c r="BL197" s="73" t="str">
        <x:f>IF(C197="x",IF(OR(COUNT(AD197)=0,COUNT(AR197,AS197)=0),"",IFERROR((AR197+AS197)/AD197,"")),"")</x:f>
      </x:c>
      <x:c r="BM197" s="73" t="str">
        <x:f>IF(AB197="xhs_save_rate",BA197,IF(AB197="xhs_completion_rate",BB197,IF(AB197="xhs_profile_visit_rate",BC197,IF(AB197="xhs_dm_intent_rate",BD197,IF(AB197="xhs_discussion_rate",BE197,IF(AB197="xhs_product_relevance_rate",BF197,IF(AB197="x_first_screen_engaged_rate_proxy",BG197,IF(AB197="x_qualified_reply_rate",BH197,IF(AB197="x_profile_click_rate",BI197,IF(AB197="x_link_intent_rate",BJ197,IF(AB197="x_bookmark_rate",BK197,IF(AB197="x_product_relevance_rate",BL197,""))))))))))))</x:f>
      </x:c>
      <x:c r="BN197" s="73" t="str">
        <x:f>IFERROR(BM197/AT197-1,"")</x:f>
      </x:c>
      <x:c r="BO197" s="73" t="str">
        <x:f>IF(AC197="","",IF(AC197="xhs_save_rate",BA197,IF(AC197="xhs_completion_rate",BB197,IF(AC197="xhs_profile_visit_rate",BC197,IF(AC197="xhs_dm_intent_rate",BD197,IF(AC197="xhs_discussion_rate",BE197,IF(AC197="xhs_product_relevance_rate",BF197,IF(AC197="x_first_screen_engaged_rate_proxy",BG197,IF(AC197="x_qualified_reply_rate",BH197,IF(AC197="x_profile_click_rate",BI197,IF(AC197="x_link_intent_rate",BJ197,IF(AC197="x_bookmark_rate",BK197,IF(AC197="x_product_relevance_rate",BL197,"")))))))))))))</x:f>
      </x:c>
      <x:c r="BP197" s="73" t="str">
        <x:f>IFERROR(BO197/AU197-1,"")</x:f>
      </x:c>
      <x:c r="BQ197" s="74" t="str">
        <x:f>IF(COUNT(AD197)=0,"",AD197)</x:f>
      </x:c>
      <x:c r="BR197" s="73" t="str">
        <x:f>IF(C197="xiaohongshu",IF(COUNT(BA197,BB197)=2,AVERAGE(BA197,BB197),IF(COUNT(BA197)=1,BA197,BB197)),BK197)</x:f>
      </x:c>
      <x:c r="BS197" s="73" t="str">
        <x:f>IF(C197="xiaohongshu",BE197,BH197)</x:f>
      </x:c>
      <x:c r="BT197" s="73" t="str">
        <x:f>IF(C197="xiaohongshu",IF(I197="save",BA197,IF(I197="discussion",BE197,IF(I197="profile_visit",BC197,IF(I197="dm",BD197,IF(OR(I197="product_question",I197="trial_intent"),BF197,""))))),IF(I197="save",BK197,IF(I197="discussion",BH197,IF(OR(I197="profile_visit",I197="dm"),BI197,IF(I197="link_click",BJ197,IF(OR(I197="product_question",I197="trial_intent"),BL197,""))))))</x:f>
      </x:c>
      <x:c r="BU197" s="73" t="str">
        <x:f>IF(C197="xiaohongshu",BF197,BL197)</x:f>
      </x:c>
      <x:c r="BV197" s="65" t="str">
        <x:f>IF(COUNT(BQ197,AV197)&lt;2,"unknown",IF(BQ197/AV197-1&gt;=0.2,"high",IF(BQ197/AV197-1&lt;=-0.2,"low","normal")))</x:f>
        <x:v>unknown</x:v>
      </x:c>
      <x:c r="BW197" s="65" t="str">
        <x:f>IF(COUNT(BR197,AW197)&lt;2,"unknown",IF(BR197/AW197-1&gt;=0.2,"high",IF(BR197/AW197-1&lt;=-0.2,"low","normal")))</x:f>
        <x:v>unknown</x:v>
      </x:c>
      <x:c r="BX197" s="65" t="str">
        <x:f>IF(COUNT(BS197,AX197)&lt;2,"unknown",IF(BS197/AX197-1&gt;=0.2,"high",IF(BS197/AX197-1&lt;=-0.2,"low","normal")))</x:f>
        <x:v>unknown</x:v>
      </x:c>
      <x:c r="BY197" s="65" t="str">
        <x:f>IF(COUNT(BT197,AY197)&lt;2,"unknown",IF(BT197/AY197-1&gt;=0.2,"high",IF(BT197/AY197-1&lt;=-0.2,"low","normal")))</x:f>
        <x:v>unknown</x:v>
      </x:c>
      <x:c r="BZ197" s="65" t="str">
        <x:f>IF(COUNT(BU197,AZ197)&lt;2,"unknown",IF(BU197/AZ197-1&gt;=0.2,"high",IF(BU197/AZ197-1&lt;=-0.2,"low","normal")))</x:f>
        <x:v>unknown</x:v>
      </x:c>
      <x:c r="CA197" s="65" t="str">
        <x:f>IF(T197&lt;&gt;"complete","pending",IF(OR(L197&lt;&gt;"pure",U197="true",COUNT(BM197,AT197)&lt;2,AND(AC197&lt;&gt;"",COUNT(BO197,AU197)&lt;2)),"not_attributable","attributable"))</x:f>
        <x:v>pending</x:v>
      </x:c>
      <x:c r="CB197" s="65" t="str">
        <x:f>IF(T197&lt;&gt;"complete","not_evaluated",IF(COUNT(BM197,AT197)&lt;2,"insufficient_data",IF(AND(AC197&lt;&gt;"",COUNT(BP197)=1,BP197&lt;=-0.2),"guardrail_fail",IF(AND(CA197="not_attributable",OR(BV197="high",BN197&gt;=0.2)),"watchlist",IF(CA197&lt;&gt;"attributable","insufficient_data",IF(BN197&gt;=0.2,"win",IF(BN197&lt;=-0.2,"loss","inconclusive")))))))</x:f>
        <x:v>not_evaluated</x:v>
      </x:c>
      <x:c r="CC197" s="65" t="str">
        <x:f>IF(T197&lt;&gt;"complete","COLLECT_MORE_DATA",IF(COUNT(BM197,AT197)&lt;2,"FIX_TRACKING",IF(CB197="guardrail_fail","STOP_VARIANT_GUARDRAIL",IF(CB197="watchlist","WATCHLIST_ONLY",IF(AND(BV197="high",BY197="low"),"KEEP_HOOK_REWRITE_CTA",IF(AND(BW197="high",BX197="low"),"KEEP_STRUCTURE_CHANGE_DISCUSSION_ANGLE",IF(AND(BX197="high",BZ197="low"),"DOWNWEIGHT_TEMPLATE",IF(CB197="win","RETEST_WINNER",IF(CB197="loss","RETURN_TO_BASELINE","COLLECT_MORE_DATA")))))))))</x:f>
        <x:v>COLLECT_MORE_DATA</x:v>
      </x:c>
      <x:c r="CD197" s="75"/>
    </x:row>
    <x:row r="198">
      <x:c r="A198" s="68"/>
      <x:c r="B198" s="69"/>
      <x:c r="C198" s="68"/>
      <x:c r="D198" s="68"/>
      <x:c r="E198" s="68"/>
      <x:c r="F198" s="68"/>
      <x:c r="G198" s="68"/>
      <x:c r="H198" s="70"/>
      <x:c r="I198" s="68"/>
      <x:c r="J198" s="68"/>
      <x:c r="K198" s="68"/>
      <x:c r="L198" s="71" t="str">
        <x:f>IF(K198="","unknown",IF(K198=0,"baseline",IF(K198=1,"pure","mixed")))</x:f>
        <x:v>unknown</x:v>
      </x:c>
      <x:c r="M198" s="68"/>
      <x:c r="N198" s="68"/>
      <x:c r="O198" s="68"/>
      <x:c r="P198" s="68"/>
      <x:c r="Q198" s="68"/>
      <x:c r="R198" s="68"/>
      <x:c r="S198" s="68"/>
      <x:c r="T198" s="68"/>
      <x:c r="U198" s="68"/>
      <x:c r="V198" s="68"/>
      <x:c r="W198" s="68"/>
      <x:c r="X198" s="68"/>
      <x:c r="Y198" s="68"/>
      <x:c r="Z198" s="68"/>
      <x:c r="AA198" s="68"/>
      <x:c r="AB198" s="68"/>
      <x:c r="AC198" s="68"/>
      <x:c r="AD198" s="70"/>
      <x:c r="AE198" s="70"/>
      <x:c r="AF198" s="70"/>
      <x:c r="AG198" s="70"/>
      <x:c r="AH198" s="70"/>
      <x:c r="AI198" s="70"/>
      <x:c r="AJ198" s="70"/>
      <x:c r="AK198" s="70"/>
      <x:c r="AL198" s="70"/>
      <x:c r="AM198" s="70"/>
      <x:c r="AN198" s="70"/>
      <x:c r="AO198" s="70"/>
      <x:c r="AP198" s="70"/>
      <x:c r="AQ198" s="70"/>
      <x:c r="AR198" s="70"/>
      <x:c r="AS198" s="70"/>
      <x:c r="AT198" s="72"/>
      <x:c r="AU198" s="72"/>
      <x:c r="AV198" s="72"/>
      <x:c r="AW198" s="72"/>
      <x:c r="AX198" s="72"/>
      <x:c r="AY198" s="72"/>
      <x:c r="AZ198" s="72"/>
      <x:c r="BA198" s="73" t="str">
        <x:f>IF(C198="xiaohongshu",IF(COUNT(AF198,AE198)&lt;2,"",IFERROR(AF198/AE198,"")),"")</x:f>
      </x:c>
      <x:c r="BB198" s="73" t="str">
        <x:f>IF(C198="xiaohongshu",IF(COUNT(AG198,AE198)&lt;2,"",IFERROR(AG198/AE198,"")),"")</x:f>
      </x:c>
      <x:c r="BC198" s="73" t="str">
        <x:f>IF(C198="xiaohongshu",IF(COUNT(AN198,AE198)&lt;2,"",IFERROR(AN198/AE198,"")),"")</x:f>
      </x:c>
      <x:c r="BD198" s="73" t="str">
        <x:f>IF(C198="xiaohongshu",IF(COUNT(AQ198,AE198)&lt;2,"",IFERROR(AQ198/AE198,"")),"")</x:f>
      </x:c>
      <x:c r="BE198" s="73" t="str">
        <x:f>IF(C198="xiaohongshu",IF(COUNT(AI198,AE198)&lt;2,"",IFERROR(AI198/AE198,"")),"")</x:f>
      </x:c>
      <x:c r="BF198" s="73" t="str">
        <x:f>IF(C198="xiaohongshu",IF(OR(COUNT(AE198)=0,COUNT(AR198,AS198)=0),"",IFERROR((AR198+AS198)/AE198,"")),"")</x:f>
      </x:c>
      <x:c r="BG198" s="73" t="str">
        <x:f>IF(C198="x",IF(COUNT(AD198)=0,"",IF(COUNT(AM198)=1,IFERROR(AM198/AD198,""),IF(COUNT(AH198,AI198,AK198,AL198)=0,"",IFERROR(SUM(AH198,AI198,AK198,AL198)/AD198,"")))),"")</x:f>
      </x:c>
      <x:c r="BH198" s="73" t="str">
        <x:f>IF(C198="x",IF(COUNT(AJ198,AD198)&lt;2,"",IFERROR(AJ198/AD198,"")),"")</x:f>
      </x:c>
      <x:c r="BI198" s="73" t="str">
        <x:f>IF(C198="x",IF(COUNT(AO198,AD198)&lt;2,"",IFERROR(AO198/AD198,"")),"")</x:f>
      </x:c>
      <x:c r="BJ198" s="73" t="str">
        <x:f>IF(C198="x",IF(COUNT(AP198,AD198)&lt;2,"",IFERROR(AP198/AD198,"")),"")</x:f>
      </x:c>
      <x:c r="BK198" s="73" t="str">
        <x:f>IF(C198="x",IF(COUNT(AL198,AD198)&lt;2,"",IFERROR(AL198/AD198,"")),"")</x:f>
      </x:c>
      <x:c r="BL198" s="73" t="str">
        <x:f>IF(C198="x",IF(OR(COUNT(AD198)=0,COUNT(AR198,AS198)=0),"",IFERROR((AR198+AS198)/AD198,"")),"")</x:f>
      </x:c>
      <x:c r="BM198" s="73" t="str">
        <x:f>IF(AB198="xhs_save_rate",BA198,IF(AB198="xhs_completion_rate",BB198,IF(AB198="xhs_profile_visit_rate",BC198,IF(AB198="xhs_dm_intent_rate",BD198,IF(AB198="xhs_discussion_rate",BE198,IF(AB198="xhs_product_relevance_rate",BF198,IF(AB198="x_first_screen_engaged_rate_proxy",BG198,IF(AB198="x_qualified_reply_rate",BH198,IF(AB198="x_profile_click_rate",BI198,IF(AB198="x_link_intent_rate",BJ198,IF(AB198="x_bookmark_rate",BK198,IF(AB198="x_product_relevance_rate",BL198,""))))))))))))</x:f>
      </x:c>
      <x:c r="BN198" s="73" t="str">
        <x:f>IFERROR(BM198/AT198-1,"")</x:f>
      </x:c>
      <x:c r="BO198" s="73" t="str">
        <x:f>IF(AC198="","",IF(AC198="xhs_save_rate",BA198,IF(AC198="xhs_completion_rate",BB198,IF(AC198="xhs_profile_visit_rate",BC198,IF(AC198="xhs_dm_intent_rate",BD198,IF(AC198="xhs_discussion_rate",BE198,IF(AC198="xhs_product_relevance_rate",BF198,IF(AC198="x_first_screen_engaged_rate_proxy",BG198,IF(AC198="x_qualified_reply_rate",BH198,IF(AC198="x_profile_click_rate",BI198,IF(AC198="x_link_intent_rate",BJ198,IF(AC198="x_bookmark_rate",BK198,IF(AC198="x_product_relevance_rate",BL198,"")))))))))))))</x:f>
      </x:c>
      <x:c r="BP198" s="73" t="str">
        <x:f>IFERROR(BO198/AU198-1,"")</x:f>
      </x:c>
      <x:c r="BQ198" s="74" t="str">
        <x:f>IF(COUNT(AD198)=0,"",AD198)</x:f>
      </x:c>
      <x:c r="BR198" s="73" t="str">
        <x:f>IF(C198="xiaohongshu",IF(COUNT(BA198,BB198)=2,AVERAGE(BA198,BB198),IF(COUNT(BA198)=1,BA198,BB198)),BK198)</x:f>
      </x:c>
      <x:c r="BS198" s="73" t="str">
        <x:f>IF(C198="xiaohongshu",BE198,BH198)</x:f>
      </x:c>
      <x:c r="BT198" s="73" t="str">
        <x:f>IF(C198="xiaohongshu",IF(I198="save",BA198,IF(I198="discussion",BE198,IF(I198="profile_visit",BC198,IF(I198="dm",BD198,IF(OR(I198="product_question",I198="trial_intent"),BF198,""))))),IF(I198="save",BK198,IF(I198="discussion",BH198,IF(OR(I198="profile_visit",I198="dm"),BI198,IF(I198="link_click",BJ198,IF(OR(I198="product_question",I198="trial_intent"),BL198,""))))))</x:f>
      </x:c>
      <x:c r="BU198" s="73" t="str">
        <x:f>IF(C198="xiaohongshu",BF198,BL198)</x:f>
      </x:c>
      <x:c r="BV198" s="65" t="str">
        <x:f>IF(COUNT(BQ198,AV198)&lt;2,"unknown",IF(BQ198/AV198-1&gt;=0.2,"high",IF(BQ198/AV198-1&lt;=-0.2,"low","normal")))</x:f>
        <x:v>unknown</x:v>
      </x:c>
      <x:c r="BW198" s="65" t="str">
        <x:f>IF(COUNT(BR198,AW198)&lt;2,"unknown",IF(BR198/AW198-1&gt;=0.2,"high",IF(BR198/AW198-1&lt;=-0.2,"low","normal")))</x:f>
        <x:v>unknown</x:v>
      </x:c>
      <x:c r="BX198" s="65" t="str">
        <x:f>IF(COUNT(BS198,AX198)&lt;2,"unknown",IF(BS198/AX198-1&gt;=0.2,"high",IF(BS198/AX198-1&lt;=-0.2,"low","normal")))</x:f>
        <x:v>unknown</x:v>
      </x:c>
      <x:c r="BY198" s="65" t="str">
        <x:f>IF(COUNT(BT198,AY198)&lt;2,"unknown",IF(BT198/AY198-1&gt;=0.2,"high",IF(BT198/AY198-1&lt;=-0.2,"low","normal")))</x:f>
        <x:v>unknown</x:v>
      </x:c>
      <x:c r="BZ198" s="65" t="str">
        <x:f>IF(COUNT(BU198,AZ198)&lt;2,"unknown",IF(BU198/AZ198-1&gt;=0.2,"high",IF(BU198/AZ198-1&lt;=-0.2,"low","normal")))</x:f>
        <x:v>unknown</x:v>
      </x:c>
      <x:c r="CA198" s="65" t="str">
        <x:f>IF(T198&lt;&gt;"complete","pending",IF(OR(L198&lt;&gt;"pure",U198="true",COUNT(BM198,AT198)&lt;2,AND(AC198&lt;&gt;"",COUNT(BO198,AU198)&lt;2)),"not_attributable","attributable"))</x:f>
        <x:v>pending</x:v>
      </x:c>
      <x:c r="CB198" s="65" t="str">
        <x:f>IF(T198&lt;&gt;"complete","not_evaluated",IF(COUNT(BM198,AT198)&lt;2,"insufficient_data",IF(AND(AC198&lt;&gt;"",COUNT(BP198)=1,BP198&lt;=-0.2),"guardrail_fail",IF(AND(CA198="not_attributable",OR(BV198="high",BN198&gt;=0.2)),"watchlist",IF(CA198&lt;&gt;"attributable","insufficient_data",IF(BN198&gt;=0.2,"win",IF(BN198&lt;=-0.2,"loss","inconclusive")))))))</x:f>
        <x:v>not_evaluated</x:v>
      </x:c>
      <x:c r="CC198" s="65" t="str">
        <x:f>IF(T198&lt;&gt;"complete","COLLECT_MORE_DATA",IF(COUNT(BM198,AT198)&lt;2,"FIX_TRACKING",IF(CB198="guardrail_fail","STOP_VARIANT_GUARDRAIL",IF(CB198="watchlist","WATCHLIST_ONLY",IF(AND(BV198="high",BY198="low"),"KEEP_HOOK_REWRITE_CTA",IF(AND(BW198="high",BX198="low"),"KEEP_STRUCTURE_CHANGE_DISCUSSION_ANGLE",IF(AND(BX198="high",BZ198="low"),"DOWNWEIGHT_TEMPLATE",IF(CB198="win","RETEST_WINNER",IF(CB198="loss","RETURN_TO_BASELINE","COLLECT_MORE_DATA")))))))))</x:f>
        <x:v>COLLECT_MORE_DATA</x:v>
      </x:c>
      <x:c r="CD198" s="75"/>
    </x:row>
    <x:row r="199">
      <x:c r="A199" s="68"/>
      <x:c r="B199" s="69"/>
      <x:c r="C199" s="68"/>
      <x:c r="D199" s="68"/>
      <x:c r="E199" s="68"/>
      <x:c r="F199" s="68"/>
      <x:c r="G199" s="68"/>
      <x:c r="H199" s="70"/>
      <x:c r="I199" s="68"/>
      <x:c r="J199" s="68"/>
      <x:c r="K199" s="68"/>
      <x:c r="L199" s="71" t="str">
        <x:f>IF(K199="","unknown",IF(K199=0,"baseline",IF(K199=1,"pure","mixed")))</x:f>
        <x:v>unknown</x:v>
      </x:c>
      <x:c r="M199" s="68"/>
      <x:c r="N199" s="68"/>
      <x:c r="O199" s="68"/>
      <x:c r="P199" s="68"/>
      <x:c r="Q199" s="68"/>
      <x:c r="R199" s="68"/>
      <x:c r="S199" s="68"/>
      <x:c r="T199" s="68"/>
      <x:c r="U199" s="68"/>
      <x:c r="V199" s="68"/>
      <x:c r="W199" s="68"/>
      <x:c r="X199" s="68"/>
      <x:c r="Y199" s="68"/>
      <x:c r="Z199" s="68"/>
      <x:c r="AA199" s="68"/>
      <x:c r="AB199" s="68"/>
      <x:c r="AC199" s="68"/>
      <x:c r="AD199" s="70"/>
      <x:c r="AE199" s="70"/>
      <x:c r="AF199" s="70"/>
      <x:c r="AG199" s="70"/>
      <x:c r="AH199" s="70"/>
      <x:c r="AI199" s="70"/>
      <x:c r="AJ199" s="70"/>
      <x:c r="AK199" s="70"/>
      <x:c r="AL199" s="70"/>
      <x:c r="AM199" s="70"/>
      <x:c r="AN199" s="70"/>
      <x:c r="AO199" s="70"/>
      <x:c r="AP199" s="70"/>
      <x:c r="AQ199" s="70"/>
      <x:c r="AR199" s="70"/>
      <x:c r="AS199" s="70"/>
      <x:c r="AT199" s="72"/>
      <x:c r="AU199" s="72"/>
      <x:c r="AV199" s="72"/>
      <x:c r="AW199" s="72"/>
      <x:c r="AX199" s="72"/>
      <x:c r="AY199" s="72"/>
      <x:c r="AZ199" s="72"/>
      <x:c r="BA199" s="73" t="str">
        <x:f>IF(C199="xiaohongshu",IF(COUNT(AF199,AE199)&lt;2,"",IFERROR(AF199/AE199,"")),"")</x:f>
      </x:c>
      <x:c r="BB199" s="73" t="str">
        <x:f>IF(C199="xiaohongshu",IF(COUNT(AG199,AE199)&lt;2,"",IFERROR(AG199/AE199,"")),"")</x:f>
      </x:c>
      <x:c r="BC199" s="73" t="str">
        <x:f>IF(C199="xiaohongshu",IF(COUNT(AN199,AE199)&lt;2,"",IFERROR(AN199/AE199,"")),"")</x:f>
      </x:c>
      <x:c r="BD199" s="73" t="str">
        <x:f>IF(C199="xiaohongshu",IF(COUNT(AQ199,AE199)&lt;2,"",IFERROR(AQ199/AE199,"")),"")</x:f>
      </x:c>
      <x:c r="BE199" s="73" t="str">
        <x:f>IF(C199="xiaohongshu",IF(COUNT(AI199,AE199)&lt;2,"",IFERROR(AI199/AE199,"")),"")</x:f>
      </x:c>
      <x:c r="BF199" s="73" t="str">
        <x:f>IF(C199="xiaohongshu",IF(OR(COUNT(AE199)=0,COUNT(AR199,AS199)=0),"",IFERROR((AR199+AS199)/AE199,"")),"")</x:f>
      </x:c>
      <x:c r="BG199" s="73" t="str">
        <x:f>IF(C199="x",IF(COUNT(AD199)=0,"",IF(COUNT(AM199)=1,IFERROR(AM199/AD199,""),IF(COUNT(AH199,AI199,AK199,AL199)=0,"",IFERROR(SUM(AH199,AI199,AK199,AL199)/AD199,"")))),"")</x:f>
      </x:c>
      <x:c r="BH199" s="73" t="str">
        <x:f>IF(C199="x",IF(COUNT(AJ199,AD199)&lt;2,"",IFERROR(AJ199/AD199,"")),"")</x:f>
      </x:c>
      <x:c r="BI199" s="73" t="str">
        <x:f>IF(C199="x",IF(COUNT(AO199,AD199)&lt;2,"",IFERROR(AO199/AD199,"")),"")</x:f>
      </x:c>
      <x:c r="BJ199" s="73" t="str">
        <x:f>IF(C199="x",IF(COUNT(AP199,AD199)&lt;2,"",IFERROR(AP199/AD199,"")),"")</x:f>
      </x:c>
      <x:c r="BK199" s="73" t="str">
        <x:f>IF(C199="x",IF(COUNT(AL199,AD199)&lt;2,"",IFERROR(AL199/AD199,"")),"")</x:f>
      </x:c>
      <x:c r="BL199" s="73" t="str">
        <x:f>IF(C199="x",IF(OR(COUNT(AD199)=0,COUNT(AR199,AS199)=0),"",IFERROR((AR199+AS199)/AD199,"")),"")</x:f>
      </x:c>
      <x:c r="BM199" s="73" t="str">
        <x:f>IF(AB199="xhs_save_rate",BA199,IF(AB199="xhs_completion_rate",BB199,IF(AB199="xhs_profile_visit_rate",BC199,IF(AB199="xhs_dm_intent_rate",BD199,IF(AB199="xhs_discussion_rate",BE199,IF(AB199="xhs_product_relevance_rate",BF199,IF(AB199="x_first_screen_engaged_rate_proxy",BG199,IF(AB199="x_qualified_reply_rate",BH199,IF(AB199="x_profile_click_rate",BI199,IF(AB199="x_link_intent_rate",BJ199,IF(AB199="x_bookmark_rate",BK199,IF(AB199="x_product_relevance_rate",BL199,""))))))))))))</x:f>
      </x:c>
      <x:c r="BN199" s="73" t="str">
        <x:f>IFERROR(BM199/AT199-1,"")</x:f>
      </x:c>
      <x:c r="BO199" s="73" t="str">
        <x:f>IF(AC199="","",IF(AC199="xhs_save_rate",BA199,IF(AC199="xhs_completion_rate",BB199,IF(AC199="xhs_profile_visit_rate",BC199,IF(AC199="xhs_dm_intent_rate",BD199,IF(AC199="xhs_discussion_rate",BE199,IF(AC199="xhs_product_relevance_rate",BF199,IF(AC199="x_first_screen_engaged_rate_proxy",BG199,IF(AC199="x_qualified_reply_rate",BH199,IF(AC199="x_profile_click_rate",BI199,IF(AC199="x_link_intent_rate",BJ199,IF(AC199="x_bookmark_rate",BK199,IF(AC199="x_product_relevance_rate",BL199,"")))))))))))))</x:f>
      </x:c>
      <x:c r="BP199" s="73" t="str">
        <x:f>IFERROR(BO199/AU199-1,"")</x:f>
      </x:c>
      <x:c r="BQ199" s="74" t="str">
        <x:f>IF(COUNT(AD199)=0,"",AD199)</x:f>
      </x:c>
      <x:c r="BR199" s="73" t="str">
        <x:f>IF(C199="xiaohongshu",IF(COUNT(BA199,BB199)=2,AVERAGE(BA199,BB199),IF(COUNT(BA199)=1,BA199,BB199)),BK199)</x:f>
      </x:c>
      <x:c r="BS199" s="73" t="str">
        <x:f>IF(C199="xiaohongshu",BE199,BH199)</x:f>
      </x:c>
      <x:c r="BT199" s="73" t="str">
        <x:f>IF(C199="xiaohongshu",IF(I199="save",BA199,IF(I199="discussion",BE199,IF(I199="profile_visit",BC199,IF(I199="dm",BD199,IF(OR(I199="product_question",I199="trial_intent"),BF199,""))))),IF(I199="save",BK199,IF(I199="discussion",BH199,IF(OR(I199="profile_visit",I199="dm"),BI199,IF(I199="link_click",BJ199,IF(OR(I199="product_question",I199="trial_intent"),BL199,""))))))</x:f>
      </x:c>
      <x:c r="BU199" s="73" t="str">
        <x:f>IF(C199="xiaohongshu",BF199,BL199)</x:f>
      </x:c>
      <x:c r="BV199" s="65" t="str">
        <x:f>IF(COUNT(BQ199,AV199)&lt;2,"unknown",IF(BQ199/AV199-1&gt;=0.2,"high",IF(BQ199/AV199-1&lt;=-0.2,"low","normal")))</x:f>
        <x:v>unknown</x:v>
      </x:c>
      <x:c r="BW199" s="65" t="str">
        <x:f>IF(COUNT(BR199,AW199)&lt;2,"unknown",IF(BR199/AW199-1&gt;=0.2,"high",IF(BR199/AW199-1&lt;=-0.2,"low","normal")))</x:f>
        <x:v>unknown</x:v>
      </x:c>
      <x:c r="BX199" s="65" t="str">
        <x:f>IF(COUNT(BS199,AX199)&lt;2,"unknown",IF(BS199/AX199-1&gt;=0.2,"high",IF(BS199/AX199-1&lt;=-0.2,"low","normal")))</x:f>
        <x:v>unknown</x:v>
      </x:c>
      <x:c r="BY199" s="65" t="str">
        <x:f>IF(COUNT(BT199,AY199)&lt;2,"unknown",IF(BT199/AY199-1&gt;=0.2,"high",IF(BT199/AY199-1&lt;=-0.2,"low","normal")))</x:f>
        <x:v>unknown</x:v>
      </x:c>
      <x:c r="BZ199" s="65" t="str">
        <x:f>IF(COUNT(BU199,AZ199)&lt;2,"unknown",IF(BU199/AZ199-1&gt;=0.2,"high",IF(BU199/AZ199-1&lt;=-0.2,"low","normal")))</x:f>
        <x:v>unknown</x:v>
      </x:c>
      <x:c r="CA199" s="65" t="str">
        <x:f>IF(T199&lt;&gt;"complete","pending",IF(OR(L199&lt;&gt;"pure",U199="true",COUNT(BM199,AT199)&lt;2,AND(AC199&lt;&gt;"",COUNT(BO199,AU199)&lt;2)),"not_attributable","attributable"))</x:f>
        <x:v>pending</x:v>
      </x:c>
      <x:c r="CB199" s="65" t="str">
        <x:f>IF(T199&lt;&gt;"complete","not_evaluated",IF(COUNT(BM199,AT199)&lt;2,"insufficient_data",IF(AND(AC199&lt;&gt;"",COUNT(BP199)=1,BP199&lt;=-0.2),"guardrail_fail",IF(AND(CA199="not_attributable",OR(BV199="high",BN199&gt;=0.2)),"watchlist",IF(CA199&lt;&gt;"attributable","insufficient_data",IF(BN199&gt;=0.2,"win",IF(BN199&lt;=-0.2,"loss","inconclusive")))))))</x:f>
        <x:v>not_evaluated</x:v>
      </x:c>
      <x:c r="CC199" s="65" t="str">
        <x:f>IF(T199&lt;&gt;"complete","COLLECT_MORE_DATA",IF(COUNT(BM199,AT199)&lt;2,"FIX_TRACKING",IF(CB199="guardrail_fail","STOP_VARIANT_GUARDRAIL",IF(CB199="watchlist","WATCHLIST_ONLY",IF(AND(BV199="high",BY199="low"),"KEEP_HOOK_REWRITE_CTA",IF(AND(BW199="high",BX199="low"),"KEEP_STRUCTURE_CHANGE_DISCUSSION_ANGLE",IF(AND(BX199="high",BZ199="low"),"DOWNWEIGHT_TEMPLATE",IF(CB199="win","RETEST_WINNER",IF(CB199="loss","RETURN_TO_BASELINE","COLLECT_MORE_DATA")))))))))</x:f>
        <x:v>COLLECT_MORE_DATA</x:v>
      </x:c>
      <x:c r="CD199" s="75"/>
    </x:row>
    <x:row r="200">
      <x:c r="A200" s="68"/>
      <x:c r="B200" s="69"/>
      <x:c r="C200" s="68"/>
      <x:c r="D200" s="68"/>
      <x:c r="E200" s="68"/>
      <x:c r="F200" s="68"/>
      <x:c r="G200" s="68"/>
      <x:c r="H200" s="70"/>
      <x:c r="I200" s="68"/>
      <x:c r="J200" s="68"/>
      <x:c r="K200" s="68"/>
      <x:c r="L200" s="71" t="str">
        <x:f>IF(K200="","unknown",IF(K200=0,"baseline",IF(K200=1,"pure","mixed")))</x:f>
        <x:v>unknown</x:v>
      </x:c>
      <x:c r="M200" s="68"/>
      <x:c r="N200" s="68"/>
      <x:c r="O200" s="68"/>
      <x:c r="P200" s="68"/>
      <x:c r="Q200" s="68"/>
      <x:c r="R200" s="68"/>
      <x:c r="S200" s="68"/>
      <x:c r="T200" s="68"/>
      <x:c r="U200" s="68"/>
      <x:c r="V200" s="68"/>
      <x:c r="W200" s="68"/>
      <x:c r="X200" s="68"/>
      <x:c r="Y200" s="68"/>
      <x:c r="Z200" s="68"/>
      <x:c r="AA200" s="68"/>
      <x:c r="AB200" s="68"/>
      <x:c r="AC200" s="68"/>
      <x:c r="AD200" s="70"/>
      <x:c r="AE200" s="70"/>
      <x:c r="AF200" s="70"/>
      <x:c r="AG200" s="70"/>
      <x:c r="AH200" s="70"/>
      <x:c r="AI200" s="70"/>
      <x:c r="AJ200" s="70"/>
      <x:c r="AK200" s="70"/>
      <x:c r="AL200" s="70"/>
      <x:c r="AM200" s="70"/>
      <x:c r="AN200" s="70"/>
      <x:c r="AO200" s="70"/>
      <x:c r="AP200" s="70"/>
      <x:c r="AQ200" s="70"/>
      <x:c r="AR200" s="70"/>
      <x:c r="AS200" s="70"/>
      <x:c r="AT200" s="72"/>
      <x:c r="AU200" s="72"/>
      <x:c r="AV200" s="72"/>
      <x:c r="AW200" s="72"/>
      <x:c r="AX200" s="72"/>
      <x:c r="AY200" s="72"/>
      <x:c r="AZ200" s="72"/>
      <x:c r="BA200" s="73" t="str">
        <x:f>IF(C200="xiaohongshu",IF(COUNT(AF200,AE200)&lt;2,"",IFERROR(AF200/AE200,"")),"")</x:f>
      </x:c>
      <x:c r="BB200" s="73" t="str">
        <x:f>IF(C200="xiaohongshu",IF(COUNT(AG200,AE200)&lt;2,"",IFERROR(AG200/AE200,"")),"")</x:f>
      </x:c>
      <x:c r="BC200" s="73" t="str">
        <x:f>IF(C200="xiaohongshu",IF(COUNT(AN200,AE200)&lt;2,"",IFERROR(AN200/AE200,"")),"")</x:f>
      </x:c>
      <x:c r="BD200" s="73" t="str">
        <x:f>IF(C200="xiaohongshu",IF(COUNT(AQ200,AE200)&lt;2,"",IFERROR(AQ200/AE200,"")),"")</x:f>
      </x:c>
      <x:c r="BE200" s="73" t="str">
        <x:f>IF(C200="xiaohongshu",IF(COUNT(AI200,AE200)&lt;2,"",IFERROR(AI200/AE200,"")),"")</x:f>
      </x:c>
      <x:c r="BF200" s="73" t="str">
        <x:f>IF(C200="xiaohongshu",IF(OR(COUNT(AE200)=0,COUNT(AR200,AS200)=0),"",IFERROR((AR200+AS200)/AE200,"")),"")</x:f>
      </x:c>
      <x:c r="BG200" s="73" t="str">
        <x:f>IF(C200="x",IF(COUNT(AD200)=0,"",IF(COUNT(AM200)=1,IFERROR(AM200/AD200,""),IF(COUNT(AH200,AI200,AK200,AL200)=0,"",IFERROR(SUM(AH200,AI200,AK200,AL200)/AD200,"")))),"")</x:f>
      </x:c>
      <x:c r="BH200" s="73" t="str">
        <x:f>IF(C200="x",IF(COUNT(AJ200,AD200)&lt;2,"",IFERROR(AJ200/AD200,"")),"")</x:f>
      </x:c>
      <x:c r="BI200" s="73" t="str">
        <x:f>IF(C200="x",IF(COUNT(AO200,AD200)&lt;2,"",IFERROR(AO200/AD200,"")),"")</x:f>
      </x:c>
      <x:c r="BJ200" s="73" t="str">
        <x:f>IF(C200="x",IF(COUNT(AP200,AD200)&lt;2,"",IFERROR(AP200/AD200,"")),"")</x:f>
      </x:c>
      <x:c r="BK200" s="73" t="str">
        <x:f>IF(C200="x",IF(COUNT(AL200,AD200)&lt;2,"",IFERROR(AL200/AD200,"")),"")</x:f>
      </x:c>
      <x:c r="BL200" s="73" t="str">
        <x:f>IF(C200="x",IF(OR(COUNT(AD200)=0,COUNT(AR200,AS200)=0),"",IFERROR((AR200+AS200)/AD200,"")),"")</x:f>
      </x:c>
      <x:c r="BM200" s="73" t="str">
        <x:f>IF(AB200="xhs_save_rate",BA200,IF(AB200="xhs_completion_rate",BB200,IF(AB200="xhs_profile_visit_rate",BC200,IF(AB200="xhs_dm_intent_rate",BD200,IF(AB200="xhs_discussion_rate",BE200,IF(AB200="xhs_product_relevance_rate",BF200,IF(AB200="x_first_screen_engaged_rate_proxy",BG200,IF(AB200="x_qualified_reply_rate",BH200,IF(AB200="x_profile_click_rate",BI200,IF(AB200="x_link_intent_rate",BJ200,IF(AB200="x_bookmark_rate",BK200,IF(AB200="x_product_relevance_rate",BL200,""))))))))))))</x:f>
      </x:c>
      <x:c r="BN200" s="73" t="str">
        <x:f>IFERROR(BM200/AT200-1,"")</x:f>
      </x:c>
      <x:c r="BO200" s="73" t="str">
        <x:f>IF(AC200="","",IF(AC200="xhs_save_rate",BA200,IF(AC200="xhs_completion_rate",BB200,IF(AC200="xhs_profile_visit_rate",BC200,IF(AC200="xhs_dm_intent_rate",BD200,IF(AC200="xhs_discussion_rate",BE200,IF(AC200="xhs_product_relevance_rate",BF200,IF(AC200="x_first_screen_engaged_rate_proxy",BG200,IF(AC200="x_qualified_reply_rate",BH200,IF(AC200="x_profile_click_rate",BI200,IF(AC200="x_link_intent_rate",BJ200,IF(AC200="x_bookmark_rate",BK200,IF(AC200="x_product_relevance_rate",BL200,"")))))))))))))</x:f>
      </x:c>
      <x:c r="BP200" s="73" t="str">
        <x:f>IFERROR(BO200/AU200-1,"")</x:f>
      </x:c>
      <x:c r="BQ200" s="74" t="str">
        <x:f>IF(COUNT(AD200)=0,"",AD200)</x:f>
      </x:c>
      <x:c r="BR200" s="73" t="str">
        <x:f>IF(C200="xiaohongshu",IF(COUNT(BA200,BB200)=2,AVERAGE(BA200,BB200),IF(COUNT(BA200)=1,BA200,BB200)),BK200)</x:f>
      </x:c>
      <x:c r="BS200" s="73" t="str">
        <x:f>IF(C200="xiaohongshu",BE200,BH200)</x:f>
      </x:c>
      <x:c r="BT200" s="73" t="str">
        <x:f>IF(C200="xiaohongshu",IF(I200="save",BA200,IF(I200="discussion",BE200,IF(I200="profile_visit",BC200,IF(I200="dm",BD200,IF(OR(I200="product_question",I200="trial_intent"),BF200,""))))),IF(I200="save",BK200,IF(I200="discussion",BH200,IF(OR(I200="profile_visit",I200="dm"),BI200,IF(I200="link_click",BJ200,IF(OR(I200="product_question",I200="trial_intent"),BL200,""))))))</x:f>
      </x:c>
      <x:c r="BU200" s="73" t="str">
        <x:f>IF(C200="xiaohongshu",BF200,BL200)</x:f>
      </x:c>
      <x:c r="BV200" s="65" t="str">
        <x:f>IF(COUNT(BQ200,AV200)&lt;2,"unknown",IF(BQ200/AV200-1&gt;=0.2,"high",IF(BQ200/AV200-1&lt;=-0.2,"low","normal")))</x:f>
        <x:v>unknown</x:v>
      </x:c>
      <x:c r="BW200" s="65" t="str">
        <x:f>IF(COUNT(BR200,AW200)&lt;2,"unknown",IF(BR200/AW200-1&gt;=0.2,"high",IF(BR200/AW200-1&lt;=-0.2,"low","normal")))</x:f>
        <x:v>unknown</x:v>
      </x:c>
      <x:c r="BX200" s="65" t="str">
        <x:f>IF(COUNT(BS200,AX200)&lt;2,"unknown",IF(BS200/AX200-1&gt;=0.2,"high",IF(BS200/AX200-1&lt;=-0.2,"low","normal")))</x:f>
        <x:v>unknown</x:v>
      </x:c>
      <x:c r="BY200" s="65" t="str">
        <x:f>IF(COUNT(BT200,AY200)&lt;2,"unknown",IF(BT200/AY200-1&gt;=0.2,"high",IF(BT200/AY200-1&lt;=-0.2,"low","normal")))</x:f>
        <x:v>unknown</x:v>
      </x:c>
      <x:c r="BZ200" s="65" t="str">
        <x:f>IF(COUNT(BU200,AZ200)&lt;2,"unknown",IF(BU200/AZ200-1&gt;=0.2,"high",IF(BU200/AZ200-1&lt;=-0.2,"low","normal")))</x:f>
        <x:v>unknown</x:v>
      </x:c>
      <x:c r="CA200" s="65" t="str">
        <x:f>IF(T200&lt;&gt;"complete","pending",IF(OR(L200&lt;&gt;"pure",U200="true",COUNT(BM200,AT200)&lt;2,AND(AC200&lt;&gt;"",COUNT(BO200,AU200)&lt;2)),"not_attributable","attributable"))</x:f>
        <x:v>pending</x:v>
      </x:c>
      <x:c r="CB200" s="65" t="str">
        <x:f>IF(T200&lt;&gt;"complete","not_evaluated",IF(COUNT(BM200,AT200)&lt;2,"insufficient_data",IF(AND(AC200&lt;&gt;"",COUNT(BP200)=1,BP200&lt;=-0.2),"guardrail_fail",IF(AND(CA200="not_attributable",OR(BV200="high",BN200&gt;=0.2)),"watchlist",IF(CA200&lt;&gt;"attributable","insufficient_data",IF(BN200&gt;=0.2,"win",IF(BN200&lt;=-0.2,"loss","inconclusive")))))))</x:f>
        <x:v>not_evaluated</x:v>
      </x:c>
      <x:c r="CC200" s="65" t="str">
        <x:f>IF(T200&lt;&gt;"complete","COLLECT_MORE_DATA",IF(COUNT(BM200,AT200)&lt;2,"FIX_TRACKING",IF(CB200="guardrail_fail","STOP_VARIANT_GUARDRAIL",IF(CB200="watchlist","WATCHLIST_ONLY",IF(AND(BV200="high",BY200="low"),"KEEP_HOOK_REWRITE_CTA",IF(AND(BW200="high",BX200="low"),"KEEP_STRUCTURE_CHANGE_DISCUSSION_ANGLE",IF(AND(BX200="high",BZ200="low"),"DOWNWEIGHT_TEMPLATE",IF(CB200="win","RETEST_WINNER",IF(CB200="loss","RETURN_TO_BASELINE","COLLECT_MORE_DATA")))))))))</x:f>
        <x:v>COLLECT_MORE_DATA</x:v>
      </x:c>
      <x:c r="CD200" s="75"/>
    </x:row>
    <x:row r="201">
      <x:c r="A201" s="68"/>
      <x:c r="B201" s="69"/>
      <x:c r="C201" s="68"/>
      <x:c r="D201" s="68"/>
      <x:c r="E201" s="68"/>
      <x:c r="F201" s="68"/>
      <x:c r="G201" s="68"/>
      <x:c r="H201" s="70"/>
      <x:c r="I201" s="68"/>
      <x:c r="J201" s="68"/>
      <x:c r="K201" s="68"/>
      <x:c r="L201" s="71" t="str">
        <x:f>IF(K201="","unknown",IF(K201=0,"baseline",IF(K201=1,"pure","mixed")))</x:f>
        <x:v>unknown</x:v>
      </x:c>
      <x:c r="M201" s="68"/>
      <x:c r="N201" s="68"/>
      <x:c r="O201" s="68"/>
      <x:c r="P201" s="68"/>
      <x:c r="Q201" s="68"/>
      <x:c r="R201" s="68"/>
      <x:c r="S201" s="68"/>
      <x:c r="T201" s="68"/>
      <x:c r="U201" s="68"/>
      <x:c r="V201" s="68"/>
      <x:c r="W201" s="68"/>
      <x:c r="X201" s="68"/>
      <x:c r="Y201" s="68"/>
      <x:c r="Z201" s="68"/>
      <x:c r="AA201" s="68"/>
      <x:c r="AB201" s="68"/>
      <x:c r="AC201" s="68"/>
      <x:c r="AD201" s="70"/>
      <x:c r="AE201" s="70"/>
      <x:c r="AF201" s="70"/>
      <x:c r="AG201" s="70"/>
      <x:c r="AH201" s="70"/>
      <x:c r="AI201" s="70"/>
      <x:c r="AJ201" s="70"/>
      <x:c r="AK201" s="70"/>
      <x:c r="AL201" s="70"/>
      <x:c r="AM201" s="70"/>
      <x:c r="AN201" s="70"/>
      <x:c r="AO201" s="70"/>
      <x:c r="AP201" s="70"/>
      <x:c r="AQ201" s="70"/>
      <x:c r="AR201" s="70"/>
      <x:c r="AS201" s="70"/>
      <x:c r="AT201" s="72"/>
      <x:c r="AU201" s="72"/>
      <x:c r="AV201" s="72"/>
      <x:c r="AW201" s="72"/>
      <x:c r="AX201" s="72"/>
      <x:c r="AY201" s="72"/>
      <x:c r="AZ201" s="72"/>
      <x:c r="BA201" s="73" t="str">
        <x:f>IF(C201="xiaohongshu",IF(COUNT(AF201,AE201)&lt;2,"",IFERROR(AF201/AE201,"")),"")</x:f>
      </x:c>
      <x:c r="BB201" s="73" t="str">
        <x:f>IF(C201="xiaohongshu",IF(COUNT(AG201,AE201)&lt;2,"",IFERROR(AG201/AE201,"")),"")</x:f>
      </x:c>
      <x:c r="BC201" s="73" t="str">
        <x:f>IF(C201="xiaohongshu",IF(COUNT(AN201,AE201)&lt;2,"",IFERROR(AN201/AE201,"")),"")</x:f>
      </x:c>
      <x:c r="BD201" s="73" t="str">
        <x:f>IF(C201="xiaohongshu",IF(COUNT(AQ201,AE201)&lt;2,"",IFERROR(AQ201/AE201,"")),"")</x:f>
      </x:c>
      <x:c r="BE201" s="73" t="str">
        <x:f>IF(C201="xiaohongshu",IF(COUNT(AI201,AE201)&lt;2,"",IFERROR(AI201/AE201,"")),"")</x:f>
      </x:c>
      <x:c r="BF201" s="73" t="str">
        <x:f>IF(C201="xiaohongshu",IF(OR(COUNT(AE201)=0,COUNT(AR201,AS201)=0),"",IFERROR((AR201+AS201)/AE201,"")),"")</x:f>
      </x:c>
      <x:c r="BG201" s="73" t="str">
        <x:f>IF(C201="x",IF(COUNT(AD201)=0,"",IF(COUNT(AM201)=1,IFERROR(AM201/AD201,""),IF(COUNT(AH201,AI201,AK201,AL201)=0,"",IFERROR(SUM(AH201,AI201,AK201,AL201)/AD201,"")))),"")</x:f>
      </x:c>
      <x:c r="BH201" s="73" t="str">
        <x:f>IF(C201="x",IF(COUNT(AJ201,AD201)&lt;2,"",IFERROR(AJ201/AD201,"")),"")</x:f>
      </x:c>
      <x:c r="BI201" s="73" t="str">
        <x:f>IF(C201="x",IF(COUNT(AO201,AD201)&lt;2,"",IFERROR(AO201/AD201,"")),"")</x:f>
      </x:c>
      <x:c r="BJ201" s="73" t="str">
        <x:f>IF(C201="x",IF(COUNT(AP201,AD201)&lt;2,"",IFERROR(AP201/AD201,"")),"")</x:f>
      </x:c>
      <x:c r="BK201" s="73" t="str">
        <x:f>IF(C201="x",IF(COUNT(AL201,AD201)&lt;2,"",IFERROR(AL201/AD201,"")),"")</x:f>
      </x:c>
      <x:c r="BL201" s="73" t="str">
        <x:f>IF(C201="x",IF(OR(COUNT(AD201)=0,COUNT(AR201,AS201)=0),"",IFERROR((AR201+AS201)/AD201,"")),"")</x:f>
      </x:c>
      <x:c r="BM201" s="73" t="str">
        <x:f>IF(AB201="xhs_save_rate",BA201,IF(AB201="xhs_completion_rate",BB201,IF(AB201="xhs_profile_visit_rate",BC201,IF(AB201="xhs_dm_intent_rate",BD201,IF(AB201="xhs_discussion_rate",BE201,IF(AB201="xhs_product_relevance_rate",BF201,IF(AB201="x_first_screen_engaged_rate_proxy",BG201,IF(AB201="x_qualified_reply_rate",BH201,IF(AB201="x_profile_click_rate",BI201,IF(AB201="x_link_intent_rate",BJ201,IF(AB201="x_bookmark_rate",BK201,IF(AB201="x_product_relevance_rate",BL201,""))))))))))))</x:f>
      </x:c>
      <x:c r="BN201" s="73" t="str">
        <x:f>IFERROR(BM201/AT201-1,"")</x:f>
      </x:c>
      <x:c r="BO201" s="73" t="str">
        <x:f>IF(AC201="","",IF(AC201="xhs_save_rate",BA201,IF(AC201="xhs_completion_rate",BB201,IF(AC201="xhs_profile_visit_rate",BC201,IF(AC201="xhs_dm_intent_rate",BD201,IF(AC201="xhs_discussion_rate",BE201,IF(AC201="xhs_product_relevance_rate",BF201,IF(AC201="x_first_screen_engaged_rate_proxy",BG201,IF(AC201="x_qualified_reply_rate",BH201,IF(AC201="x_profile_click_rate",BI201,IF(AC201="x_link_intent_rate",BJ201,IF(AC201="x_bookmark_rate",BK201,IF(AC201="x_product_relevance_rate",BL201,"")))))))))))))</x:f>
      </x:c>
      <x:c r="BP201" s="73" t="str">
        <x:f>IFERROR(BO201/AU201-1,"")</x:f>
      </x:c>
      <x:c r="BQ201" s="74" t="str">
        <x:f>IF(COUNT(AD201)=0,"",AD201)</x:f>
      </x:c>
      <x:c r="BR201" s="73" t="str">
        <x:f>IF(C201="xiaohongshu",IF(COUNT(BA201,BB201)=2,AVERAGE(BA201,BB201),IF(COUNT(BA201)=1,BA201,BB201)),BK201)</x:f>
      </x:c>
      <x:c r="BS201" s="73" t="str">
        <x:f>IF(C201="xiaohongshu",BE201,BH201)</x:f>
      </x:c>
      <x:c r="BT201" s="73" t="str">
        <x:f>IF(C201="xiaohongshu",IF(I201="save",BA201,IF(I201="discussion",BE201,IF(I201="profile_visit",BC201,IF(I201="dm",BD201,IF(OR(I201="product_question",I201="trial_intent"),BF201,""))))),IF(I201="save",BK201,IF(I201="discussion",BH201,IF(OR(I201="profile_visit",I201="dm"),BI201,IF(I201="link_click",BJ201,IF(OR(I201="product_question",I201="trial_intent"),BL201,""))))))</x:f>
      </x:c>
      <x:c r="BU201" s="73" t="str">
        <x:f>IF(C201="xiaohongshu",BF201,BL201)</x:f>
      </x:c>
      <x:c r="BV201" s="65" t="str">
        <x:f>IF(COUNT(BQ201,AV201)&lt;2,"unknown",IF(BQ201/AV201-1&gt;=0.2,"high",IF(BQ201/AV201-1&lt;=-0.2,"low","normal")))</x:f>
        <x:v>unknown</x:v>
      </x:c>
      <x:c r="BW201" s="65" t="str">
        <x:f>IF(COUNT(BR201,AW201)&lt;2,"unknown",IF(BR201/AW201-1&gt;=0.2,"high",IF(BR201/AW201-1&lt;=-0.2,"low","normal")))</x:f>
        <x:v>unknown</x:v>
      </x:c>
      <x:c r="BX201" s="65" t="str">
        <x:f>IF(COUNT(BS201,AX201)&lt;2,"unknown",IF(BS201/AX201-1&gt;=0.2,"high",IF(BS201/AX201-1&lt;=-0.2,"low","normal")))</x:f>
        <x:v>unknown</x:v>
      </x:c>
      <x:c r="BY201" s="65" t="str">
        <x:f>IF(COUNT(BT201,AY201)&lt;2,"unknown",IF(BT201/AY201-1&gt;=0.2,"high",IF(BT201/AY201-1&lt;=-0.2,"low","normal")))</x:f>
        <x:v>unknown</x:v>
      </x:c>
      <x:c r="BZ201" s="65" t="str">
        <x:f>IF(COUNT(BU201,AZ201)&lt;2,"unknown",IF(BU201/AZ201-1&gt;=0.2,"high",IF(BU201/AZ201-1&lt;=-0.2,"low","normal")))</x:f>
        <x:v>unknown</x:v>
      </x:c>
      <x:c r="CA201" s="65" t="str">
        <x:f>IF(T201&lt;&gt;"complete","pending",IF(OR(L201&lt;&gt;"pure",U201="true",COUNT(BM201,AT201)&lt;2,AND(AC201&lt;&gt;"",COUNT(BO201,AU201)&lt;2)),"not_attributable","attributable"))</x:f>
        <x:v>pending</x:v>
      </x:c>
      <x:c r="CB201" s="65" t="str">
        <x:f>IF(T201&lt;&gt;"complete","not_evaluated",IF(COUNT(BM201,AT201)&lt;2,"insufficient_data",IF(AND(AC201&lt;&gt;"",COUNT(BP201)=1,BP201&lt;=-0.2),"guardrail_fail",IF(AND(CA201="not_attributable",OR(BV201="high",BN201&gt;=0.2)),"watchlist",IF(CA201&lt;&gt;"attributable","insufficient_data",IF(BN201&gt;=0.2,"win",IF(BN201&lt;=-0.2,"loss","inconclusive")))))))</x:f>
        <x:v>not_evaluated</x:v>
      </x:c>
      <x:c r="CC201" s="65" t="str">
        <x:f>IF(T201&lt;&gt;"complete","COLLECT_MORE_DATA",IF(COUNT(BM201,AT201)&lt;2,"FIX_TRACKING",IF(CB201="guardrail_fail","STOP_VARIANT_GUARDRAIL",IF(CB201="watchlist","WATCHLIST_ONLY",IF(AND(BV201="high",BY201="low"),"KEEP_HOOK_REWRITE_CTA",IF(AND(BW201="high",BX201="low"),"KEEP_STRUCTURE_CHANGE_DISCUSSION_ANGLE",IF(AND(BX201="high",BZ201="low"),"DOWNWEIGHT_TEMPLATE",IF(CB201="win","RETEST_WINNER",IF(CB201="loss","RETURN_TO_BASELINE","COLLECT_MORE_DATA")))))))))</x:f>
        <x:v>COLLECT_MORE_DATA</x:v>
      </x:c>
      <x:c r="CD201" s="75"/>
    </x:row>
  </x:sheetData>
  <x:conditionalFormatting sqref="CA2:CC201">
    <x:cfRule type="containsText" dxfId="0" priority="1" operator="containsText" text="win"/>
    <x:cfRule type="containsText" dxfId="1" priority="2" operator="containsText" text="watchlist"/>
    <x:cfRule type="containsText" dxfId="2" priority="3" operator="containsText" text="fail"/>
    <x:cfRule type="containsText" dxfId="3" priority="4" operator="containsText" text="not_attributable"/>
  </x:conditionalFormatting>
  <x:dataValidations count="11">
    <x:dataValidation type="list" sqref="C2:C201">
      <x:formula1>"xiaohongshu,x"</x:formula1>
    </x:dataValidation>
    <x:dataValidation type="list" sqref="E2:E201">
      <x:formula1>"ai_tool_benchmark,ai_workflow,research_education,arti_product_test,audience_cocreation"</x:formula1>
    </x:dataValidation>
    <x:dataValidation type="list" sqref="F2:F201">
      <x:formula1>"problem_unaware,problem_aware,solution_aware,product_aware"</x:formula1>
    </x:dataValidation>
    <x:dataValidation type="list" sqref="G2:G201">
      <x:formula1>"real_product_usage,screenshot_proof,benchmark_data,subjective_opinion_only"</x:formula1>
    </x:dataValidation>
    <x:dataValidation type="list" sqref="I2:I201">
      <x:formula1>"save,discussion,profile_visit,dm,link_click,product_question,trial_intent"</x:formula1>
    </x:dataValidation>
    <x:dataValidation type="list" sqref="J2:J201">
      <x:formula1>"hook,content_structure,visual,cta,format,posting_time,proof_type"</x:formula1>
    </x:dataValidation>
    <x:dataValidation type="list" sqref="T2:T201">
      <x:formula1>"planned,published,pending_data,complete,anomaly,not_attributable"</x:formula1>
    </x:dataValidation>
    <x:dataValidation type="list" sqref="U2:U201">
      <x:formula1>"true,false"</x:formula1>
    </x:dataValidation>
    <x:dataValidation type="list" sqref="X2:AA201">
      <x:formula1>"true,false"</x:formula1>
    </x:dataValidation>
    <x:dataValidation type="whole" operator="between" sqref="H2:H201">
      <x:formula1>1</x:formula1>
      <x:formula2>4</x:formula2>
    </x:dataValidation>
    <x:dataValidation type="whole" operator="between" sqref="K2:K201">
      <x:formula1>0</x:formula1>
      <x:formula2>9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22" hidden="0" customWidth="1"/>
    <x:col min="4" max="4" width="28" hidden="0" customWidth="1"/>
    <x:col min="5" max="5" width="34" hidden="0" customWidth="1"/>
    <x:col min="6" max="6" width="30" hidden="0" customWidth="1"/>
    <x:col min="7" max="7" width="22" hidden="0" customWidth="1"/>
    <x:col min="8" max="8" width="28" hidden="0" customWidth="1"/>
  </x:cols>
  <x:sheetData>
    <x:row r="1" ht="34" customHeight="1">
      <x:c r="A1" s="54" t="str">
        <x:v>Metric Definitions</x:v>
      </x:c>
      <x:c r="B1" s="54"/>
      <x:c r="C1" s="54"/>
      <x:c r="D1" s="54"/>
      <x:c r="E1" s="54"/>
      <x:c r="F1" s="54"/>
      <x:c r="G1" s="54"/>
      <x:c r="H1" s="54"/>
    </x:row>
    <x:row r="2" ht="28" customHeight="1">
      <x:c r="A2" s="55" t="str">
        <x:v>平台成功指标彻底分开；X 的首屏指标是互动代理，不是 dwell rate。</x:v>
      </x:c>
      <x:c r="B2" s="55"/>
      <x:c r="C2" s="55"/>
      <x:c r="D2" s="55"/>
      <x:c r="E2" s="55"/>
      <x:c r="F2" s="55"/>
      <x:c r="G2" s="55"/>
      <x:c r="H2" s="55"/>
    </x:row>
    <x:row r="3">
      <x:c r="A3" s="56"/>
      <x:c r="B3" s="56"/>
      <x:c r="C3" s="56"/>
      <x:c r="D3" s="56"/>
      <x:c r="E3" s="56"/>
      <x:c r="F3" s="56"/>
      <x:c r="G3" s="56"/>
      <x:c r="H3" s="56"/>
    </x:row>
    <x:row r="4">
      <x:c r="A4" s="57" t="str">
        <x:v>小红书</x:v>
      </x:c>
      <x:c r="B4" s="58"/>
      <x:c r="C4" s="58"/>
      <x:c r="D4" s="59"/>
      <x:c r="E4" s="57" t="str">
        <x:v>X</x:v>
      </x:c>
      <x:c r="F4" s="58"/>
      <x:c r="G4" s="58"/>
      <x:c r="H4" s="59"/>
    </x:row>
    <x:row r="5" ht="26" customHeight="1">
      <x:c r="A5" s="62" t="str">
        <x:v>metric_id</x:v>
      </x:c>
      <x:c r="B5" s="63" t="str">
        <x:v>公式</x:v>
      </x:c>
      <x:c r="C5" s="63" t="str">
        <x:v>CTA / 目标</x:v>
      </x:c>
      <x:c r="D5" s="64" t="str">
        <x:v>说明</x:v>
      </x:c>
      <x:c r="E5" s="62" t="str">
        <x:v>metric_id</x:v>
      </x:c>
      <x:c r="F5" s="63" t="str">
        <x:v>公式</x:v>
      </x:c>
      <x:c r="G5" s="63" t="str">
        <x:v>CTA / 目标</x:v>
      </x:c>
      <x:c r="H5" s="64" t="str">
        <x:v>说明</x:v>
      </x:c>
    </x:row>
    <x:row r="6">
      <x:c r="A6" s="56" t="str">
        <x:v>xhs_save_rate</x:v>
      </x:c>
      <x:c r="B6" s="56" t="str">
        <x:v>saves / views</x:v>
      </x:c>
      <x:c r="C6" s="56" t="str">
        <x:v>save</x:v>
      </x:c>
      <x:c r="D6" s="56" t="str">
        <x:v>收藏价值</x:v>
      </x:c>
      <x:c r="E6" s="56" t="str">
        <x:v>x_first_screen_engaged_rate_proxy</x:v>
      </x:c>
      <x:c r="F6" s="56" t="str">
        <x:v>engagements / impressions</x:v>
      </x:c>
      <x:c r="G6" s="56" t="str">
        <x:v>首屏代理</x:v>
      </x:c>
      <x:c r="H6" s="56" t="str">
        <x:v>不是 dwell rate</x:v>
      </x:c>
    </x:row>
    <x:row r="7">
      <x:c r="A7" s="56" t="str">
        <x:v>xhs_completion_rate</x:v>
      </x:c>
      <x:c r="B7" s="56" t="str">
        <x:v>completed views / views</x:v>
      </x:c>
      <x:c r="C7" s="56" t="str">
        <x:v>结构</x:v>
      </x:c>
      <x:c r="D7" s="56" t="str">
        <x:v>完读/滑完；无数据留空</x:v>
      </x:c>
      <x:c r="E7" s="56" t="str">
        <x:v>x_qualified_reply_rate</x:v>
      </x:c>
      <x:c r="F7" s="56" t="str">
        <x:v>qualified replies / impressions</x:v>
      </x:c>
      <x:c r="G7" s="56" t="str">
        <x:v>discussion</x:v>
      </x:c>
      <x:c r="H7" s="56" t="str">
        <x:v>reply quality</x:v>
      </x:c>
    </x:row>
    <x:row r="8">
      <x:c r="A8" s="56" t="str">
        <x:v>xhs_profile_visit_rate</x:v>
      </x:c>
      <x:c r="B8" s="56" t="str">
        <x:v>profile visits / views</x:v>
      </x:c>
      <x:c r="C8" s="56" t="str">
        <x:v>profile_visit</x:v>
      </x:c>
      <x:c r="D8" s="56" t="str">
        <x:v>主页访问</x:v>
      </x:c>
      <x:c r="E8" s="56" t="str">
        <x:v>x_profile_click_rate</x:v>
      </x:c>
      <x:c r="F8" s="56" t="str">
        <x:v>profile clicks / impressions</x:v>
      </x:c>
      <x:c r="G8" s="56" t="str">
        <x:v>profile_visit</x:v>
      </x:c>
      <x:c r="H8" s="56" t="str">
        <x:v>主页点击</x:v>
      </x:c>
    </x:row>
    <x:row r="9">
      <x:c r="A9" s="56" t="str">
        <x:v>xhs_dm_intent_rate</x:v>
      </x:c>
      <x:c r="B9" s="56" t="str">
        <x:v>DM intents / views</x:v>
      </x:c>
      <x:c r="C9" s="56" t="str">
        <x:v>dm</x:v>
      </x:c>
      <x:c r="D9" s="56" t="str">
        <x:v>私信意向</x:v>
      </x:c>
      <x:c r="E9" s="56" t="str">
        <x:v>x_link_intent_rate</x:v>
      </x:c>
      <x:c r="F9" s="56" t="str">
        <x:v>link intents / impressions</x:v>
      </x:c>
      <x:c r="G9" s="56" t="str">
        <x:v>link_click</x:v>
      </x:c>
      <x:c r="H9" s="56" t="str">
        <x:v>链接意向</x:v>
      </x:c>
    </x:row>
    <x:row r="10">
      <x:c r="A10" s="56" t="str">
        <x:v>xhs_discussion_rate</x:v>
      </x:c>
      <x:c r="B10" s="56" t="str">
        <x:v>comments / views</x:v>
      </x:c>
      <x:c r="C10" s="56" t="str">
        <x:v>discussion</x:v>
      </x:c>
      <x:c r="D10" s="56" t="str">
        <x:v>评论共创</x:v>
      </x:c>
      <x:c r="E10" s="56" t="str">
        <x:v>x_bookmark_rate</x:v>
      </x:c>
      <x:c r="F10" s="56" t="str">
        <x:v>bookmarks / impressions</x:v>
      </x:c>
      <x:c r="G10" s="56" t="str">
        <x:v>save</x:v>
      </x:c>
      <x:c r="H10" s="56" t="str">
        <x:v>只在 X 内比较</x:v>
      </x:c>
    </x:row>
    <x:row r="11">
      <x:c r="A11" s="56" t="str">
        <x:v>xhs_product_relevance_rate</x:v>
      </x:c>
      <x:c r="B11" s="56" t="str">
        <x:v>questions + trials / views</x:v>
      </x:c>
      <x:c r="C11" s="56" t="str">
        <x:v>产品 CTA</x:v>
      </x:c>
      <x:c r="D11" s="56" t="str">
        <x:v>产品相关性护栏</x:v>
      </x:c>
      <x:c r="E11" s="56" t="str">
        <x:v>x_product_relevance_rate</x:v>
      </x:c>
      <x:c r="F11" s="56" t="str">
        <x:v>questions + trials / impressions</x:v>
      </x:c>
      <x:c r="G11" s="56" t="str">
        <x:v>产品 CTA</x:v>
      </x:c>
      <x:c r="H11" s="56" t="str">
        <x:v>产品相关性护栏</x:v>
      </x:c>
    </x:row>
    <x:row r="12">
      <x:c r="A12" s="56"/>
      <x:c r="B12" s="56"/>
      <x:c r="C12" s="56"/>
      <x:c r="D12" s="56"/>
      <x:c r="E12" s="56"/>
      <x:c r="F12" s="56"/>
      <x:c r="G12" s="56"/>
      <x:c r="H12" s="56"/>
    </x:row>
    <x:row r="13">
      <x:c r="A13" s="57" t="str">
        <x:v>Platform × CTA 默认映射</x:v>
      </x:c>
      <x:c r="B13" s="58"/>
      <x:c r="C13" s="58"/>
      <x:c r="D13" s="58"/>
      <x:c r="E13" s="58"/>
      <x:c r="F13" s="58"/>
      <x:c r="G13" s="58"/>
      <x:c r="H13" s="59"/>
    </x:row>
    <x:row r="14" ht="26" customHeight="1">
      <x:c r="A14" s="62" t="str">
        <x:v>cta_type</x:v>
      </x:c>
      <x:c r="B14" s="63" t="str">
        <x:v>xiaohongshu</x:v>
      </x:c>
      <x:c r="C14" s="64" t="str">
        <x:v>x</x:v>
      </x:c>
      <x:c r="D14" s="56"/>
      <x:c r="E14" s="56"/>
      <x:c r="F14" s="56"/>
      <x:c r="G14" s="56"/>
      <x:c r="H14" s="56"/>
    </x:row>
    <x:row r="15">
      <x:c r="A15" s="56" t="str">
        <x:v>save</x:v>
      </x:c>
      <x:c r="B15" s="56" t="str">
        <x:v>xhs_save_rate</x:v>
      </x:c>
      <x:c r="C15" s="56" t="str">
        <x:v>x_bookmark_rate</x:v>
      </x:c>
      <x:c r="D15" s="56"/>
      <x:c r="E15" s="56"/>
      <x:c r="F15" s="56"/>
      <x:c r="G15" s="56"/>
      <x:c r="H15" s="56"/>
    </x:row>
    <x:row r="16">
      <x:c r="A16" s="56" t="str">
        <x:v>discussion</x:v>
      </x:c>
      <x:c r="B16" s="56" t="str">
        <x:v>xhs_discussion_rate</x:v>
      </x:c>
      <x:c r="C16" s="56" t="str">
        <x:v>x_qualified_reply_rate</x:v>
      </x:c>
      <x:c r="D16" s="56"/>
      <x:c r="E16" s="56"/>
      <x:c r="F16" s="56"/>
      <x:c r="G16" s="56"/>
      <x:c r="H16" s="56"/>
    </x:row>
    <x:row r="17">
      <x:c r="A17" s="56" t="str">
        <x:v>profile_visit</x:v>
      </x:c>
      <x:c r="B17" s="56" t="str">
        <x:v>xhs_profile_visit_rate</x:v>
      </x:c>
      <x:c r="C17" s="56" t="str">
        <x:v>x_profile_click_rate</x:v>
      </x:c>
      <x:c r="D17" s="56"/>
      <x:c r="E17" s="56"/>
      <x:c r="F17" s="56"/>
      <x:c r="G17" s="56"/>
      <x:c r="H17" s="56"/>
    </x:row>
    <x:row r="18">
      <x:c r="A18" s="56" t="str">
        <x:v>dm</x:v>
      </x:c>
      <x:c r="B18" s="56" t="str">
        <x:v>xhs_dm_intent_rate</x:v>
      </x:c>
      <x:c r="C18" s="56" t="str">
        <x:v>x_profile_click_rate（代理）</x:v>
      </x:c>
      <x:c r="D18" s="56"/>
      <x:c r="E18" s="56"/>
      <x:c r="F18" s="56"/>
      <x:c r="G18" s="56"/>
      <x:c r="H18" s="56"/>
    </x:row>
    <x:row r="19">
      <x:c r="A19" s="56" t="str">
        <x:v>link_click</x:v>
      </x:c>
      <x:c r="B19" s="56" t="str">
        <x:v>平台可见时使用</x:v>
      </x:c>
      <x:c r="C19" s="56" t="str">
        <x:v>x_link_intent_rate</x:v>
      </x:c>
      <x:c r="D19" s="56"/>
      <x:c r="E19" s="56"/>
      <x:c r="F19" s="56"/>
      <x:c r="G19" s="56"/>
      <x:c r="H19" s="56"/>
    </x:row>
    <x:row r="20">
      <x:c r="A20" s="56" t="str">
        <x:v>product_question</x:v>
      </x:c>
      <x:c r="B20" s="56" t="str">
        <x:v>xhs_product_relevance_rate</x:v>
      </x:c>
      <x:c r="C20" s="56" t="str">
        <x:v>x_product_relevance_rate</x:v>
      </x:c>
      <x:c r="D20" s="56"/>
      <x:c r="E20" s="56"/>
      <x:c r="F20" s="56"/>
      <x:c r="G20" s="56"/>
      <x:c r="H20" s="56"/>
    </x:row>
    <x:row r="21">
      <x:c r="A21" s="56" t="str">
        <x:v>trial_intent</x:v>
      </x:c>
      <x:c r="B21" s="56" t="str">
        <x:v>xhs_product_relevance_rate</x:v>
      </x:c>
      <x:c r="C21" s="56" t="str">
        <x:v>x_product_relevance_rate</x:v>
      </x:c>
      <x:c r="D21" s="56"/>
      <x:c r="E21" s="56"/>
      <x:c r="F21" s="56"/>
      <x:c r="G21" s="56"/>
      <x:c r="H21" s="56"/>
    </x:row>
    <x:row r="22">
      <x:c r="A22" s="56"/>
      <x:c r="B22" s="56"/>
      <x:c r="C22" s="56"/>
      <x:c r="D22" s="56"/>
      <x:c r="E22" s="56"/>
      <x:c r="F22" s="56"/>
      <x:c r="G22" s="56"/>
      <x:c r="H22" s="56"/>
    </x:row>
    <x:row r="23" ht="26" customHeight="1">
      <x:c r="A23" s="62" t="str">
        <x:v>规则</x:v>
      </x:c>
      <x:c r="B23" s="63" t="str">
        <x:v>缺失留空，不填 0</x:v>
      </x:c>
      <x:c r="C23" s="63" t="str">
        <x:v>同平台比较</x:v>
      </x:c>
      <x:c r="D23" s="63" t="str">
        <x:v>一个主指标</x:v>
      </x:c>
      <x:c r="E23" s="63" t="str">
        <x:v>其余为护栏</x:v>
      </x:c>
      <x:c r="F23" s="63" t="str">
        <x:v>不跨平台合分</x:v>
      </x:c>
      <x:c r="G23" s="63" t="str">
        <x:v>证据分不加权</x:v>
      </x:c>
      <x:c r="H23" s="64" t="str">
        <x:v>先看匹配 baseline</x:v>
      </x:c>
    </x:row>
    <x:row r="24">
      <x:c r="A24" s="56" t="str">
        <x:v>high</x:v>
      </x:c>
      <x:c r="B24" s="56" t="str">
        <x:v>相对 baseline ≥ +20%</x:v>
      </x:c>
      <x:c r="C24" s="56"/>
      <x:c r="D24" s="56"/>
      <x:c r="E24" s="56"/>
      <x:c r="F24" s="56"/>
      <x:c r="G24" s="56"/>
      <x:c r="H24" s="56"/>
    </x:row>
    <x:row r="25">
      <x:c r="A25" s="56" t="str">
        <x:v>low</x:v>
      </x:c>
      <x:c r="B25" s="56" t="str">
        <x:v>相对 baseline ≤ -20%</x:v>
      </x:c>
      <x:c r="C25" s="56"/>
      <x:c r="D25" s="56"/>
      <x:c r="E25" s="56"/>
      <x:c r="F25" s="56"/>
      <x:c r="G25" s="56"/>
      <x:c r="H25" s="56"/>
    </x:row>
  </x:sheetData>
  <x:mergeCells>
    <x:mergeCell ref="A1:H1"/>
    <x:mergeCell ref="A2:H2"/>
    <x:mergeCell ref="A4:D4"/>
    <x:mergeCell ref="E4:H4"/>
    <x:mergeCell ref="A13:H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0" hidden="0" customWidth="1"/>
    <x:col min="3" max="3" width="42" hidden="0" customWidth="1"/>
    <x:col min="4" max="4" width="18" hidden="0" customWidth="1"/>
    <x:col min="5" max="5" width="24" hidden="0" customWidth="1"/>
    <x:col min="6" max="6" width="16" hidden="0" customWidth="1"/>
    <x:col min="7" max="7" width="28" hidden="0" customWidth="1"/>
  </x:cols>
  <x:sheetData>
    <x:row r="1" ht="34" customHeight="1">
      <x:c r="A1" s="54" t="str">
        <x:v>Decision Rules</x:v>
      </x:c>
      <x:c r="B1" s="54"/>
      <x:c r="C1" s="54"/>
      <x:c r="D1" s="54"/>
      <x:c r="E1" s="54"/>
      <x:c r="F1" s="54"/>
      <x:c r="G1" s="54"/>
    </x:row>
    <x:row r="2" ht="28" customHeight="1">
      <x:c r="A2" s="55" t="str">
        <x:v>从上到下命中第一条。硬规则输出 next_action_code，不让 agent 临时发挥。</x:v>
      </x:c>
      <x:c r="B2" s="55"/>
      <x:c r="C2" s="55"/>
      <x:c r="D2" s="55"/>
      <x:c r="E2" s="55"/>
      <x:c r="F2" s="55"/>
      <x:c r="G2" s="55"/>
    </x:row>
    <x:row r="3">
      <x:c r="A3" s="56"/>
      <x:c r="B3" s="56"/>
      <x:c r="C3" s="56"/>
      <x:c r="D3" s="56"/>
      <x:c r="E3" s="56"/>
      <x:c r="F3" s="56"/>
      <x:c r="G3" s="56"/>
    </x:row>
    <x:row r="4" ht="26" customHeight="1">
      <x:c r="A4" s="62" t="str">
        <x:v>优先级</x:v>
      </x:c>
      <x:c r="B4" s="63" t="str">
        <x:v>条件</x:v>
      </x:c>
      <x:c r="C4" s="63" t="str">
        <x:v>next_action_code</x:v>
      </x:c>
      <x:c r="D4" s="63" t="str">
        <x:v>保留</x:v>
      </x:c>
      <x:c r="E4" s="63" t="str">
        <x:v>改变</x:v>
      </x:c>
      <x:c r="F4" s="63" t="str">
        <x:v>是否升 baseline</x:v>
      </x:c>
      <x:c r="G4" s="64" t="str">
        <x:v>说明</x:v>
      </x:c>
    </x:row>
    <x:row r="5">
      <x:c r="A5" s="56" t="n">
        <x:v>1</x:v>
      </x:c>
      <x:c r="B5" s="56" t="str">
        <x:v>追踪异常或关键数据缺失</x:v>
      </x:c>
      <x:c r="C5" s="56" t="str">
        <x:v>FIX_TRACKING</x:v>
      </x:c>
      <x:c r="D5" s="56" t="str">
        <x:v>—</x:v>
      </x:c>
      <x:c r="E5" s="56" t="str">
        <x:v>修复追踪</x:v>
      </x:c>
      <x:c r="F5" s="56" t="str">
        <x:v>否</x:v>
      </x:c>
      <x:c r="G5" s="56" t="str">
        <x:v>暂停判定</x:v>
      </x:c>
    </x:row>
    <x:row r="6">
      <x:c r="A6" s="56" t="n">
        <x:v>2</x:v>
      </x:c>
      <x:c r="B6" s="56" t="str">
        <x:v>护栏 lift ≤ -20%</x:v>
      </x:c>
      <x:c r="C6" s="56" t="str">
        <x:v>STOP_VARIANT_GUARDRAIL</x:v>
      </x:c>
      <x:c r="D6" s="56" t="str">
        <x:v>baseline</x:v>
      </x:c>
      <x:c r="E6" s="56" t="str">
        <x:v>停止变体</x:v>
      </x:c>
      <x:c r="F6" s="56" t="str">
        <x:v>否</x:v>
      </x:c>
      <x:c r="G6" s="56" t="str">
        <x:v>记录损害</x:v>
      </x:c>
    </x:row>
    <x:row r="7">
      <x:c r="A7" s="56" t="n">
        <x:v>3</x:v>
      </x:c>
      <x:c r="B7" s="56" t="str">
        <x:v>高曝光/高主指标但不可归因</x:v>
      </x:c>
      <x:c r="C7" s="56" t="str">
        <x:v>WATCHLIST_ONLY</x:v>
      </x:c>
      <x:c r="D7" s="56" t="str">
        <x:v>信号</x:v>
      </x:c>
      <x:c r="E7" s="56" t="str">
        <x:v>继续观察</x:v>
      </x:c>
      <x:c r="F7" s="56" t="str">
        <x:v>否</x:v>
      </x:c>
      <x:c r="G7" s="56" t="str">
        <x:v>单条爆发不晋级</x:v>
      </x:c>
    </x:row>
    <x:row r="8">
      <x:c r="A8" s="56" t="n">
        <x:v>4</x:v>
      </x:c>
      <x:c r="B8" s="56" t="str">
        <x:v>reach high + conversion low</x:v>
      </x:c>
      <x:c r="C8" s="56" t="str">
        <x:v>KEEP_HOOK_REWRITE_CTA</x:v>
      </x:c>
      <x:c r="D8" s="56" t="str">
        <x:v>hook</x:v>
      </x:c>
      <x:c r="E8" s="56" t="str">
        <x:v>CTA</x:v>
      </x:c>
      <x:c r="F8" s="56" t="str">
        <x:v>否</x:v>
      </x:c>
      <x:c r="G8" s="56" t="str">
        <x:v>高曝光低转化</x:v>
      </x:c>
    </x:row>
    <x:row r="9">
      <x:c r="A9" s="56" t="n">
        <x:v>5</x:v>
      </x:c>
      <x:c r="B9" s="56" t="str">
        <x:v>retention high + interaction low</x:v>
      </x:c>
      <x:c r="C9" s="56" t="str">
        <x:v>KEEP_STRUCTURE_CHANGE_DISCUSSION_ANGLE</x:v>
      </x:c>
      <x:c r="D9" s="56" t="str">
        <x:v>结构</x:v>
      </x:c>
      <x:c r="E9" s="56" t="str">
        <x:v>discussion angle</x:v>
      </x:c>
      <x:c r="F9" s="56" t="str">
        <x:v>否</x:v>
      </x:c>
      <x:c r="G9" s="56" t="str">
        <x:v>高收藏低互动</x:v>
      </x:c>
    </x:row>
    <x:row r="10">
      <x:c r="A10" s="56" t="n">
        <x:v>6</x:v>
      </x:c>
      <x:c r="B10" s="56" t="str">
        <x:v>interaction high + product relevance low</x:v>
      </x:c>
      <x:c r="C10" s="56" t="str">
        <x:v>DOWNWEIGHT_TEMPLATE</x:v>
      </x:c>
      <x:c r="D10" s="56" t="str">
        <x:v>数据</x:v>
      </x:c>
      <x:c r="E10" s="56" t="str">
        <x:v>模板权重</x:v>
      </x:c>
      <x:c r="F10" s="56" t="str">
        <x:v>否</x:v>
      </x:c>
      <x:c r="G10" s="56" t="str">
        <x:v>避免虚高互动</x:v>
      </x:c>
    </x:row>
    <x:row r="11">
      <x:c r="A11" s="56" t="n">
        <x:v>7</x:v>
      </x:c>
      <x:c r="B11" s="56" t="str">
        <x:v>可归因 + 主指标 lift ≥ 20%</x:v>
      </x:c>
      <x:c r="C11" s="56" t="str">
        <x:v>RETEST_WINNER</x:v>
      </x:c>
      <x:c r="D11" s="56" t="str">
        <x:v>变体</x:v>
      </x:c>
      <x:c r="E11" s="56" t="str">
        <x:v>同变量复测</x:v>
      </x:c>
      <x:c r="F11" s="56" t="str">
        <x:v>暂不</x:v>
      </x:c>
      <x:c r="G11" s="56" t="str">
        <x:v>先复测稳定性</x:v>
      </x:c>
    </x:row>
    <x:row r="12">
      <x:c r="A12" s="56" t="n">
        <x:v>8</x:v>
      </x:c>
      <x:c r="B12" s="56" t="str">
        <x:v>可归因 + 主指标 lift ≤ -20%</x:v>
      </x:c>
      <x:c r="C12" s="56" t="str">
        <x:v>RETURN_TO_BASELINE</x:v>
      </x:c>
      <x:c r="D12" s="56" t="str">
        <x:v>baseline</x:v>
      </x:c>
      <x:c r="E12" s="56" t="str">
        <x:v>记录失败条件</x:v>
      </x:c>
      <x:c r="F12" s="56" t="str">
        <x:v>否</x:v>
      </x:c>
      <x:c r="G12" s="56" t="str">
        <x:v>返回基线</x:v>
      </x:c>
    </x:row>
    <x:row r="13">
      <x:c r="A13" s="56" t="n">
        <x:v>9</x:v>
      </x:c>
      <x:c r="B13" s="56" t="str">
        <x:v>差异或样本不足</x:v>
      </x:c>
      <x:c r="C13" s="56" t="str">
        <x:v>COLLECT_MORE_DATA</x:v>
      </x:c>
      <x:c r="D13" s="56" t="str">
        <x:v>当前实验</x:v>
      </x:c>
      <x:c r="E13" s="56" t="str">
        <x:v>继续收集</x:v>
      </x:c>
      <x:c r="F13" s="56" t="str">
        <x:v>否</x:v>
      </x:c>
      <x:c r="G13" s="56" t="str">
        <x:v>不提前宣判</x:v>
      </x:c>
    </x:row>
    <x:row r="14">
      <x:c r="A14" s="56"/>
      <x:c r="B14" s="56"/>
      <x:c r="C14" s="56"/>
      <x:c r="D14" s="56"/>
      <x:c r="E14" s="56"/>
      <x:c r="F14" s="56"/>
      <x:c r="G14" s="56"/>
    </x:row>
    <x:row r="15">
      <x:c r="A15" s="57" t="str">
        <x:v>Playbook 准入</x:v>
      </x:c>
      <x:c r="B15" s="58"/>
      <x:c r="C15" s="58"/>
      <x:c r="D15" s="58"/>
      <x:c r="E15" s="58"/>
      <x:c r="F15" s="58"/>
      <x:c r="G15" s="59"/>
    </x:row>
    <x:row r="16">
      <x:c r="A16" s="56" t="str">
        <x:v>1</x:v>
      </x:c>
      <x:c r="B16" s="56" t="str">
        <x:v>同平台同 template 至少 3 次可归因使用</x:v>
      </x:c>
      <x:c r="C16" s="56"/>
      <x:c r="D16" s="56"/>
      <x:c r="E16" s="56"/>
      <x:c r="F16" s="56"/>
      <x:c r="G16" s="56"/>
    </x:row>
    <x:row r="17">
      <x:c r="A17" s="56" t="str">
        <x:v>2</x:v>
      </x:c>
      <x:c r="B17" s="56" t="str">
        <x:v>至少 2 wins，win rate ≥ 66.7%</x:v>
      </x:c>
      <x:c r="C17" s="56"/>
      <x:c r="D17" s="56"/>
      <x:c r="E17" s="56"/>
      <x:c r="F17" s="56"/>
      <x:c r="G17" s="56"/>
    </x:row>
    <x:row r="18">
      <x:c r="A18" s="56" t="str">
        <x:v>3</x:v>
      </x:c>
      <x:c r="B18" s="56" t="str">
        <x:v>主指标 lift 中位数 &gt; 0</x:v>
      </x:c>
      <x:c r="C18" s="56"/>
      <x:c r="D18" s="56"/>
      <x:c r="E18" s="56"/>
      <x:c r="F18" s="56"/>
      <x:c r="G18" s="56"/>
    </x:row>
    <x:row r="19">
      <x:c r="A19" s="56" t="str">
        <x:v>4</x:v>
      </x:c>
      <x:c r="B19" s="56" t="str">
        <x:v>0 次 guardrail fail</x:v>
      </x:c>
      <x:c r="C19" s="56"/>
      <x:c r="D19" s="56"/>
      <x:c r="E19" s="56"/>
      <x:c r="F19" s="56"/>
      <x:c r="G19" s="56"/>
    </x:row>
    <x:row r="20">
      <x:c r="A20" s="56" t="str">
        <x:v>5</x:v>
      </x:c>
      <x:c r="B20" s="56" t="str">
        <x:v>覆盖至少 2 个 test block</x:v>
      </x:c>
      <x:c r="C20" s="56"/>
      <x:c r="D20" s="56"/>
      <x:c r="E20" s="56"/>
      <x:c r="F20" s="56"/>
      <x:c r="G20" s="56"/>
    </x:row>
    <x:row r="21">
      <x:c r="A21" s="56"/>
      <x:c r="B21" s="56"/>
      <x:c r="C21" s="56"/>
      <x:c r="D21" s="56"/>
      <x:c r="E21" s="56"/>
      <x:c r="F21" s="56"/>
      <x:c r="G21" s="56"/>
    </x:row>
    <x:row r="22" ht="42" customHeight="1">
      <x:c r="A22" s="76" t="str">
        <x:v>归因：只改一个变量；主指标和护栏完整；平台/账号/pillar/audience stage/test block 匹配；无投流、导流、重发、处罚或时段异常。</x:v>
      </x:c>
      <x:c r="B22" s="76"/>
      <x:c r="C22" s="76"/>
      <x:c r="D22" s="76"/>
      <x:c r="E22" s="76"/>
      <x:c r="F22" s="76"/>
      <x:c r="G22" s="76"/>
    </x:row>
  </x:sheetData>
  <x:mergeCells>
    <x:mergeCell ref="A1:G1"/>
    <x:mergeCell ref="A2:G2"/>
    <x:mergeCell ref="A15:G15"/>
    <x:mergeCell ref="A22:G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5" hidden="0" customWidth="1"/>
    <x:col min="4" max="4" width="15" hidden="0" customWidth="1"/>
    <x:col min="5" max="5" width="14" hidden="0" customWidth="1"/>
    <x:col min="6" max="6" width="15" hidden="0" customWidth="1"/>
    <x:col min="7" max="7" width="26" hidden="0" customWidth="1"/>
    <x:col min="8" max="8" width="17" hidden="0" customWidth="1"/>
    <x:col min="9" max="9" width="23" hidden="0" customWidth="1"/>
    <x:col min="10" max="10" width="15" hidden="0" customWidth="1"/>
    <x:col min="11" max="11" width="15" hidden="0" customWidth="1"/>
    <x:col min="12" max="12" width="34" hidden="0" customWidth="1"/>
  </x:cols>
  <x:sheetData>
    <x:row r="1" ht="34" customHeight="1">
      <x:c r="A1" s="54" t="str">
        <x:v>ARTi Dashboard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</x:row>
    <x:row r="2" ht="28" customHeight="1">
      <x:c r="A2" s="55" t="str">
        <x:v>监测 pillar、proof type、platform × CTA、实验纯度与 reuse value。只统计可归因记录的受控胜率。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</x:row>
    <x:row r="4" ht="26" customHeight="1">
      <x:c r="A4" s="62" t="str">
        <x:v>Records</x:v>
      </x:c>
      <x:c r="B4" s="63"/>
      <x:c r="C4" s="63" t="str">
        <x:v>Complete</x:v>
      </x:c>
      <x:c r="D4" s="63"/>
      <x:c r="E4" s="63" t="str">
        <x:v>Attributable</x:v>
      </x:c>
      <x:c r="F4" s="63"/>
      <x:c r="G4" s="63" t="str">
        <x:v>Purity</x:v>
      </x:c>
      <x:c r="H4" s="63"/>
      <x:c r="I4" s="63" t="str">
        <x:v>Wins</x:v>
      </x:c>
      <x:c r="J4" s="63"/>
      <x:c r="K4" s="63" t="str">
        <x:v>Watchlist</x:v>
      </x:c>
      <x:c r="L4" s="64"/>
    </x:row>
    <x:row r="5">
      <x:c r="A5" s="77"/>
      <x:c r="B5" s="77" t="n">
        <x:f>COUNTA('Experiment Log'!$A$2:$A$201)</x:f>
        <x:v>0</x:v>
      </x:c>
      <x:c r="C5" s="77"/>
      <x:c r="D5" s="77" t="n">
        <x:f>COUNTIF('Experiment Log'!$T$2:$T$201,"complete")</x:f>
        <x:v>0</x:v>
      </x:c>
      <x:c r="E5" s="77"/>
      <x:c r="F5" s="77" t="n">
        <x:f>COUNTIF('Experiment Log'!$CA$2:$CA$201,"attributable")</x:f>
        <x:v>0</x:v>
      </x:c>
      <x:c r="G5" s="77"/>
      <x:c r="H5" s="78" t="str">
        <x:f>IFERROR(COUNTIFS('Experiment Log'!$T$2:$T$201,"complete",'Experiment Log'!$L$2:$L$201,"pure")/D5,"")</x:f>
      </x:c>
      <x:c r="I5" s="77"/>
      <x:c r="J5" s="77" t="n">
        <x:f>COUNTIF('Experiment Log'!$CB$2:$CB$201,"win")</x:f>
        <x:v>0</x:v>
      </x:c>
      <x:c r="K5" s="77"/>
      <x:c r="L5" s="77" t="n">
        <x:f>COUNTIF('Experiment Log'!$CB$2:$CB$201,"watchlist")</x:f>
        <x:v>0</x:v>
      </x:c>
    </x:row>
    <x:row r="6">
      <x:c r="A6" s="56"/>
      <x:c r="B6" s="56"/>
      <x:c r="C6" s="56"/>
      <x:c r="D6" s="56"/>
      <x:c r="E6" s="56"/>
      <x:c r="F6" s="56"/>
      <x:c r="G6" s="56"/>
      <x:c r="H6" s="56"/>
      <x:c r="I6" s="56"/>
      <x:c r="J6" s="56"/>
      <x:c r="K6" s="56"/>
      <x:c r="L6" s="56"/>
    </x:row>
    <x:row r="7">
      <x:c r="A7" s="56"/>
      <x:c r="B7" s="56"/>
      <x:c r="C7" s="56"/>
      <x:c r="D7" s="56"/>
      <x:c r="E7" s="56"/>
      <x:c r="F7" s="56"/>
      <x:c r="G7" s="56"/>
      <x:c r="H7" s="56"/>
      <x:c r="I7" s="56"/>
      <x:c r="J7" s="56"/>
      <x:c r="K7" s="56"/>
      <x:c r="L7" s="56"/>
    </x:row>
    <x:row r="8">
      <x:c r="A8" s="57" t="str">
        <x:v>Win rate by pillar</x:v>
      </x:c>
      <x:c r="B8" s="58"/>
      <x:c r="C8" s="58"/>
      <x:c r="D8" s="58"/>
      <x:c r="E8" s="58"/>
      <x:c r="F8" s="59"/>
      <x:c r="G8" s="57" t="str">
        <x:v>Win rate by proof type</x:v>
      </x:c>
      <x:c r="H8" s="58"/>
      <x:c r="I8" s="58"/>
      <x:c r="J8" s="58"/>
      <x:c r="K8" s="58"/>
      <x:c r="L8" s="59"/>
    </x:row>
    <x:row r="9" ht="26" customHeight="1">
      <x:c r="A9" s="62" t="str">
        <x:v>pillar</x:v>
      </x:c>
      <x:c r="B9" s="63" t="str">
        <x:v>records</x:v>
      </x:c>
      <x:c r="C9" s="63" t="str">
        <x:v>attributable</x:v>
      </x:c>
      <x:c r="D9" s="63" t="str">
        <x:v>wins</x:v>
      </x:c>
      <x:c r="E9" s="63" t="str">
        <x:v>win rate</x:v>
      </x:c>
      <x:c r="F9" s="64" t="str">
        <x:v>avg evidence</x:v>
      </x:c>
      <x:c r="G9" s="62" t="str">
        <x:v>proof_type</x:v>
      </x:c>
      <x:c r="H9" s="63" t="str">
        <x:v>records</x:v>
      </x:c>
      <x:c r="I9" s="63" t="str">
        <x:v>attributable</x:v>
      </x:c>
      <x:c r="J9" s="63" t="str">
        <x:v>wins</x:v>
      </x:c>
      <x:c r="K9" s="63" t="str">
        <x:v>win rate</x:v>
      </x:c>
      <x:c r="L9" s="64" t="str">
        <x:v>avg evidence</x:v>
      </x:c>
    </x:row>
    <x:row r="10">
      <x:c r="A10" s="56" t="str">
        <x:v>ai_tool_benchmark</x:v>
      </x:c>
      <x:c r="B10" s="56" t="n">
        <x:f>COUNTIF('Experiment Log'!$E$2:$E$201,A10)</x:f>
        <x:v>0</x:v>
      </x:c>
      <x:c r="C10" s="56" t="n">
        <x:f>COUNTIFS('Experiment Log'!$E$2:$E$201,A10,'Experiment Log'!$CA$2:$CA$201,"attributable")</x:f>
        <x:v>0</x:v>
      </x:c>
      <x:c r="D10" s="56" t="n">
        <x:f>COUNTIFS('Experiment Log'!$E$2:$E$201,A10,'Experiment Log'!$CB$2:$CB$201,"win")</x:f>
        <x:v>0</x:v>
      </x:c>
      <x:c r="E10" s="79" t="str">
        <x:f>IFERROR(D10/C10,"")</x:f>
      </x:c>
      <x:c r="F10" s="80" t="str">
        <x:f>IFERROR(AVERAGEIF('Experiment Log'!$E$2:$E$201,A10,'Experiment Log'!$H$2:$H$201),"")</x:f>
      </x:c>
      <x:c r="G10" s="56" t="str">
        <x:v>real_product_usage</x:v>
      </x:c>
      <x:c r="H10" s="56" t="n">
        <x:f>COUNTIF('Experiment Log'!$G$2:$G$201,G10)</x:f>
        <x:v>0</x:v>
      </x:c>
      <x:c r="I10" s="56" t="n">
        <x:f>COUNTIFS('Experiment Log'!$G$2:$G$201,G10,'Experiment Log'!$CA$2:$CA$201,"attributable")</x:f>
        <x:v>0</x:v>
      </x:c>
      <x:c r="J10" s="56" t="n">
        <x:f>COUNTIFS('Experiment Log'!$G$2:$G$201,G10,'Experiment Log'!$CB$2:$CB$201,"win")</x:f>
        <x:v>0</x:v>
      </x:c>
      <x:c r="K10" s="79" t="str">
        <x:f>IFERROR(J10/I10,"")</x:f>
      </x:c>
      <x:c r="L10" s="80" t="str">
        <x:f>IFERROR(AVERAGEIF('Experiment Log'!$G$2:$G$201,G10,'Experiment Log'!$H$2:$H$201),"")</x:f>
      </x:c>
    </x:row>
    <x:row r="11">
      <x:c r="A11" s="56" t="str">
        <x:v>ai_workflow</x:v>
      </x:c>
      <x:c r="B11" s="56" t="n">
        <x:f>COUNTIF('Experiment Log'!$E$2:$E$201,A11)</x:f>
        <x:v>0</x:v>
      </x:c>
      <x:c r="C11" s="56" t="n">
        <x:f>COUNTIFS('Experiment Log'!$E$2:$E$201,A11,'Experiment Log'!$CA$2:$CA$201,"attributable")</x:f>
        <x:v>0</x:v>
      </x:c>
      <x:c r="D11" s="56" t="n">
        <x:f>COUNTIFS('Experiment Log'!$E$2:$E$201,A11,'Experiment Log'!$CB$2:$CB$201,"win")</x:f>
        <x:v>0</x:v>
      </x:c>
      <x:c r="E11" s="79" t="str">
        <x:f>IFERROR(D11/C11,"")</x:f>
      </x:c>
      <x:c r="F11" s="80" t="str">
        <x:f>IFERROR(AVERAGEIF('Experiment Log'!$E$2:$E$201,A11,'Experiment Log'!$H$2:$H$201),"")</x:f>
      </x:c>
      <x:c r="G11" s="56" t="str">
        <x:v>screenshot_proof</x:v>
      </x:c>
      <x:c r="H11" s="56" t="n">
        <x:f>COUNTIF('Experiment Log'!$G$2:$G$201,G11)</x:f>
        <x:v>0</x:v>
      </x:c>
      <x:c r="I11" s="56" t="n">
        <x:f>COUNTIFS('Experiment Log'!$G$2:$G$201,G11,'Experiment Log'!$CA$2:$CA$201,"attributable")</x:f>
        <x:v>0</x:v>
      </x:c>
      <x:c r="J11" s="56" t="n">
        <x:f>COUNTIFS('Experiment Log'!$G$2:$G$201,G11,'Experiment Log'!$CB$2:$CB$201,"win")</x:f>
        <x:v>0</x:v>
      </x:c>
      <x:c r="K11" s="79" t="str">
        <x:f>IFERROR(J11/I11,"")</x:f>
      </x:c>
      <x:c r="L11" s="80" t="str">
        <x:f>IFERROR(AVERAGEIF('Experiment Log'!$G$2:$G$201,G11,'Experiment Log'!$H$2:$H$201),"")</x:f>
      </x:c>
    </x:row>
    <x:row r="12">
      <x:c r="A12" s="56" t="str">
        <x:v>research_education</x:v>
      </x:c>
      <x:c r="B12" s="56" t="n">
        <x:f>COUNTIF('Experiment Log'!$E$2:$E$201,A12)</x:f>
        <x:v>0</x:v>
      </x:c>
      <x:c r="C12" s="56" t="n">
        <x:f>COUNTIFS('Experiment Log'!$E$2:$E$201,A12,'Experiment Log'!$CA$2:$CA$201,"attributable")</x:f>
        <x:v>0</x:v>
      </x:c>
      <x:c r="D12" s="56" t="n">
        <x:f>COUNTIFS('Experiment Log'!$E$2:$E$201,A12,'Experiment Log'!$CB$2:$CB$201,"win")</x:f>
        <x:v>0</x:v>
      </x:c>
      <x:c r="E12" s="79" t="str">
        <x:f>IFERROR(D12/C12,"")</x:f>
      </x:c>
      <x:c r="F12" s="80" t="str">
        <x:f>IFERROR(AVERAGEIF('Experiment Log'!$E$2:$E$201,A12,'Experiment Log'!$H$2:$H$201),"")</x:f>
      </x:c>
      <x:c r="G12" s="56" t="str">
        <x:v>benchmark_data</x:v>
      </x:c>
      <x:c r="H12" s="56" t="n">
        <x:f>COUNTIF('Experiment Log'!$G$2:$G$201,G12)</x:f>
        <x:v>0</x:v>
      </x:c>
      <x:c r="I12" s="56" t="n">
        <x:f>COUNTIFS('Experiment Log'!$G$2:$G$201,G12,'Experiment Log'!$CA$2:$CA$201,"attributable")</x:f>
        <x:v>0</x:v>
      </x:c>
      <x:c r="J12" s="56" t="n">
        <x:f>COUNTIFS('Experiment Log'!$G$2:$G$201,G12,'Experiment Log'!$CB$2:$CB$201,"win")</x:f>
        <x:v>0</x:v>
      </x:c>
      <x:c r="K12" s="79" t="str">
        <x:f>IFERROR(J12/I12,"")</x:f>
      </x:c>
      <x:c r="L12" s="80" t="str">
        <x:f>IFERROR(AVERAGEIF('Experiment Log'!$G$2:$G$201,G12,'Experiment Log'!$H$2:$H$201),"")</x:f>
      </x:c>
    </x:row>
    <x:row r="13">
      <x:c r="A13" s="56" t="str">
        <x:v>arti_product_test</x:v>
      </x:c>
      <x:c r="B13" s="56" t="n">
        <x:f>COUNTIF('Experiment Log'!$E$2:$E$201,A13)</x:f>
        <x:v>0</x:v>
      </x:c>
      <x:c r="C13" s="56" t="n">
        <x:f>COUNTIFS('Experiment Log'!$E$2:$E$201,A13,'Experiment Log'!$CA$2:$CA$201,"attributable")</x:f>
        <x:v>0</x:v>
      </x:c>
      <x:c r="D13" s="56" t="n">
        <x:f>COUNTIFS('Experiment Log'!$E$2:$E$201,A13,'Experiment Log'!$CB$2:$CB$201,"win")</x:f>
        <x:v>0</x:v>
      </x:c>
      <x:c r="E13" s="79" t="str">
        <x:f>IFERROR(D13/C13,"")</x:f>
      </x:c>
      <x:c r="F13" s="80" t="str">
        <x:f>IFERROR(AVERAGEIF('Experiment Log'!$E$2:$E$201,A13,'Experiment Log'!$H$2:$H$201),"")</x:f>
      </x:c>
      <x:c r="G13" s="56" t="str">
        <x:v>subjective_opinion_only</x:v>
      </x:c>
      <x:c r="H13" s="56" t="n">
        <x:f>COUNTIF('Experiment Log'!$G$2:$G$201,G13)</x:f>
        <x:v>0</x:v>
      </x:c>
      <x:c r="I13" s="56" t="n">
        <x:f>COUNTIFS('Experiment Log'!$G$2:$G$201,G13,'Experiment Log'!$CA$2:$CA$201,"attributable")</x:f>
        <x:v>0</x:v>
      </x:c>
      <x:c r="J13" s="56" t="n">
        <x:f>COUNTIFS('Experiment Log'!$G$2:$G$201,G13,'Experiment Log'!$CB$2:$CB$201,"win")</x:f>
        <x:v>0</x:v>
      </x:c>
      <x:c r="K13" s="79" t="str">
        <x:f>IFERROR(J13/I13,"")</x:f>
      </x:c>
      <x:c r="L13" s="80" t="str">
        <x:f>IFERROR(AVERAGEIF('Experiment Log'!$G$2:$G$201,G13,'Experiment Log'!$H$2:$H$201),"")</x:f>
      </x:c>
    </x:row>
    <x:row r="14">
      <x:c r="A14" s="56" t="str">
        <x:v>audience_cocreation</x:v>
      </x:c>
      <x:c r="B14" s="56" t="n">
        <x:f>COUNTIF('Experiment Log'!$E$2:$E$201,A14)</x:f>
        <x:v>0</x:v>
      </x:c>
      <x:c r="C14" s="56" t="n">
        <x:f>COUNTIFS('Experiment Log'!$E$2:$E$201,A14,'Experiment Log'!$CA$2:$CA$201,"attributable")</x:f>
        <x:v>0</x:v>
      </x:c>
      <x:c r="D14" s="56" t="n">
        <x:f>COUNTIFS('Experiment Log'!$E$2:$E$201,A14,'Experiment Log'!$CB$2:$CB$201,"win")</x:f>
        <x:v>0</x:v>
      </x:c>
      <x:c r="E14" s="79" t="str">
        <x:f>IFERROR(D14/C14,"")</x:f>
      </x:c>
      <x:c r="F14" s="80" t="str">
        <x:f>IFERROR(AVERAGEIF('Experiment Log'!$E$2:$E$201,A14,'Experiment Log'!$H$2:$H$201),"")</x:f>
      </x:c>
      <x:c r="G14" s="56"/>
      <x:c r="H14" s="56"/>
      <x:c r="I14" s="56"/>
      <x:c r="J14" s="56"/>
      <x:c r="K14" s="56"/>
      <x:c r="L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</x:row>
    <x:row r="16">
      <x:c r="A16" s="56"/>
      <x:c r="B16" s="56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</x:row>
    <x:row r="17">
      <x:c r="A17" s="57" t="str">
        <x:v>Platform × CTA conversion</x:v>
      </x:c>
      <x:c r="B17" s="58"/>
      <x:c r="C17" s="58"/>
      <x:c r="D17" s="58"/>
      <x:c r="E17" s="58"/>
      <x:c r="F17" s="58"/>
      <x:c r="G17" s="59"/>
      <x:c r="H17" s="56"/>
      <x:c r="I17" s="57" t="str">
        <x:v>Variable discipline</x:v>
      </x:c>
      <x:c r="J17" s="58"/>
      <x:c r="K17" s="58"/>
      <x:c r="L17" s="59"/>
    </x:row>
    <x:row r="18" ht="26" customHeight="1">
      <x:c r="A18" s="62" t="str">
        <x:v>platform</x:v>
      </x:c>
      <x:c r="B18" s="63" t="str">
        <x:v>cta_type</x:v>
      </x:c>
      <x:c r="C18" s="63" t="str">
        <x:v>records</x:v>
      </x:c>
      <x:c r="D18" s="63" t="str">
        <x:v>attributable</x:v>
      </x:c>
      <x:c r="E18" s="63" t="str">
        <x:v>wins</x:v>
      </x:c>
      <x:c r="F18" s="63" t="str">
        <x:v>win rate</x:v>
      </x:c>
      <x:c r="G18" s="64" t="str">
        <x:v>avg conversion</x:v>
      </x:c>
      <x:c r="H18" s="56"/>
      <x:c r="I18" s="62" t="str">
        <x:v>status</x:v>
      </x:c>
      <x:c r="J18" s="63" t="str">
        <x:v>count</x:v>
      </x:c>
      <x:c r="K18" s="63" t="str">
        <x:v>share</x:v>
      </x:c>
      <x:c r="L18" s="64" t="str">
        <x:v>进入受控胜率</x:v>
      </x:c>
    </x:row>
    <x:row r="19">
      <x:c r="A19" s="56" t="str">
        <x:v>xiaohongshu</x:v>
      </x:c>
      <x:c r="B19" s="56" t="str">
        <x:v>save</x:v>
      </x:c>
      <x:c r="C19" s="56" t="n">
        <x:f>COUNTIFS('Experiment Log'!$C$2:$C$201,A19,'Experiment Log'!$I$2:$I$201,B19)</x:f>
        <x:v>0</x:v>
      </x:c>
      <x:c r="D19" s="56" t="n">
        <x:f>COUNTIFS('Experiment Log'!$C$2:$C$201,A19,'Experiment Log'!$I$2:$I$201,B19,'Experiment Log'!$CA$2:$CA$201,"attributable")</x:f>
        <x:v>0</x:v>
      </x:c>
      <x:c r="E19" s="56" t="n">
        <x:f>COUNTIFS('Experiment Log'!$C$2:$C$201,A19,'Experiment Log'!$I$2:$I$201,B19,'Experiment Log'!$CB$2:$CB$201,"win")</x:f>
        <x:v>0</x:v>
      </x:c>
      <x:c r="F19" s="79" t="str">
        <x:f>IFERROR(E19/D19,"")</x:f>
      </x:c>
      <x:c r="G19" s="79" t="str">
        <x:f>IFERROR(SUMIFS('Experiment Log'!$BT$2:$BT$201,'Experiment Log'!$C$2:$C$201,A19,'Experiment Log'!$I$2:$I$201,B19,'Experiment Log'!$CA$2:$CA$201,"attributable")/D19,"")</x:f>
      </x:c>
      <x:c r="H19" s="56"/>
      <x:c r="I19" s="56" t="str">
        <x:v>pure</x:v>
      </x:c>
      <x:c r="J19" s="56" t="n">
        <x:f>COUNTIFS('Experiment Log'!$T$2:$T$201,"complete",'Experiment Log'!$L$2:$L$201,I19)</x:f>
        <x:v>0</x:v>
      </x:c>
      <x:c r="K19" s="79" t="str">
        <x:f>IFERROR(J19/$D$5,"")</x:f>
      </x:c>
      <x:c r="L19" s="56" t="str">
        <x:v>是</x:v>
      </x:c>
    </x:row>
    <x:row r="20">
      <x:c r="A20" s="56" t="str">
        <x:v>xiaohongshu</x:v>
      </x:c>
      <x:c r="B20" s="56" t="str">
        <x:v>discussion</x:v>
      </x:c>
      <x:c r="C20" s="56" t="n">
        <x:f>COUNTIFS('Experiment Log'!$C$2:$C$201,A20,'Experiment Log'!$I$2:$I$201,B20)</x:f>
        <x:v>0</x:v>
      </x:c>
      <x:c r="D20" s="56" t="n">
        <x:f>COUNTIFS('Experiment Log'!$C$2:$C$201,A20,'Experiment Log'!$I$2:$I$201,B20,'Experiment Log'!$CA$2:$CA$201,"attributable")</x:f>
        <x:v>0</x:v>
      </x:c>
      <x:c r="E20" s="56" t="n">
        <x:f>COUNTIFS('Experiment Log'!$C$2:$C$201,A20,'Experiment Log'!$I$2:$I$201,B20,'Experiment Log'!$CB$2:$CB$201,"win")</x:f>
        <x:v>0</x:v>
      </x:c>
      <x:c r="F20" s="79" t="str">
        <x:f>IFERROR(E20/D20,"")</x:f>
      </x:c>
      <x:c r="G20" s="79" t="str">
        <x:f>IFERROR(SUMIFS('Experiment Log'!$BT$2:$BT$201,'Experiment Log'!$C$2:$C$201,A20,'Experiment Log'!$I$2:$I$201,B20,'Experiment Log'!$CA$2:$CA$201,"attributable")/D20,"")</x:f>
      </x:c>
      <x:c r="H20" s="56"/>
      <x:c r="I20" s="56" t="str">
        <x:v>mixed</x:v>
      </x:c>
      <x:c r="J20" s="56" t="n">
        <x:f>COUNTIFS('Experiment Log'!$T$2:$T$201,"complete",'Experiment Log'!$L$2:$L$201,I20)</x:f>
        <x:v>0</x:v>
      </x:c>
      <x:c r="K20" s="79" t="str">
        <x:f>IFERROR(J20/$D$5,"")</x:f>
      </x:c>
      <x:c r="L20" s="56" t="str">
        <x:v>否</x:v>
      </x:c>
    </x:row>
    <x:row r="21">
      <x:c r="A21" s="56" t="str">
        <x:v>xiaohongshu</x:v>
      </x:c>
      <x:c r="B21" s="56" t="str">
        <x:v>profile_visit</x:v>
      </x:c>
      <x:c r="C21" s="56" t="n">
        <x:f>COUNTIFS('Experiment Log'!$C$2:$C$201,A21,'Experiment Log'!$I$2:$I$201,B21)</x:f>
        <x:v>0</x:v>
      </x:c>
      <x:c r="D21" s="56" t="n">
        <x:f>COUNTIFS('Experiment Log'!$C$2:$C$201,A21,'Experiment Log'!$I$2:$I$201,B21,'Experiment Log'!$CA$2:$CA$201,"attributable")</x:f>
        <x:v>0</x:v>
      </x:c>
      <x:c r="E21" s="56" t="n">
        <x:f>COUNTIFS('Experiment Log'!$C$2:$C$201,A21,'Experiment Log'!$I$2:$I$201,B21,'Experiment Log'!$CB$2:$CB$201,"win")</x:f>
        <x:v>0</x:v>
      </x:c>
      <x:c r="F21" s="79" t="str">
        <x:f>IFERROR(E21/D21,"")</x:f>
      </x:c>
      <x:c r="G21" s="79" t="str">
        <x:f>IFERROR(SUMIFS('Experiment Log'!$BT$2:$BT$201,'Experiment Log'!$C$2:$C$201,A21,'Experiment Log'!$I$2:$I$201,B21,'Experiment Log'!$CA$2:$CA$201,"attributable")/D21,"")</x:f>
      </x:c>
      <x:c r="H21" s="56"/>
      <x:c r="I21" s="56" t="str">
        <x:v>baseline</x:v>
      </x:c>
      <x:c r="J21" s="56" t="n">
        <x:f>COUNTIFS('Experiment Log'!$T$2:$T$201,"complete",'Experiment Log'!$L$2:$L$201,I21)</x:f>
        <x:v>0</x:v>
      </x:c>
      <x:c r="K21" s="79" t="str">
        <x:f>IFERROR(J21/$D$5,"")</x:f>
      </x:c>
      <x:c r="L21" s="56" t="str">
        <x:v>基线采样</x:v>
      </x:c>
    </x:row>
    <x:row r="22">
      <x:c r="A22" s="56" t="str">
        <x:v>xiaohongshu</x:v>
      </x:c>
      <x:c r="B22" s="56" t="str">
        <x:v>dm</x:v>
      </x:c>
      <x:c r="C22" s="56" t="n">
        <x:f>COUNTIFS('Experiment Log'!$C$2:$C$201,A22,'Experiment Log'!$I$2:$I$201,B22)</x:f>
        <x:v>0</x:v>
      </x:c>
      <x:c r="D22" s="56" t="n">
        <x:f>COUNTIFS('Experiment Log'!$C$2:$C$201,A22,'Experiment Log'!$I$2:$I$201,B22,'Experiment Log'!$CA$2:$CA$201,"attributable")</x:f>
        <x:v>0</x:v>
      </x:c>
      <x:c r="E22" s="56" t="n">
        <x:f>COUNTIFS('Experiment Log'!$C$2:$C$201,A22,'Experiment Log'!$I$2:$I$201,B22,'Experiment Log'!$CB$2:$CB$201,"win")</x:f>
        <x:v>0</x:v>
      </x:c>
      <x:c r="F22" s="79" t="str">
        <x:f>IFERROR(E22/D22,"")</x:f>
      </x:c>
      <x:c r="G22" s="79" t="str">
        <x:f>IFERROR(SUMIFS('Experiment Log'!$BT$2:$BT$201,'Experiment Log'!$C$2:$C$201,A22,'Experiment Log'!$I$2:$I$201,B22,'Experiment Log'!$CA$2:$CA$201,"attributable")/D22,"")</x:f>
      </x:c>
      <x:c r="H22" s="56"/>
      <x:c r="I22" s="56" t="str">
        <x:v>unknown</x:v>
      </x:c>
      <x:c r="J22" s="56" t="n">
        <x:f>COUNTIFS('Experiment Log'!$T$2:$T$201,"complete",'Experiment Log'!$L$2:$L$201,I22)</x:f>
        <x:v>0</x:v>
      </x:c>
      <x:c r="K22" s="79" t="str">
        <x:f>IFERROR(J22/$D$5,"")</x:f>
      </x:c>
      <x:c r="L22" s="56" t="str">
        <x:v>先补数据</x:v>
      </x:c>
    </x:row>
    <x:row r="23">
      <x:c r="A23" s="56" t="str">
        <x:v>xiaohongshu</x:v>
      </x:c>
      <x:c r="B23" s="56" t="str">
        <x:v>link_click</x:v>
      </x:c>
      <x:c r="C23" s="56" t="n">
        <x:f>COUNTIFS('Experiment Log'!$C$2:$C$201,A23,'Experiment Log'!$I$2:$I$201,B23)</x:f>
        <x:v>0</x:v>
      </x:c>
      <x:c r="D23" s="56" t="n">
        <x:f>COUNTIFS('Experiment Log'!$C$2:$C$201,A23,'Experiment Log'!$I$2:$I$201,B23,'Experiment Log'!$CA$2:$CA$201,"attributable")</x:f>
        <x:v>0</x:v>
      </x:c>
      <x:c r="E23" s="56" t="n">
        <x:f>COUNTIFS('Experiment Log'!$C$2:$C$201,A23,'Experiment Log'!$I$2:$I$201,B23,'Experiment Log'!$CB$2:$CB$201,"win")</x:f>
        <x:v>0</x:v>
      </x:c>
      <x:c r="F23" s="79" t="str">
        <x:f>IFERROR(E23/D23,"")</x:f>
      </x:c>
      <x:c r="G23" s="79" t="str">
        <x:f>IFERROR(SUMIFS('Experiment Log'!$BT$2:$BT$201,'Experiment Log'!$C$2:$C$201,A23,'Experiment Log'!$I$2:$I$201,B23,'Experiment Log'!$CA$2:$CA$201,"attributable")/D23,"")</x:f>
      </x:c>
      <x:c r="H23" s="56"/>
      <x:c r="I23" s="56"/>
      <x:c r="J23" s="56"/>
      <x:c r="K23" s="56"/>
      <x:c r="L23" s="56"/>
    </x:row>
    <x:row r="24">
      <x:c r="A24" s="56" t="str">
        <x:v>xiaohongshu</x:v>
      </x:c>
      <x:c r="B24" s="56" t="str">
        <x:v>product_question</x:v>
      </x:c>
      <x:c r="C24" s="56" t="n">
        <x:f>COUNTIFS('Experiment Log'!$C$2:$C$201,A24,'Experiment Log'!$I$2:$I$201,B24)</x:f>
        <x:v>0</x:v>
      </x:c>
      <x:c r="D24" s="56" t="n">
        <x:f>COUNTIFS('Experiment Log'!$C$2:$C$201,A24,'Experiment Log'!$I$2:$I$201,B24,'Experiment Log'!$CA$2:$CA$201,"attributable")</x:f>
        <x:v>0</x:v>
      </x:c>
      <x:c r="E24" s="56" t="n">
        <x:f>COUNTIFS('Experiment Log'!$C$2:$C$201,A24,'Experiment Log'!$I$2:$I$201,B24,'Experiment Log'!$CB$2:$CB$201,"win")</x:f>
        <x:v>0</x:v>
      </x:c>
      <x:c r="F24" s="79" t="str">
        <x:f>IFERROR(E24/D24,"")</x:f>
      </x:c>
      <x:c r="G24" s="79" t="str">
        <x:f>IFERROR(SUMIFS('Experiment Log'!$BT$2:$BT$201,'Experiment Log'!$C$2:$C$201,A24,'Experiment Log'!$I$2:$I$201,B24,'Experiment Log'!$CA$2:$CA$201,"attributable")/D24,"")</x:f>
      </x:c>
      <x:c r="H24" s="56"/>
      <x:c r="I24" s="81" t="str">
        <x:v>Reuse value</x:v>
      </x:c>
      <x:c r="J24" s="81" t="str">
        <x:v>查看 Playbook sheet</x:v>
      </x:c>
      <x:c r="K24" s="81"/>
      <x:c r="L24" s="81"/>
    </x:row>
    <x:row r="25">
      <x:c r="A25" s="56" t="str">
        <x:v>xiaohongshu</x:v>
      </x:c>
      <x:c r="B25" s="56" t="str">
        <x:v>trial_intent</x:v>
      </x:c>
      <x:c r="C25" s="56" t="n">
        <x:f>COUNTIFS('Experiment Log'!$C$2:$C$201,A25,'Experiment Log'!$I$2:$I$201,B25)</x:f>
        <x:v>0</x:v>
      </x:c>
      <x:c r="D25" s="56" t="n">
        <x:f>COUNTIFS('Experiment Log'!$C$2:$C$201,A25,'Experiment Log'!$I$2:$I$201,B25,'Experiment Log'!$CA$2:$CA$201,"attributable")</x:f>
        <x:v>0</x:v>
      </x:c>
      <x:c r="E25" s="56" t="n">
        <x:f>COUNTIFS('Experiment Log'!$C$2:$C$201,A25,'Experiment Log'!$I$2:$I$201,B25,'Experiment Log'!$CB$2:$CB$201,"win")</x:f>
        <x:v>0</x:v>
      </x:c>
      <x:c r="F25" s="79" t="str">
        <x:f>IFERROR(E25/D25,"")</x:f>
      </x:c>
      <x:c r="G25" s="79" t="str">
        <x:f>IFERROR(SUMIFS('Experiment Log'!$BT$2:$BT$201,'Experiment Log'!$C$2:$C$201,A25,'Experiment Log'!$I$2:$I$201,B25,'Experiment Log'!$CA$2:$CA$201,"attributable")/D25,"")</x:f>
      </x:c>
      <x:c r="H25" s="56"/>
      <x:c r="I25" s="56" t="str">
        <x:v>准入</x:v>
      </x:c>
      <x:c r="J25" s="56" t="str">
        <x:v>3+ uses / 2+ wins / ≥66.7% / lift&gt;0 / 0 guardrail fail / 2 blocks</x:v>
      </x:c>
      <x:c r="K25" s="56"/>
      <x:c r="L25" s="56"/>
    </x:row>
    <x:row r="26">
      <x:c r="A26" s="56" t="str">
        <x:v>x</x:v>
      </x:c>
      <x:c r="B26" s="56" t="str">
        <x:v>save</x:v>
      </x:c>
      <x:c r="C26" s="56" t="n">
        <x:f>COUNTIFS('Experiment Log'!$C$2:$C$201,A26,'Experiment Log'!$I$2:$I$201,B26)</x:f>
        <x:v>0</x:v>
      </x:c>
      <x:c r="D26" s="56" t="n">
        <x:f>COUNTIFS('Experiment Log'!$C$2:$C$201,A26,'Experiment Log'!$I$2:$I$201,B26,'Experiment Log'!$CA$2:$CA$201,"attributable")</x:f>
        <x:v>0</x:v>
      </x:c>
      <x:c r="E26" s="56" t="n">
        <x:f>COUNTIFS('Experiment Log'!$C$2:$C$201,A26,'Experiment Log'!$I$2:$I$201,B26,'Experiment Log'!$CB$2:$CB$201,"win")</x:f>
        <x:v>0</x:v>
      </x:c>
      <x:c r="F26" s="79" t="str">
        <x:f>IFERROR(E26/D26,"")</x:f>
      </x:c>
      <x:c r="G26" s="79" t="str">
        <x:f>IFERROR(SUMIFS('Experiment Log'!$BT$2:$BT$201,'Experiment Log'!$C$2:$C$201,A26,'Experiment Log'!$I$2:$I$201,B26,'Experiment Log'!$CA$2:$CA$201,"attributable")/D26,"")</x:f>
      </x:c>
      <x:c r="H26" s="56"/>
      <x:c r="I26" s="56" t="str">
        <x:v>权威判断</x:v>
      </x:c>
      <x:c r="J26" s="56" t="str">
        <x:v>运行 evaluate_experiment_result.py（使用中位 lift）</x:v>
      </x:c>
      <x:c r="K26" s="56"/>
      <x:c r="L26" s="56"/>
    </x:row>
    <x:row r="27">
      <x:c r="A27" s="56" t="str">
        <x:v>x</x:v>
      </x:c>
      <x:c r="B27" s="56" t="str">
        <x:v>discussion</x:v>
      </x:c>
      <x:c r="C27" s="56" t="n">
        <x:f>COUNTIFS('Experiment Log'!$C$2:$C$201,A27,'Experiment Log'!$I$2:$I$201,B27)</x:f>
        <x:v>0</x:v>
      </x:c>
      <x:c r="D27" s="56" t="n">
        <x:f>COUNTIFS('Experiment Log'!$C$2:$C$201,A27,'Experiment Log'!$I$2:$I$201,B27,'Experiment Log'!$CA$2:$CA$201,"attributable")</x:f>
        <x:v>0</x:v>
      </x:c>
      <x:c r="E27" s="56" t="n">
        <x:f>COUNTIFS('Experiment Log'!$C$2:$C$201,A27,'Experiment Log'!$I$2:$I$201,B27,'Experiment Log'!$CB$2:$CB$201,"win")</x:f>
        <x:v>0</x:v>
      </x:c>
      <x:c r="F27" s="79" t="str">
        <x:f>IFERROR(E27/D27,"")</x:f>
      </x:c>
      <x:c r="G27" s="79" t="str">
        <x:f>IFERROR(SUMIFS('Experiment Log'!$BT$2:$BT$201,'Experiment Log'!$C$2:$C$201,A27,'Experiment Log'!$I$2:$I$201,B27,'Experiment Log'!$CA$2:$CA$201,"attributable")/D27,"")</x:f>
      </x:c>
      <x:c r="H27" s="56"/>
      <x:c r="I27" s="56" t="str">
        <x:v>单条爆发</x:v>
      </x:c>
      <x:c r="J27" s="56" t="str">
        <x:v>只能进入 watchlist</x:v>
      </x:c>
      <x:c r="K27" s="56"/>
      <x:c r="L27" s="56"/>
    </x:row>
    <x:row r="28">
      <x:c r="A28" s="56" t="str">
        <x:v>x</x:v>
      </x:c>
      <x:c r="B28" s="56" t="str">
        <x:v>profile_visit</x:v>
      </x:c>
      <x:c r="C28" s="56" t="n">
        <x:f>COUNTIFS('Experiment Log'!$C$2:$C$201,A28,'Experiment Log'!$I$2:$I$201,B28)</x:f>
        <x:v>0</x:v>
      </x:c>
      <x:c r="D28" s="56" t="n">
        <x:f>COUNTIFS('Experiment Log'!$C$2:$C$201,A28,'Experiment Log'!$I$2:$I$201,B28,'Experiment Log'!$CA$2:$CA$201,"attributable")</x:f>
        <x:v>0</x:v>
      </x:c>
      <x:c r="E28" s="56" t="n">
        <x:f>COUNTIFS('Experiment Log'!$C$2:$C$201,A28,'Experiment Log'!$I$2:$I$201,B28,'Experiment Log'!$CB$2:$CB$201,"win")</x:f>
        <x:v>0</x:v>
      </x:c>
      <x:c r="F28" s="79" t="str">
        <x:f>IFERROR(E28/D28,"")</x:f>
      </x:c>
      <x:c r="G28" s="79" t="str">
        <x:f>IFERROR(SUMIFS('Experiment Log'!$BT$2:$BT$201,'Experiment Log'!$C$2:$C$201,A28,'Experiment Log'!$I$2:$I$201,B28,'Experiment Log'!$CA$2:$CA$201,"attributable")/D28,"")</x:f>
      </x:c>
      <x:c r="H28" s="56"/>
      <x:c r="I28" s="56"/>
      <x:c r="J28" s="56"/>
      <x:c r="K28" s="56"/>
      <x:c r="L28" s="56"/>
    </x:row>
    <x:row r="29">
      <x:c r="A29" s="56" t="str">
        <x:v>x</x:v>
      </x:c>
      <x:c r="B29" s="56" t="str">
        <x:v>dm</x:v>
      </x:c>
      <x:c r="C29" s="56" t="n">
        <x:f>COUNTIFS('Experiment Log'!$C$2:$C$201,A29,'Experiment Log'!$I$2:$I$201,B29)</x:f>
        <x:v>0</x:v>
      </x:c>
      <x:c r="D29" s="56" t="n">
        <x:f>COUNTIFS('Experiment Log'!$C$2:$C$201,A29,'Experiment Log'!$I$2:$I$201,B29,'Experiment Log'!$CA$2:$CA$201,"attributable")</x:f>
        <x:v>0</x:v>
      </x:c>
      <x:c r="E29" s="56" t="n">
        <x:f>COUNTIFS('Experiment Log'!$C$2:$C$201,A29,'Experiment Log'!$I$2:$I$201,B29,'Experiment Log'!$CB$2:$CB$201,"win")</x:f>
        <x:v>0</x:v>
      </x:c>
      <x:c r="F29" s="79" t="str">
        <x:f>IFERROR(E29/D29,"")</x:f>
      </x:c>
      <x:c r="G29" s="79" t="str">
        <x:f>IFERROR(SUMIFS('Experiment Log'!$BT$2:$BT$201,'Experiment Log'!$C$2:$C$201,A29,'Experiment Log'!$I$2:$I$201,B29,'Experiment Log'!$CA$2:$CA$201,"attributable")/D29,"")</x:f>
      </x:c>
      <x:c r="H29" s="56"/>
      <x:c r="I29" s="56"/>
      <x:c r="J29" s="56"/>
      <x:c r="K29" s="56"/>
      <x:c r="L29" s="56"/>
    </x:row>
    <x:row r="30">
      <x:c r="A30" s="56" t="str">
        <x:v>x</x:v>
      </x:c>
      <x:c r="B30" s="56" t="str">
        <x:v>link_click</x:v>
      </x:c>
      <x:c r="C30" s="56" t="n">
        <x:f>COUNTIFS('Experiment Log'!$C$2:$C$201,A30,'Experiment Log'!$I$2:$I$201,B30)</x:f>
        <x:v>0</x:v>
      </x:c>
      <x:c r="D30" s="56" t="n">
        <x:f>COUNTIFS('Experiment Log'!$C$2:$C$201,A30,'Experiment Log'!$I$2:$I$201,B30,'Experiment Log'!$CA$2:$CA$201,"attributable")</x:f>
        <x:v>0</x:v>
      </x:c>
      <x:c r="E30" s="56" t="n">
        <x:f>COUNTIFS('Experiment Log'!$C$2:$C$201,A30,'Experiment Log'!$I$2:$I$201,B30,'Experiment Log'!$CB$2:$CB$201,"win")</x:f>
        <x:v>0</x:v>
      </x:c>
      <x:c r="F30" s="79" t="str">
        <x:f>IFERROR(E30/D30,"")</x:f>
      </x:c>
      <x:c r="G30" s="79" t="str">
        <x:f>IFERROR(SUMIFS('Experiment Log'!$BT$2:$BT$201,'Experiment Log'!$C$2:$C$201,A30,'Experiment Log'!$I$2:$I$201,B30,'Experiment Log'!$CA$2:$CA$201,"attributable")/D30,"")</x:f>
      </x:c>
      <x:c r="H30" s="56"/>
      <x:c r="I30" s="56"/>
      <x:c r="J30" s="56"/>
      <x:c r="K30" s="56"/>
      <x:c r="L30" s="56"/>
    </x:row>
    <x:row r="31">
      <x:c r="A31" s="56" t="str">
        <x:v>x</x:v>
      </x:c>
      <x:c r="B31" s="56" t="str">
        <x:v>product_question</x:v>
      </x:c>
      <x:c r="C31" s="56" t="n">
        <x:f>COUNTIFS('Experiment Log'!$C$2:$C$201,A31,'Experiment Log'!$I$2:$I$201,B31)</x:f>
        <x:v>0</x:v>
      </x:c>
      <x:c r="D31" s="56" t="n">
        <x:f>COUNTIFS('Experiment Log'!$C$2:$C$201,A31,'Experiment Log'!$I$2:$I$201,B31,'Experiment Log'!$CA$2:$CA$201,"attributable")</x:f>
        <x:v>0</x:v>
      </x:c>
      <x:c r="E31" s="56" t="n">
        <x:f>COUNTIFS('Experiment Log'!$C$2:$C$201,A31,'Experiment Log'!$I$2:$I$201,B31,'Experiment Log'!$CB$2:$CB$201,"win")</x:f>
        <x:v>0</x:v>
      </x:c>
      <x:c r="F31" s="79" t="str">
        <x:f>IFERROR(E31/D31,"")</x:f>
      </x:c>
      <x:c r="G31" s="79" t="str">
        <x:f>IFERROR(SUMIFS('Experiment Log'!$BT$2:$BT$201,'Experiment Log'!$C$2:$C$201,A31,'Experiment Log'!$I$2:$I$201,B31,'Experiment Log'!$CA$2:$CA$201,"attributable")/D31,"")</x:f>
      </x:c>
      <x:c r="H31" s="56"/>
      <x:c r="I31" s="56"/>
      <x:c r="J31" s="56"/>
      <x:c r="K31" s="56"/>
      <x:c r="L31" s="56"/>
    </x:row>
    <x:row r="32">
      <x:c r="A32" s="56" t="str">
        <x:v>x</x:v>
      </x:c>
      <x:c r="B32" s="56" t="str">
        <x:v>trial_intent</x:v>
      </x:c>
      <x:c r="C32" s="56" t="n">
        <x:f>COUNTIFS('Experiment Log'!$C$2:$C$201,A32,'Experiment Log'!$I$2:$I$201,B32)</x:f>
        <x:v>0</x:v>
      </x:c>
      <x:c r="D32" s="56" t="n">
        <x:f>COUNTIFS('Experiment Log'!$C$2:$C$201,A32,'Experiment Log'!$I$2:$I$201,B32,'Experiment Log'!$CA$2:$CA$201,"attributable")</x:f>
        <x:v>0</x:v>
      </x:c>
      <x:c r="E32" s="56" t="n">
        <x:f>COUNTIFS('Experiment Log'!$C$2:$C$201,A32,'Experiment Log'!$I$2:$I$201,B32,'Experiment Log'!$CB$2:$CB$201,"win")</x:f>
        <x:v>0</x:v>
      </x:c>
      <x:c r="F32" s="79" t="str">
        <x:f>IFERROR(E32/D32,"")</x:f>
      </x:c>
      <x:c r="G32" s="79" t="str">
        <x:f>IFERROR(SUMIFS('Experiment Log'!$BT$2:$BT$201,'Experiment Log'!$C$2:$C$201,A32,'Experiment Log'!$I$2:$I$201,B32,'Experiment Log'!$CA$2:$CA$201,"attributable")/D32,"")</x:f>
      </x:c>
      <x:c r="H32" s="56"/>
      <x:c r="I32" s="56"/>
      <x:c r="J32" s="56"/>
      <x:c r="K32" s="56"/>
      <x:c r="L32" s="56"/>
    </x:row>
    <x:row r="33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</x:row>
    <x:row r="34">
      <x:c r="A34" s="56"/>
      <x:c r="B34" s="56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</x:row>
    <x:row r="35">
      <x:c r="A35" s="76" t="str">
        <x:v>提示：Dashboard 不生成跨平台综合分。Win rate 的分母只包含 attributable records；证据分数单列，不参与加权。</x:v>
      </x:c>
      <x:c r="B35" s="76"/>
      <x:c r="C35" s="76"/>
      <x:c r="D35" s="76"/>
      <x:c r="E35" s="76"/>
      <x:c r="F35" s="76"/>
      <x:c r="G35" s="76"/>
      <x:c r="H35" s="76"/>
      <x:c r="I35" s="76"/>
      <x:c r="J35" s="76"/>
      <x:c r="K35" s="76"/>
      <x:c r="L35" s="76"/>
    </x:row>
  </x:sheetData>
  <x:mergeCells>
    <x:mergeCell ref="A1:L1"/>
    <x:mergeCell ref="A2:L2"/>
    <x:mergeCell ref="A8:F8"/>
    <x:mergeCell ref="G8:L8"/>
    <x:mergeCell ref="A17:G17"/>
    <x:mergeCell ref="I17:L17"/>
    <x:mergeCell ref="A35:L3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42" hidden="0" customWidth="1"/>
    <x:col min="5" max="5" width="20" hidden="0" customWidth="1"/>
    <x:col min="6" max="6" width="22" hidden="0" customWidth="1"/>
    <x:col min="7" max="7" width="28" hidden="0" customWidth="1"/>
  </x:cols>
  <x:sheetData>
    <x:row r="1" ht="34" customHeight="1">
      <x:c r="A1" s="54" t="str">
        <x:v>Template Library</x:v>
      </x:c>
      <x:c r="B1" s="54"/>
      <x:c r="C1" s="54"/>
      <x:c r="D1" s="54"/>
      <x:c r="E1" s="54"/>
      <x:c r="F1" s="54"/>
      <x:c r="G1" s="54"/>
    </x:row>
    <x:row r="2" ht="28" customHeight="1">
      <x:c r="A2" s="55" t="str">
        <x:v>模板是实验标签，不是创意上限。每条记录另填 platform、pillar、proof type 与 CTA。</x:v>
      </x:c>
      <x:c r="B2" s="55"/>
      <x:c r="C2" s="55"/>
      <x:c r="D2" s="55"/>
      <x:c r="E2" s="55"/>
      <x:c r="F2" s="55"/>
      <x:c r="G2" s="55"/>
    </x:row>
    <x:row r="3">
      <x:c r="A3" s="56"/>
      <x:c r="B3" s="56"/>
      <x:c r="C3" s="56"/>
      <x:c r="D3" s="56"/>
      <x:c r="E3" s="56"/>
      <x:c r="F3" s="56"/>
      <x:c r="G3" s="56"/>
    </x:row>
    <x:row r="4" ht="26" customHeight="1">
      <x:c r="A4" s="62" t="str">
        <x:v>类型</x:v>
      </x:c>
      <x:c r="B4" s="63" t="str">
        <x:v>ID</x:v>
      </x:c>
      <x:c r="C4" s="63" t="str">
        <x:v>名称</x:v>
      </x:c>
      <x:c r="D4" s="63" t="str">
        <x:v>结构</x:v>
      </x:c>
      <x:c r="E4" s="63" t="str">
        <x:v>优先平台</x:v>
      </x:c>
      <x:c r="F4" s="63" t="str">
        <x:v>默认 CTA</x:v>
      </x:c>
      <x:c r="G4" s="64" t="str">
        <x:v>主要风险</x:v>
      </x:c>
    </x:row>
    <x:row r="5">
      <x:c r="A5" s="56" t="str">
        <x:v>content</x:v>
      </x:c>
      <x:c r="B5" s="56" t="str">
        <x:v>S1</x:v>
      </x:c>
      <x:c r="C5" s="56" t="str">
        <x:v>横向实测</x:v>
      </x:c>
      <x:c r="D5" s="56" t="str">
        <x:v>同题输入 → 标准 → 对比 → 取舍</x:v>
      </x:c>
      <x:c r="E5" s="56" t="str">
        <x:v>X / 小红书</x:v>
      </x:c>
      <x:c r="F5" s="56" t="str">
        <x:v>save/discussion</x:v>
      </x:c>
      <x:c r="G5" s="56" t="str">
        <x:v>标准不一致</x:v>
      </x:c>
    </x:row>
    <x:row r="6">
      <x:c r="A6" s="56" t="str">
        <x:v>content</x:v>
      </x:c>
      <x:c r="B6" s="56" t="str">
        <x:v>S2</x:v>
      </x:c>
      <x:c r="C6" s="56" t="str">
        <x:v>可复制清单</x:v>
      </x:c>
      <x:c r="D6" s="56" t="str">
        <x:v>痛点 → 步骤 → 清单 → CTA</x:v>
      </x:c>
      <x:c r="E6" s="56" t="str">
        <x:v>小红书 / X thread</x:v>
      </x:c>
      <x:c r="F6" s="56" t="str">
        <x:v>save</x:v>
      </x:c>
      <x:c r="G6" s="56" t="str">
        <x:v>像课件</x:v>
      </x:c>
    </x:row>
    <x:row r="7">
      <x:c r="A7" s="56" t="str">
        <x:v>content</x:v>
      </x:c>
      <x:c r="B7" s="56" t="str">
        <x:v>S3</x:v>
      </x:c>
      <x:c r="C7" s="56" t="str">
        <x:v>前后诊断</x:v>
      </x:c>
      <x:c r="D7" s="56" t="str">
        <x:v>错例 → 原因 → 改后 → 检查表</x:v>
      </x:c>
      <x:c r="E7" s="56" t="str">
        <x:v>全平台</x:v>
      </x:c>
      <x:c r="F7" s="56" t="str">
        <x:v>save/discussion</x:v>
      </x:c>
      <x:c r="G7" s="56" t="str">
        <x:v>对比不真实</x:v>
      </x:c>
    </x:row>
    <x:row r="8">
      <x:c r="A8" s="56" t="str">
        <x:v>content</x:v>
      </x:c>
      <x:c r="B8" s="56" t="str">
        <x:v>S4</x:v>
      </x:c>
      <x:c r="C8" s="56" t="str">
        <x:v>产品实验日记</x:v>
      </x:c>
      <x:c r="D8" s="56" t="str">
        <x:v>任务 → ARTi 输入 → 证据 → 优缺点</x:v>
      </x:c>
      <x:c r="E8" s="56" t="str">
        <x:v>全平台</x:v>
      </x:c>
      <x:c r="F8" s="56" t="str">
        <x:v>product_question</x:v>
      </x:c>
      <x:c r="G8" s="56" t="str">
        <x:v>只夸产品</x:v>
      </x:c>
    </x:row>
    <x:row r="9">
      <x:c r="A9" s="56" t="str">
        <x:v>content</x:v>
      </x:c>
      <x:c r="B9" s="56" t="str">
        <x:v>S5</x:v>
      </x:c>
      <x:c r="C9" s="56" t="str">
        <x:v>评论区共创</x:v>
      </x:c>
      <x:c r="D9" s="56" t="str">
        <x:v>问题 → 实测 → 回应 → 征集</x:v>
      </x:c>
      <x:c r="E9" s="56" t="str">
        <x:v>全平台</x:v>
      </x:c>
      <x:c r="F9" s="56" t="str">
        <x:v>discussion</x:v>
      </x:c>
      <x:c r="G9" s="56" t="str">
        <x:v>伪造评论</x:v>
      </x:c>
    </x:row>
    <x:row r="10">
      <x:c r="A10" s="56" t="str">
        <x:v>content</x:v>
      </x:c>
      <x:c r="B10" s="56" t="str">
        <x:v>S6</x:v>
      </x:c>
      <x:c r="C10" s="56" t="str">
        <x:v>单点观察</x:v>
      </x:c>
      <x:c r="D10" s="56" t="str">
        <x:v>判断 → 证据 → 含义 → 问题</x:v>
      </x:c>
      <x:c r="E10" s="56" t="str">
        <x:v>X</x:v>
      </x:c>
      <x:c r="F10" s="56" t="str">
        <x:v>discussion</x:v>
      </x:c>
      <x:c r="G10" s="56" t="str">
        <x:v>只剩观点</x:v>
      </x:c>
    </x:row>
    <x:row r="11">
      <x:c r="A11" s="56" t="str">
        <x:v>content</x:v>
      </x:c>
      <x:c r="B11" s="56" t="str">
        <x:v>S7</x:v>
      </x:c>
      <x:c r="C11" s="56" t="str">
        <x:v>产品证明</x:v>
      </x:c>
      <x:c r="D11" s="56" t="str">
        <x:v>问题 → UI/结果 → 解释 → 动作</x:v>
      </x:c>
      <x:c r="E11" s="56" t="str">
        <x:v>全平台</x:v>
      </x:c>
      <x:c r="F11" s="56" t="str">
        <x:v>profile_visit</x:v>
      </x:c>
      <x:c r="G11" s="56" t="str">
        <x:v>只展示功能</x:v>
      </x:c>
    </x:row>
    <x:row r="12">
      <x:c r="A12" s="56" t="str">
        <x:v>visual</x:v>
      </x:c>
      <x:c r="B12" s="56" t="str">
        <x:v>C1</x:v>
      </x:c>
      <x:c r="C12" s="56" t="str">
        <x:v>结论档案</x:v>
      </x:c>
      <x:c r="D12" s="56" t="str">
        <x:v>大标题 + 行动钩子 + 编号</x:v>
      </x:c>
      <x:c r="E12" s="56" t="str">
        <x:v>小红书</x:v>
      </x:c>
      <x:c r="F12" s="56" t="str">
        <x:v>save</x:v>
      </x:c>
      <x:c r="G12" s="56" t="str">
        <x:v>信息过多</x:v>
      </x:c>
    </x:row>
    <x:row r="13">
      <x:c r="A13" s="56" t="str">
        <x:v>visual</x:v>
      </x:c>
      <x:c r="B13" s="56" t="str">
        <x:v>C2</x:v>
      </x:c>
      <x:c r="C13" s="56" t="str">
        <x:v>对比矩阵</x:v>
      </x:c>
      <x:c r="D13" s="56" t="str">
        <x:v>对象 + 标准 + 差异</x:v>
      </x:c>
      <x:c r="E13" s="56" t="str">
        <x:v>全平台</x:v>
      </x:c>
      <x:c r="F13" s="56" t="str">
        <x:v>save</x:v>
      </x:c>
      <x:c r="G13" s="56" t="str">
        <x:v>主结论弱</x:v>
      </x:c>
    </x:row>
    <x:row r="14">
      <x:c r="A14" s="56" t="str">
        <x:v>visual</x:v>
      </x:c>
      <x:c r="B14" s="56" t="str">
        <x:v>C3</x:v>
      </x:c>
      <x:c r="C14" s="56" t="str">
        <x:v>证据卡</x:v>
      </x:c>
      <x:c r="D14" s="56" t="str">
        <x:v>截图/数据 + 结论 + 来源</x:v>
      </x:c>
      <x:c r="E14" s="56" t="str">
        <x:v>全平台</x:v>
      </x:c>
      <x:c r="F14" s="56" t="str">
        <x:v>product_question</x:v>
      </x:c>
      <x:c r="G14" s="56" t="str">
        <x:v>证据太小</x:v>
      </x:c>
    </x:row>
    <x:row r="15">
      <x:c r="A15" s="56" t="str">
        <x:v>visual</x:v>
      </x:c>
      <x:c r="B15" s="56" t="str">
        <x:v>C4</x:v>
      </x:c>
      <x:c r="C15" s="56" t="str">
        <x:v>UI 特写</x:v>
      </x:c>
      <x:c r="D15" s="56" t="str">
        <x:v>界面局部 + 标注 + 解释</x:v>
      </x:c>
      <x:c r="E15" s="56" t="str">
        <x:v>全平台</x:v>
      </x:c>
      <x:c r="F15" s="56" t="str">
        <x:v>profile_visit</x:v>
      </x:c>
      <x:c r="G15" s="56" t="str">
        <x:v>只讲功能</x:v>
      </x:c>
    </x:row>
    <x:row r="16">
      <x:c r="A16" s="56" t="str">
        <x:v>visual</x:v>
      </x:c>
      <x:c r="B16" s="56" t="str">
        <x:v>C5</x:v>
      </x:c>
      <x:c r="C16" s="56" t="str">
        <x:v>观点卡</x:v>
      </x:c>
      <x:c r="D16" s="56" t="str">
        <x:v>一句判断 + 小型证据</x:v>
      </x:c>
      <x:c r="E16" s="56" t="str">
        <x:v>X</x:v>
      </x:c>
      <x:c r="F16" s="56" t="str">
        <x:v>discussion</x:v>
      </x:c>
      <x:c r="G16" s="56" t="str">
        <x:v>口号化</x:v>
      </x:c>
    </x:row>
    <x:row r="17">
      <x:c r="A17" s="56" t="str">
        <x:v>hook</x:v>
      </x:c>
      <x:c r="B17" s="56" t="str">
        <x:v>H1</x:v>
      </x:c>
      <x:c r="C17" s="56" t="str">
        <x:v>身份冲突</x:v>
      </x:c>
      <x:c r="D17" s="56" t="str">
        <x:v>身份 + 限制 + 动作</x:v>
      </x:c>
      <x:c r="E17" s="56" t="str">
        <x:v>全平台</x:v>
      </x:c>
      <x:c r="F17" s="56" t="str">
        <x:v>discussion</x:v>
      </x:c>
      <x:c r="G17" s="56" t="str">
        <x:v>人设抢过证据</x:v>
      </x:c>
    </x:row>
    <x:row r="18">
      <x:c r="A18" s="56" t="str">
        <x:v>hook</x:v>
      </x:c>
      <x:c r="B18" s="56" t="str">
        <x:v>H2</x:v>
      </x:c>
      <x:c r="C18" s="56" t="str">
        <x:v>数字清单</x:v>
      </x:c>
      <x:c r="D18" s="56" t="str">
        <x:v>痛点 + N 件事</x:v>
      </x:c>
      <x:c r="E18" s="56" t="str">
        <x:v>小红书</x:v>
      </x:c>
      <x:c r="F18" s="56" t="str">
        <x:v>save</x:v>
      </x:c>
      <x:c r="G18" s="56" t="str">
        <x:v>数字承诺不一致</x:v>
      </x:c>
    </x:row>
    <x:row r="19">
      <x:c r="A19" s="56" t="str">
        <x:v>hook</x:v>
      </x:c>
      <x:c r="B19" s="56" t="str">
        <x:v>H3</x:v>
      </x:c>
      <x:c r="C19" s="56" t="str">
        <x:v>前后差异</x:v>
      </x:c>
      <x:c r="D19" s="56" t="str">
        <x:v>同一任务只改一步</x:v>
      </x:c>
      <x:c r="E19" s="56" t="str">
        <x:v>全平台</x:v>
      </x:c>
      <x:c r="F19" s="56" t="str">
        <x:v>save</x:v>
      </x:c>
      <x:c r="G19" s="56" t="str">
        <x:v>伪对比</x:v>
      </x:c>
    </x:row>
    <x:row r="20">
      <x:c r="A20" s="56" t="str">
        <x:v>hook</x:v>
      </x:c>
      <x:c r="B20" s="56" t="str">
        <x:v>H4</x:v>
      </x:c>
      <x:c r="C20" s="56" t="str">
        <x:v>对比悬念</x:v>
      </x:c>
      <x:c r="D20" s="56" t="str">
        <x:v>N 个对象谁适合什么</x:v>
      </x:c>
      <x:c r="E20" s="56" t="str">
        <x:v>全平台</x:v>
      </x:c>
      <x:c r="F20" s="56" t="str">
        <x:v>discussion</x:v>
      </x:c>
      <x:c r="G20" s="56" t="str">
        <x:v>缺统一标准</x:v>
      </x:c>
    </x:row>
    <x:row r="21">
      <x:c r="A21" s="56" t="str">
        <x:v>hook</x:v>
      </x:c>
      <x:c r="B21" s="56" t="str">
        <x:v>H5</x:v>
      </x:c>
      <x:c r="C21" s="56" t="str">
        <x:v>反常识</x:v>
      </x:c>
      <x:c r="D21" s="56" t="str">
        <x:v>停止一个常见动作</x:v>
      </x:c>
      <x:c r="E21" s="56" t="str">
        <x:v>X</x:v>
      </x:c>
      <x:c r="F21" s="56" t="str">
        <x:v>discussion</x:v>
      </x:c>
      <x:c r="G21" s="56" t="str">
        <x:v>无证据</x:v>
      </x:c>
    </x:row>
    <x:row r="22">
      <x:c r="A22" s="56" t="str">
        <x:v>hook</x:v>
      </x:c>
      <x:c r="B22" s="56" t="str">
        <x:v>H6</x:v>
      </x:c>
      <x:c r="C22" s="56" t="str">
        <x:v>证据先行</x:v>
      </x:c>
      <x:c r="D22" s="56" t="str">
        <x:v>先给截图/数字再解释</x:v>
      </x:c>
      <x:c r="E22" s="56" t="str">
        <x:v>全平台</x:v>
      </x:c>
      <x:c r="F22" s="56" t="str">
        <x:v>profile_visit</x:v>
      </x:c>
      <x:c r="G22" s="56" t="str">
        <x:v>证据不可读</x:v>
      </x:c>
    </x:row>
    <x:row r="23">
      <x:c r="A23" s="56" t="str">
        <x:v>hook</x:v>
      </x:c>
      <x:c r="B23" s="56" t="str">
        <x:v>H7</x:v>
      </x:c>
      <x:c r="C23" s="56" t="str">
        <x:v>明确问题</x:v>
      </x:c>
      <x:c r="D23" s="56" t="str">
        <x:v>用户问题 + 回答方向</x:v>
      </x:c>
      <x:c r="E23" s="56" t="str">
        <x:v>全平台</x:v>
      </x:c>
      <x:c r="F23" s="56" t="str">
        <x:v>discussion</x:v>
      </x:c>
      <x:c r="G23" s="56" t="str">
        <x:v>问题不真实</x:v>
      </x:c>
    </x:row>
    <x:row r="24">
      <x:c r="A24" s="56" t="str">
        <x:v>CTA</x:v>
      </x:c>
      <x:c r="B24" s="56" t="str">
        <x:v>A1</x:v>
      </x:c>
      <x:c r="C24" s="56" t="str">
        <x:v>低成本回复</x:v>
      </x:c>
      <x:c r="D24" s="56" t="str">
        <x:v>最想看/最卡在哪一步？</x:v>
      </x:c>
      <x:c r="E24" s="56" t="str">
        <x:v>全平台</x:v>
      </x:c>
      <x:c r="F24" s="56" t="str">
        <x:v>discussion</x:v>
      </x:c>
      <x:c r="G24" s="56" t="str">
        <x:v>过宽</x:v>
      </x:c>
    </x:row>
    <x:row r="25">
      <x:c r="A25" s="56" t="str">
        <x:v>CTA</x:v>
      </x:c>
      <x:c r="B25" s="56" t="str">
        <x:v>A2</x:v>
      </x:c>
      <x:c r="C25" s="56" t="str">
        <x:v>保存动作</x:v>
      </x:c>
      <x:c r="D25" s="56" t="str">
        <x:v>先存清单，下次照做</x:v>
      </x:c>
      <x:c r="E25" s="56" t="str">
        <x:v>小红书</x:v>
      </x:c>
      <x:c r="F25" s="56" t="str">
        <x:v>save</x:v>
      </x:c>
      <x:c r="G25" s="56" t="str">
        <x:v>无保存价值</x:v>
      </x:c>
    </x:row>
    <x:row r="26">
      <x:c r="A26" s="56" t="str">
        <x:v>CTA</x:v>
      </x:c>
      <x:c r="B26" s="56" t="str">
        <x:v>A3</x:v>
      </x:c>
      <x:c r="C26" s="56" t="str">
        <x:v>下一篇共创</x:v>
      </x:c>
      <x:c r="D26" s="56" t="str">
        <x:v>留下对象，按同标准实测</x:v>
      </x:c>
      <x:c r="E26" s="56" t="str">
        <x:v>全平台</x:v>
      </x:c>
      <x:c r="F26" s="56" t="str">
        <x:v>discussion</x:v>
      </x:c>
      <x:c r="G26" s="56" t="str">
        <x:v>不可兑现</x:v>
      </x:c>
    </x:row>
    <x:row r="27">
      <x:c r="A27" s="56" t="str">
        <x:v>CTA</x:v>
      </x:c>
      <x:c r="B27" s="56" t="str">
        <x:v>A4</x:v>
      </x:c>
      <x:c r="C27" s="56" t="str">
        <x:v>产品探索</x:v>
      </x:c>
      <x:c r="D27" s="56" t="str">
        <x:v>查看主页说明/完整过程</x:v>
      </x:c>
      <x:c r="E27" s="56" t="str">
        <x:v>全平台</x:v>
      </x:c>
      <x:c r="F27" s="56" t="str">
        <x:v>profile_visit</x:v>
      </x:c>
      <x:c r="G27" s="56" t="str">
        <x:v>产品关系弱</x:v>
      </x:c>
    </x:row>
    <x:row r="28">
      <x:c r="A28" s="56" t="str">
        <x:v>CTA</x:v>
      </x:c>
      <x:c r="B28" s="56" t="str">
        <x:v>A5</x:v>
      </x:c>
      <x:c r="C28" s="56" t="str">
        <x:v>观点讨论</x:v>
      </x:c>
      <x:c r="D28" s="56" t="str">
        <x:v>同意哪部分？反例是什么？</x:v>
      </x:c>
      <x:c r="E28" s="56" t="str">
        <x:v>X</x:v>
      </x:c>
      <x:c r="F28" s="56" t="str">
        <x:v>discussion</x:v>
      </x:c>
      <x:c r="G28" s="56" t="str">
        <x:v>产品相关性低</x:v>
      </x:c>
    </x:row>
    <x:row r="29">
      <x:c r="A29" s="56" t="str">
        <x:v>CTA</x:v>
      </x:c>
      <x:c r="B29" s="56" t="str">
        <x:v>A6</x:v>
      </x:c>
      <x:c r="C29" s="56" t="str">
        <x:v>私信意向</x:v>
      </x:c>
      <x:c r="D29" s="56" t="str">
        <x:v>私信关键词获取清单</x:v>
      </x:c>
      <x:c r="E29" s="56" t="str">
        <x:v>小红书</x:v>
      </x:c>
      <x:c r="F29" s="56" t="str">
        <x:v>dm</x:v>
      </x:c>
      <x:c r="G29" s="56" t="str">
        <x:v>运营负担</x:v>
      </x:c>
    </x:row>
    <x:row r="30">
      <x:c r="A30" s="56" t="str">
        <x:v>CTA</x:v>
      </x:c>
      <x:c r="B30" s="56" t="str">
        <x:v>A7</x:v>
      </x:c>
      <x:c r="C30" s="56" t="str">
        <x:v>链接意向</x:v>
      </x:c>
      <x:c r="D30" s="56" t="str">
        <x:v>完整过程与来源见链接</x:v>
      </x:c>
      <x:c r="E30" s="56" t="str">
        <x:v>X</x:v>
      </x:c>
      <x:c r="F30" s="56" t="str">
        <x:v>link_click</x:v>
      </x:c>
      <x:c r="G30" s="56" t="str">
        <x:v>平台降权风险</x:v>
      </x:c>
    </x:row>
    <x:row r="31">
      <x:c r="A31" s="56" t="str">
        <x:v>CTA</x:v>
      </x:c>
      <x:c r="B31" s="56" t="str">
        <x:v>A8</x:v>
      </x:c>
      <x:c r="C31" s="56" t="str">
        <x:v>产品问题</x:v>
      </x:c>
      <x:c r="D31" s="56" t="str">
        <x:v>最想让 ARTi 验证哪一步？</x:v>
      </x:c>
      <x:c r="E31" s="56" t="str">
        <x:v>全平台</x:v>
      </x:c>
      <x:c r="F31" s="56" t="str">
        <x:v>product_question</x:v>
      </x:c>
      <x:c r="G31" s="56" t="str">
        <x:v>问题太抽象</x:v>
      </x:c>
    </x:row>
    <x:row r="32">
      <x:c r="A32" s="56" t="str">
        <x:v>CTA</x:v>
      </x:c>
      <x:c r="B32" s="56" t="str">
        <x:v>A9</x:v>
      </x:c>
      <x:c r="C32" s="56" t="str">
        <x:v>试用意向</x:v>
      </x:c>
      <x:c r="D32" s="56" t="str">
        <x:v>说明使用场景参与测试</x:v>
      </x:c>
      <x:c r="E32" s="56" t="str">
        <x:v>全平台</x:v>
      </x:c>
      <x:c r="F32" s="56" t="str">
        <x:v>trial_intent</x:v>
      </x:c>
      <x:c r="G32" s="56" t="str">
        <x:v>筛选口径不清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2" hidden="0" customWidth="1"/>
    <x:col min="5" max="5" width="14" hidden="0" customWidth="1"/>
    <x:col min="6" max="6" width="18" hidden="0" customWidth="1"/>
    <x:col min="7" max="7" width="16" hidden="0" customWidth="1"/>
    <x:col min="8" max="8" width="14" hidden="0" customWidth="1"/>
    <x:col min="9" max="9" width="24" hidden="0" customWidth="1"/>
  </x:cols>
  <x:sheetData>
    <x:row r="1" ht="34" customHeight="1">
      <x:c r="A1" s="54" t="str">
        <x:v>Playbook &amp; Reuse Value</x:v>
      </x:c>
      <x:c r="B1" s="54"/>
      <x:c r="C1" s="54"/>
      <x:c r="D1" s="54"/>
      <x:c r="E1" s="54"/>
      <x:c r="F1" s="54"/>
      <x:c r="G1" s="54"/>
      <x:c r="H1" s="54"/>
      <x:c r="I1" s="54"/>
    </x:row>
    <x:row r="2" ht="28" customHeight="1">
      <x:c r="A2" s="55" t="str">
        <x:v>工作表用于方向性监测；正式准入以 evaluate_experiment_result.py 的中位 lift 与跨 block 判断为准。</x:v>
      </x:c>
      <x:c r="B2" s="55"/>
      <x:c r="C2" s="55"/>
      <x:c r="D2" s="55"/>
      <x:c r="E2" s="55"/>
      <x:c r="F2" s="55"/>
      <x:c r="G2" s="55"/>
      <x:c r="H2" s="55"/>
      <x:c r="I2" s="55"/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</x:row>
    <x:row r="4" ht="26" customHeight="1">
      <x:c r="A4" s="62" t="str">
        <x:v>platform</x:v>
      </x:c>
      <x:c r="B4" s="63" t="str">
        <x:v>template_id</x:v>
      </x:c>
      <x:c r="C4" s="63" t="str">
        <x:v>attributable uses</x:v>
      </x:c>
      <x:c r="D4" s="63" t="str">
        <x:v>wins</x:v>
      </x:c>
      <x:c r="E4" s="63" t="str">
        <x:v>win rate</x:v>
      </x:c>
      <x:c r="F4" s="63" t="str">
        <x:v>avg primary lift</x:v>
      </x:c>
      <x:c r="G4" s="63" t="str">
        <x:v>guardrail fails</x:v>
      </x:c>
      <x:c r="H4" s="63" t="str">
        <x:v>2+ blocks?</x:v>
      </x:c>
      <x:c r="I4" s="64" t="str">
        <x:v>reuse value</x:v>
      </x:c>
    </x:row>
    <x:row r="5">
      <x:c r="A5" s="66" t="str">
        <x:v>xiaohongshu</x:v>
      </x:c>
      <x:c r="B5" s="66" t="str">
        <x:v>S1</x:v>
      </x:c>
      <x:c r="C5" s="65" t="n">
        <x:f>IF(OR(A5="",B5=""),"",COUNTIFS('Experiment Log'!$C$2:$C$201,A5,'Experiment Log'!$M$2:$M$201,B5,'Experiment Log'!$CA$2:$CA$201,"attributable"))</x:f>
        <x:v>0</x:v>
      </x:c>
      <x:c r="D5" s="65" t="str">
        <x:f>IF(C5="","",COUNTIFS('Experiment Log'!$C$2:$C$201,A5,'Experiment Log'!$M$2:$M$201,B5,'Experiment Log'!$CB$2:$CB$201,"win"))</x:f>
      </x:c>
      <x:c r="E5" s="82" t="str">
        <x:f>IFERROR(D5/C5,"")</x:f>
      </x:c>
      <x:c r="F5" s="82" t="str">
        <x:f>IFERROR(SUMIFS('Experiment Log'!$BN$2:$BN$201,'Experiment Log'!$C$2:$C$201,A5,'Experiment Log'!$M$2:$M$201,B5,'Experiment Log'!$CA$2:$CA$201,"attributable")/C5,"")</x:f>
      </x:c>
      <x:c r="G5" s="65" t="str">
        <x:f>IF(C5="","",COUNTIFS('Experiment Log'!$C$2:$C$201,A5,'Experiment Log'!$M$2:$M$201,B5,'Experiment Log'!$CB$2:$CB$201,"guardrail_fail"))</x:f>
      </x:c>
      <x:c r="H5" s="66"/>
      <x:c r="I5" s="65" t="str">
        <x:f>IF(C5="","",IF(AND(C5&gt;=3,D5&gt;=2,E5&gt;=0.667,F5&gt;0,G5=0,H5="yes"),"playbook_candidate",IF(C5&gt;0,"watchlist","not_eligible")))</x:f>
      </x:c>
    </x:row>
    <x:row r="6">
      <x:c r="A6" s="66" t="str">
        <x:v>xiaohongshu</x:v>
      </x:c>
      <x:c r="B6" s="66" t="str">
        <x:v>S2</x:v>
      </x:c>
      <x:c r="C6" s="65" t="n">
        <x:f>IF(OR(A6="",B6=""),"",COUNTIFS('Experiment Log'!$C$2:$C$201,A6,'Experiment Log'!$M$2:$M$201,B6,'Experiment Log'!$CA$2:$CA$201,"attributable"))</x:f>
        <x:v>0</x:v>
      </x:c>
      <x:c r="D6" s="65" t="str">
        <x:f>IF(C6="","",COUNTIFS('Experiment Log'!$C$2:$C$201,A6,'Experiment Log'!$M$2:$M$201,B6,'Experiment Log'!$CB$2:$CB$201,"win"))</x:f>
      </x:c>
      <x:c r="E6" s="82" t="str">
        <x:f>IFERROR(D6/C6,"")</x:f>
      </x:c>
      <x:c r="F6" s="82" t="str">
        <x:f>IFERROR(SUMIFS('Experiment Log'!$BN$2:$BN$201,'Experiment Log'!$C$2:$C$201,A6,'Experiment Log'!$M$2:$M$201,B6,'Experiment Log'!$CA$2:$CA$201,"attributable")/C6,"")</x:f>
      </x:c>
      <x:c r="G6" s="65" t="str">
        <x:f>IF(C6="","",COUNTIFS('Experiment Log'!$C$2:$C$201,A6,'Experiment Log'!$M$2:$M$201,B6,'Experiment Log'!$CB$2:$CB$201,"guardrail_fail"))</x:f>
      </x:c>
      <x:c r="H6" s="66"/>
      <x:c r="I6" s="65" t="str">
        <x:f>IF(C6="","",IF(AND(C6&gt;=3,D6&gt;=2,E6&gt;=0.667,F6&gt;0,G6=0,H6="yes"),"playbook_candidate",IF(C6&gt;0,"watchlist","not_eligible")))</x:f>
      </x:c>
    </x:row>
    <x:row r="7">
      <x:c r="A7" s="66" t="str">
        <x:v>xiaohongshu</x:v>
      </x:c>
      <x:c r="B7" s="66" t="str">
        <x:v>S3</x:v>
      </x:c>
      <x:c r="C7" s="65" t="n">
        <x:f>IF(OR(A7="",B7=""),"",COUNTIFS('Experiment Log'!$C$2:$C$201,A7,'Experiment Log'!$M$2:$M$201,B7,'Experiment Log'!$CA$2:$CA$201,"attributable"))</x:f>
        <x:v>0</x:v>
      </x:c>
      <x:c r="D7" s="65" t="str">
        <x:f>IF(C7="","",COUNTIFS('Experiment Log'!$C$2:$C$201,A7,'Experiment Log'!$M$2:$M$201,B7,'Experiment Log'!$CB$2:$CB$201,"win"))</x:f>
      </x:c>
      <x:c r="E7" s="82" t="str">
        <x:f>IFERROR(D7/C7,"")</x:f>
      </x:c>
      <x:c r="F7" s="82" t="str">
        <x:f>IFERROR(SUMIFS('Experiment Log'!$BN$2:$BN$201,'Experiment Log'!$C$2:$C$201,A7,'Experiment Log'!$M$2:$M$201,B7,'Experiment Log'!$CA$2:$CA$201,"attributable")/C7,"")</x:f>
      </x:c>
      <x:c r="G7" s="65" t="str">
        <x:f>IF(C7="","",COUNTIFS('Experiment Log'!$C$2:$C$201,A7,'Experiment Log'!$M$2:$M$201,B7,'Experiment Log'!$CB$2:$CB$201,"guardrail_fail"))</x:f>
      </x:c>
      <x:c r="H7" s="66"/>
      <x:c r="I7" s="65" t="str">
        <x:f>IF(C7="","",IF(AND(C7&gt;=3,D7&gt;=2,E7&gt;=0.667,F7&gt;0,G7=0,H7="yes"),"playbook_candidate",IF(C7&gt;0,"watchlist","not_eligible")))</x:f>
      </x:c>
    </x:row>
    <x:row r="8">
      <x:c r="A8" s="66" t="str">
        <x:v>xiaohongshu</x:v>
      </x:c>
      <x:c r="B8" s="66" t="str">
        <x:v>S4</x:v>
      </x:c>
      <x:c r="C8" s="65" t="n">
        <x:f>IF(OR(A8="",B8=""),"",COUNTIFS('Experiment Log'!$C$2:$C$201,A8,'Experiment Log'!$M$2:$M$201,B8,'Experiment Log'!$CA$2:$CA$201,"attributable"))</x:f>
        <x:v>0</x:v>
      </x:c>
      <x:c r="D8" s="65" t="str">
        <x:f>IF(C8="","",COUNTIFS('Experiment Log'!$C$2:$C$201,A8,'Experiment Log'!$M$2:$M$201,B8,'Experiment Log'!$CB$2:$CB$201,"win"))</x:f>
      </x:c>
      <x:c r="E8" s="82" t="str">
        <x:f>IFERROR(D8/C8,"")</x:f>
      </x:c>
      <x:c r="F8" s="82" t="str">
        <x:f>IFERROR(SUMIFS('Experiment Log'!$BN$2:$BN$201,'Experiment Log'!$C$2:$C$201,A8,'Experiment Log'!$M$2:$M$201,B8,'Experiment Log'!$CA$2:$CA$201,"attributable")/C8,"")</x:f>
      </x:c>
      <x:c r="G8" s="65" t="str">
        <x:f>IF(C8="","",COUNTIFS('Experiment Log'!$C$2:$C$201,A8,'Experiment Log'!$M$2:$M$201,B8,'Experiment Log'!$CB$2:$CB$201,"guardrail_fail"))</x:f>
      </x:c>
      <x:c r="H8" s="66"/>
      <x:c r="I8" s="65" t="str">
        <x:f>IF(C8="","",IF(AND(C8&gt;=3,D8&gt;=2,E8&gt;=0.667,F8&gt;0,G8=0,H8="yes"),"playbook_candidate",IF(C8&gt;0,"watchlist","not_eligible")))</x:f>
      </x:c>
    </x:row>
    <x:row r="9">
      <x:c r="A9" s="66" t="str">
        <x:v>xiaohongshu</x:v>
      </x:c>
      <x:c r="B9" s="66" t="str">
        <x:v>S5</x:v>
      </x:c>
      <x:c r="C9" s="65" t="n">
        <x:f>IF(OR(A9="",B9=""),"",COUNTIFS('Experiment Log'!$C$2:$C$201,A9,'Experiment Log'!$M$2:$M$201,B9,'Experiment Log'!$CA$2:$CA$201,"attributable"))</x:f>
        <x:v>0</x:v>
      </x:c>
      <x:c r="D9" s="65" t="str">
        <x:f>IF(C9="","",COUNTIFS('Experiment Log'!$C$2:$C$201,A9,'Experiment Log'!$M$2:$M$201,B9,'Experiment Log'!$CB$2:$CB$201,"win"))</x:f>
      </x:c>
      <x:c r="E9" s="82" t="str">
        <x:f>IFERROR(D9/C9,"")</x:f>
      </x:c>
      <x:c r="F9" s="82" t="str">
        <x:f>IFERROR(SUMIFS('Experiment Log'!$BN$2:$BN$201,'Experiment Log'!$C$2:$C$201,A9,'Experiment Log'!$M$2:$M$201,B9,'Experiment Log'!$CA$2:$CA$201,"attributable")/C9,"")</x:f>
      </x:c>
      <x:c r="G9" s="65" t="str">
        <x:f>IF(C9="","",COUNTIFS('Experiment Log'!$C$2:$C$201,A9,'Experiment Log'!$M$2:$M$201,B9,'Experiment Log'!$CB$2:$CB$201,"guardrail_fail"))</x:f>
      </x:c>
      <x:c r="H9" s="66"/>
      <x:c r="I9" s="65" t="str">
        <x:f>IF(C9="","",IF(AND(C9&gt;=3,D9&gt;=2,E9&gt;=0.667,F9&gt;0,G9=0,H9="yes"),"playbook_candidate",IF(C9&gt;0,"watchlist","not_eligible")))</x:f>
      </x:c>
    </x:row>
    <x:row r="10">
      <x:c r="A10" s="66" t="str">
        <x:v>xiaohongshu</x:v>
      </x:c>
      <x:c r="B10" s="66" t="str">
        <x:v>S6</x:v>
      </x:c>
      <x:c r="C10" s="65" t="n">
        <x:f>IF(OR(A10="",B10=""),"",COUNTIFS('Experiment Log'!$C$2:$C$201,A10,'Experiment Log'!$M$2:$M$201,B10,'Experiment Log'!$CA$2:$CA$201,"attributable"))</x:f>
        <x:v>0</x:v>
      </x:c>
      <x:c r="D10" s="65" t="str">
        <x:f>IF(C10="","",COUNTIFS('Experiment Log'!$C$2:$C$201,A10,'Experiment Log'!$M$2:$M$201,B10,'Experiment Log'!$CB$2:$CB$201,"win"))</x:f>
      </x:c>
      <x:c r="E10" s="82" t="str">
        <x:f>IFERROR(D10/C10,"")</x:f>
      </x:c>
      <x:c r="F10" s="82" t="str">
        <x:f>IFERROR(SUMIFS('Experiment Log'!$BN$2:$BN$201,'Experiment Log'!$C$2:$C$201,A10,'Experiment Log'!$M$2:$M$201,B10,'Experiment Log'!$CA$2:$CA$201,"attributable")/C10,"")</x:f>
      </x:c>
      <x:c r="G10" s="65" t="str">
        <x:f>IF(C10="","",COUNTIFS('Experiment Log'!$C$2:$C$201,A10,'Experiment Log'!$M$2:$M$201,B10,'Experiment Log'!$CB$2:$CB$201,"guardrail_fail"))</x:f>
      </x:c>
      <x:c r="H10" s="66"/>
      <x:c r="I10" s="65" t="str">
        <x:f>IF(C10="","",IF(AND(C10&gt;=3,D10&gt;=2,E10&gt;=0.667,F10&gt;0,G10=0,H10="yes"),"playbook_candidate",IF(C10&gt;0,"watchlist","not_eligible")))</x:f>
      </x:c>
    </x:row>
    <x:row r="11">
      <x:c r="A11" s="66" t="str">
        <x:v>xiaohongshu</x:v>
      </x:c>
      <x:c r="B11" s="66" t="str">
        <x:v>S7</x:v>
      </x:c>
      <x:c r="C11" s="65" t="n">
        <x:f>IF(OR(A11="",B11=""),"",COUNTIFS('Experiment Log'!$C$2:$C$201,A11,'Experiment Log'!$M$2:$M$201,B11,'Experiment Log'!$CA$2:$CA$201,"attributable"))</x:f>
        <x:v>0</x:v>
      </x:c>
      <x:c r="D11" s="65" t="str">
        <x:f>IF(C11="","",COUNTIFS('Experiment Log'!$C$2:$C$201,A11,'Experiment Log'!$M$2:$M$201,B11,'Experiment Log'!$CB$2:$CB$201,"win"))</x:f>
      </x:c>
      <x:c r="E11" s="82" t="str">
        <x:f>IFERROR(D11/C11,"")</x:f>
      </x:c>
      <x:c r="F11" s="82" t="str">
        <x:f>IFERROR(SUMIFS('Experiment Log'!$BN$2:$BN$201,'Experiment Log'!$C$2:$C$201,A11,'Experiment Log'!$M$2:$M$201,B11,'Experiment Log'!$CA$2:$CA$201,"attributable")/C11,"")</x:f>
      </x:c>
      <x:c r="G11" s="65" t="str">
        <x:f>IF(C11="","",COUNTIFS('Experiment Log'!$C$2:$C$201,A11,'Experiment Log'!$M$2:$M$201,B11,'Experiment Log'!$CB$2:$CB$201,"guardrail_fail"))</x:f>
      </x:c>
      <x:c r="H11" s="66"/>
      <x:c r="I11" s="65" t="str">
        <x:f>IF(C11="","",IF(AND(C11&gt;=3,D11&gt;=2,E11&gt;=0.667,F11&gt;0,G11=0,H11="yes"),"playbook_candidate",IF(C11&gt;0,"watchlist","not_eligible")))</x:f>
      </x:c>
    </x:row>
    <x:row r="12">
      <x:c r="A12" s="66" t="str">
        <x:v>x</x:v>
      </x:c>
      <x:c r="B12" s="66" t="str">
        <x:v>S1</x:v>
      </x:c>
      <x:c r="C12" s="65" t="n">
        <x:f>IF(OR(A12="",B12=""),"",COUNTIFS('Experiment Log'!$C$2:$C$201,A12,'Experiment Log'!$M$2:$M$201,B12,'Experiment Log'!$CA$2:$CA$201,"attributable"))</x:f>
        <x:v>0</x:v>
      </x:c>
      <x:c r="D12" s="65" t="str">
        <x:f>IF(C12="","",COUNTIFS('Experiment Log'!$C$2:$C$201,A12,'Experiment Log'!$M$2:$M$201,B12,'Experiment Log'!$CB$2:$CB$201,"win"))</x:f>
      </x:c>
      <x:c r="E12" s="82" t="str">
        <x:f>IFERROR(D12/C12,"")</x:f>
      </x:c>
      <x:c r="F12" s="82" t="str">
        <x:f>IFERROR(SUMIFS('Experiment Log'!$BN$2:$BN$201,'Experiment Log'!$C$2:$C$201,A12,'Experiment Log'!$M$2:$M$201,B12,'Experiment Log'!$CA$2:$CA$201,"attributable")/C12,"")</x:f>
      </x:c>
      <x:c r="G12" s="65" t="str">
        <x:f>IF(C12="","",COUNTIFS('Experiment Log'!$C$2:$C$201,A12,'Experiment Log'!$M$2:$M$201,B12,'Experiment Log'!$CB$2:$CB$201,"guardrail_fail"))</x:f>
      </x:c>
      <x:c r="H12" s="66"/>
      <x:c r="I12" s="65" t="str">
        <x:f>IF(C12="","",IF(AND(C12&gt;=3,D12&gt;=2,E12&gt;=0.667,F12&gt;0,G12=0,H12="yes"),"playbook_candidate",IF(C12&gt;0,"watchlist","not_eligible")))</x:f>
      </x:c>
    </x:row>
    <x:row r="13">
      <x:c r="A13" s="66" t="str">
        <x:v>x</x:v>
      </x:c>
      <x:c r="B13" s="66" t="str">
        <x:v>S2</x:v>
      </x:c>
      <x:c r="C13" s="65" t="n">
        <x:f>IF(OR(A13="",B13=""),"",COUNTIFS('Experiment Log'!$C$2:$C$201,A13,'Experiment Log'!$M$2:$M$201,B13,'Experiment Log'!$CA$2:$CA$201,"attributable"))</x:f>
        <x:v>0</x:v>
      </x:c>
      <x:c r="D13" s="65" t="str">
        <x:f>IF(C13="","",COUNTIFS('Experiment Log'!$C$2:$C$201,A13,'Experiment Log'!$M$2:$M$201,B13,'Experiment Log'!$CB$2:$CB$201,"win"))</x:f>
      </x:c>
      <x:c r="E13" s="82" t="str">
        <x:f>IFERROR(D13/C13,"")</x:f>
      </x:c>
      <x:c r="F13" s="82" t="str">
        <x:f>IFERROR(SUMIFS('Experiment Log'!$BN$2:$BN$201,'Experiment Log'!$C$2:$C$201,A13,'Experiment Log'!$M$2:$M$201,B13,'Experiment Log'!$CA$2:$CA$201,"attributable")/C13,"")</x:f>
      </x:c>
      <x:c r="G13" s="65" t="str">
        <x:f>IF(C13="","",COUNTIFS('Experiment Log'!$C$2:$C$201,A13,'Experiment Log'!$M$2:$M$201,B13,'Experiment Log'!$CB$2:$CB$201,"guardrail_fail"))</x:f>
      </x:c>
      <x:c r="H13" s="66"/>
      <x:c r="I13" s="65" t="str">
        <x:f>IF(C13="","",IF(AND(C13&gt;=3,D13&gt;=2,E13&gt;=0.667,F13&gt;0,G13=0,H13="yes"),"playbook_candidate",IF(C13&gt;0,"watchlist","not_eligible")))</x:f>
      </x:c>
    </x:row>
    <x:row r="14">
      <x:c r="A14" s="66" t="str">
        <x:v>x</x:v>
      </x:c>
      <x:c r="B14" s="66" t="str">
        <x:v>S3</x:v>
      </x:c>
      <x:c r="C14" s="65" t="n">
        <x:f>IF(OR(A14="",B14=""),"",COUNTIFS('Experiment Log'!$C$2:$C$201,A14,'Experiment Log'!$M$2:$M$201,B14,'Experiment Log'!$CA$2:$CA$201,"attributable"))</x:f>
        <x:v>0</x:v>
      </x:c>
      <x:c r="D14" s="65" t="str">
        <x:f>IF(C14="","",COUNTIFS('Experiment Log'!$C$2:$C$201,A14,'Experiment Log'!$M$2:$M$201,B14,'Experiment Log'!$CB$2:$CB$201,"win"))</x:f>
      </x:c>
      <x:c r="E14" s="82" t="str">
        <x:f>IFERROR(D14/C14,"")</x:f>
      </x:c>
      <x:c r="F14" s="82" t="str">
        <x:f>IFERROR(SUMIFS('Experiment Log'!$BN$2:$BN$201,'Experiment Log'!$C$2:$C$201,A14,'Experiment Log'!$M$2:$M$201,B14,'Experiment Log'!$CA$2:$CA$201,"attributable")/C14,"")</x:f>
      </x:c>
      <x:c r="G14" s="65" t="str">
        <x:f>IF(C14="","",COUNTIFS('Experiment Log'!$C$2:$C$201,A14,'Experiment Log'!$M$2:$M$201,B14,'Experiment Log'!$CB$2:$CB$201,"guardrail_fail"))</x:f>
      </x:c>
      <x:c r="H14" s="66"/>
      <x:c r="I14" s="65" t="str">
        <x:f>IF(C14="","",IF(AND(C14&gt;=3,D14&gt;=2,E14&gt;=0.667,F14&gt;0,G14=0,H14="yes"),"playbook_candidate",IF(C14&gt;0,"watchlist","not_eligible")))</x:f>
      </x:c>
    </x:row>
    <x:row r="15">
      <x:c r="A15" s="66" t="str">
        <x:v>x</x:v>
      </x:c>
      <x:c r="B15" s="66" t="str">
        <x:v>S4</x:v>
      </x:c>
      <x:c r="C15" s="65" t="n">
        <x:f>IF(OR(A15="",B15=""),"",COUNTIFS('Experiment Log'!$C$2:$C$201,A15,'Experiment Log'!$M$2:$M$201,B15,'Experiment Log'!$CA$2:$CA$201,"attributable"))</x:f>
        <x:v>0</x:v>
      </x:c>
      <x:c r="D15" s="65" t="str">
        <x:f>IF(C15="","",COUNTIFS('Experiment Log'!$C$2:$C$201,A15,'Experiment Log'!$M$2:$M$201,B15,'Experiment Log'!$CB$2:$CB$201,"win"))</x:f>
      </x:c>
      <x:c r="E15" s="82" t="str">
        <x:f>IFERROR(D15/C15,"")</x:f>
      </x:c>
      <x:c r="F15" s="82" t="str">
        <x:f>IFERROR(SUMIFS('Experiment Log'!$BN$2:$BN$201,'Experiment Log'!$C$2:$C$201,A15,'Experiment Log'!$M$2:$M$201,B15,'Experiment Log'!$CA$2:$CA$201,"attributable")/C15,"")</x:f>
      </x:c>
      <x:c r="G15" s="65" t="str">
        <x:f>IF(C15="","",COUNTIFS('Experiment Log'!$C$2:$C$201,A15,'Experiment Log'!$M$2:$M$201,B15,'Experiment Log'!$CB$2:$CB$201,"guardrail_fail"))</x:f>
      </x:c>
      <x:c r="H15" s="66"/>
      <x:c r="I15" s="65" t="str">
        <x:f>IF(C15="","",IF(AND(C15&gt;=3,D15&gt;=2,E15&gt;=0.667,F15&gt;0,G15=0,H15="yes"),"playbook_candidate",IF(C15&gt;0,"watchlist","not_eligible")))</x:f>
      </x:c>
    </x:row>
    <x:row r="16">
      <x:c r="A16" s="66" t="str">
        <x:v>x</x:v>
      </x:c>
      <x:c r="B16" s="66" t="str">
        <x:v>S5</x:v>
      </x:c>
      <x:c r="C16" s="65" t="n">
        <x:f>IF(OR(A16="",B16=""),"",COUNTIFS('Experiment Log'!$C$2:$C$201,A16,'Experiment Log'!$M$2:$M$201,B16,'Experiment Log'!$CA$2:$CA$201,"attributable"))</x:f>
        <x:v>0</x:v>
      </x:c>
      <x:c r="D16" s="65" t="str">
        <x:f>IF(C16="","",COUNTIFS('Experiment Log'!$C$2:$C$201,A16,'Experiment Log'!$M$2:$M$201,B16,'Experiment Log'!$CB$2:$CB$201,"win"))</x:f>
      </x:c>
      <x:c r="E16" s="82" t="str">
        <x:f>IFERROR(D16/C16,"")</x:f>
      </x:c>
      <x:c r="F16" s="82" t="str">
        <x:f>IFERROR(SUMIFS('Experiment Log'!$BN$2:$BN$201,'Experiment Log'!$C$2:$C$201,A16,'Experiment Log'!$M$2:$M$201,B16,'Experiment Log'!$CA$2:$CA$201,"attributable")/C16,"")</x:f>
      </x:c>
      <x:c r="G16" s="65" t="str">
        <x:f>IF(C16="","",COUNTIFS('Experiment Log'!$C$2:$C$201,A16,'Experiment Log'!$M$2:$M$201,B16,'Experiment Log'!$CB$2:$CB$201,"guardrail_fail"))</x:f>
      </x:c>
      <x:c r="H16" s="66"/>
      <x:c r="I16" s="65" t="str">
        <x:f>IF(C16="","",IF(AND(C16&gt;=3,D16&gt;=2,E16&gt;=0.667,F16&gt;0,G16=0,H16="yes"),"playbook_candidate",IF(C16&gt;0,"watchlist","not_eligible")))</x:f>
      </x:c>
    </x:row>
    <x:row r="17">
      <x:c r="A17" s="66" t="str">
        <x:v>x</x:v>
      </x:c>
      <x:c r="B17" s="66" t="str">
        <x:v>S6</x:v>
      </x:c>
      <x:c r="C17" s="65" t="n">
        <x:f>IF(OR(A17="",B17=""),"",COUNTIFS('Experiment Log'!$C$2:$C$201,A17,'Experiment Log'!$M$2:$M$201,B17,'Experiment Log'!$CA$2:$CA$201,"attributable"))</x:f>
        <x:v>0</x:v>
      </x:c>
      <x:c r="D17" s="65" t="str">
        <x:f>IF(C17="","",COUNTIFS('Experiment Log'!$C$2:$C$201,A17,'Experiment Log'!$M$2:$M$201,B17,'Experiment Log'!$CB$2:$CB$201,"win"))</x:f>
      </x:c>
      <x:c r="E17" s="82" t="str">
        <x:f>IFERROR(D17/C17,"")</x:f>
      </x:c>
      <x:c r="F17" s="82" t="str">
        <x:f>IFERROR(SUMIFS('Experiment Log'!$BN$2:$BN$201,'Experiment Log'!$C$2:$C$201,A17,'Experiment Log'!$M$2:$M$201,B17,'Experiment Log'!$CA$2:$CA$201,"attributable")/C17,"")</x:f>
      </x:c>
      <x:c r="G17" s="65" t="str">
        <x:f>IF(C17="","",COUNTIFS('Experiment Log'!$C$2:$C$201,A17,'Experiment Log'!$M$2:$M$201,B17,'Experiment Log'!$CB$2:$CB$201,"guardrail_fail"))</x:f>
      </x:c>
      <x:c r="H17" s="66"/>
      <x:c r="I17" s="65" t="str">
        <x:f>IF(C17="","",IF(AND(C17&gt;=3,D17&gt;=2,E17&gt;=0.667,F17&gt;0,G17=0,H17="yes"),"playbook_candidate",IF(C17&gt;0,"watchlist","not_eligible")))</x:f>
      </x:c>
    </x:row>
    <x:row r="18">
      <x:c r="A18" s="66" t="str">
        <x:v>x</x:v>
      </x:c>
      <x:c r="B18" s="66" t="str">
        <x:v>S7</x:v>
      </x:c>
      <x:c r="C18" s="65" t="n">
        <x:f>IF(OR(A18="",B18=""),"",COUNTIFS('Experiment Log'!$C$2:$C$201,A18,'Experiment Log'!$M$2:$M$201,B18,'Experiment Log'!$CA$2:$CA$201,"attributable"))</x:f>
        <x:v>0</x:v>
      </x:c>
      <x:c r="D18" s="65" t="str">
        <x:f>IF(C18="","",COUNTIFS('Experiment Log'!$C$2:$C$201,A18,'Experiment Log'!$M$2:$M$201,B18,'Experiment Log'!$CB$2:$CB$201,"win"))</x:f>
      </x:c>
      <x:c r="E18" s="82" t="str">
        <x:f>IFERROR(D18/C18,"")</x:f>
      </x:c>
      <x:c r="F18" s="82" t="str">
        <x:f>IFERROR(SUMIFS('Experiment Log'!$BN$2:$BN$201,'Experiment Log'!$C$2:$C$201,A18,'Experiment Log'!$M$2:$M$201,B18,'Experiment Log'!$CA$2:$CA$201,"attributable")/C18,"")</x:f>
      </x:c>
      <x:c r="G18" s="65" t="str">
        <x:f>IF(C18="","",COUNTIFS('Experiment Log'!$C$2:$C$201,A18,'Experiment Log'!$M$2:$M$201,B18,'Experiment Log'!$CB$2:$CB$201,"guardrail_fail"))</x:f>
      </x:c>
      <x:c r="H18" s="66"/>
      <x:c r="I18" s="65" t="str">
        <x:f>IF(C18="","",IF(AND(C18&gt;=3,D18&gt;=2,E18&gt;=0.667,F18&gt;0,G18=0,H18="yes"),"playbook_candidate",IF(C18&gt;0,"watchlist","not_eligible")))</x:f>
      </x:c>
    </x:row>
    <x:row r="19">
      <x:c r="A19" s="66"/>
      <x:c r="B19" s="66"/>
      <x:c r="C19" s="65" t="str">
        <x:f>IF(OR(A19="",B19=""),"",COUNTIFS('Experiment Log'!$C$2:$C$201,A19,'Experiment Log'!$M$2:$M$201,B19,'Experiment Log'!$CA$2:$CA$201,"attributable"))</x:f>
      </x:c>
      <x:c r="D19" s="65" t="str">
        <x:f>IF(C19="","",COUNTIFS('Experiment Log'!$C$2:$C$201,A19,'Experiment Log'!$M$2:$M$201,B19,'Experiment Log'!$CB$2:$CB$201,"win"))</x:f>
      </x:c>
      <x:c r="E19" s="82" t="str">
        <x:f>IFERROR(D19/C19,"")</x:f>
      </x:c>
      <x:c r="F19" s="82" t="str">
        <x:f>IFERROR(SUMIFS('Experiment Log'!$BN$2:$BN$201,'Experiment Log'!$C$2:$C$201,A19,'Experiment Log'!$M$2:$M$201,B19,'Experiment Log'!$CA$2:$CA$201,"attributable")/C19,"")</x:f>
      </x:c>
      <x:c r="G19" s="65" t="str">
        <x:f>IF(C19="","",COUNTIFS('Experiment Log'!$C$2:$C$201,A19,'Experiment Log'!$M$2:$M$201,B19,'Experiment Log'!$CB$2:$CB$201,"guardrail_fail"))</x:f>
      </x:c>
      <x:c r="H19" s="66"/>
      <x:c r="I19" s="65" t="str">
        <x:f>IF(C19="","",IF(AND(C19&gt;=3,D19&gt;=2,E19&gt;=0.667,F19&gt;0,G19=0,H19="yes"),"playbook_candidate",IF(C19&gt;0,"watchlist","not_eligible")))</x:f>
      </x:c>
    </x:row>
    <x:row r="20">
      <x:c r="A20" s="66"/>
      <x:c r="B20" s="66"/>
      <x:c r="C20" s="65" t="str">
        <x:f>IF(OR(A20="",B20=""),"",COUNTIFS('Experiment Log'!$C$2:$C$201,A20,'Experiment Log'!$M$2:$M$201,B20,'Experiment Log'!$CA$2:$CA$201,"attributable"))</x:f>
      </x:c>
      <x:c r="D20" s="65" t="str">
        <x:f>IF(C20="","",COUNTIFS('Experiment Log'!$C$2:$C$201,A20,'Experiment Log'!$M$2:$M$201,B20,'Experiment Log'!$CB$2:$CB$201,"win"))</x:f>
      </x:c>
      <x:c r="E20" s="82" t="str">
        <x:f>IFERROR(D20/C20,"")</x:f>
      </x:c>
      <x:c r="F20" s="82" t="str">
        <x:f>IFERROR(SUMIFS('Experiment Log'!$BN$2:$BN$201,'Experiment Log'!$C$2:$C$201,A20,'Experiment Log'!$M$2:$M$201,B20,'Experiment Log'!$CA$2:$CA$201,"attributable")/C20,"")</x:f>
      </x:c>
      <x:c r="G20" s="65" t="str">
        <x:f>IF(C20="","",COUNTIFS('Experiment Log'!$C$2:$C$201,A20,'Experiment Log'!$M$2:$M$201,B20,'Experiment Log'!$CB$2:$CB$201,"guardrail_fail"))</x:f>
      </x:c>
      <x:c r="H20" s="66"/>
      <x:c r="I20" s="65" t="str">
        <x:f>IF(C20="","",IF(AND(C20&gt;=3,D20&gt;=2,E20&gt;=0.667,F20&gt;0,G20=0,H20="yes"),"playbook_candidate",IF(C20&gt;0,"watchlist","not_eligible")))</x:f>
      </x:c>
    </x:row>
    <x:row r="21">
      <x:c r="A21" s="66"/>
      <x:c r="B21" s="66"/>
      <x:c r="C21" s="65" t="str">
        <x:f>IF(OR(A21="",B21=""),"",COUNTIFS('Experiment Log'!$C$2:$C$201,A21,'Experiment Log'!$M$2:$M$201,B21,'Experiment Log'!$CA$2:$CA$201,"attributable"))</x:f>
      </x:c>
      <x:c r="D21" s="65" t="str">
        <x:f>IF(C21="","",COUNTIFS('Experiment Log'!$C$2:$C$201,A21,'Experiment Log'!$M$2:$M$201,B21,'Experiment Log'!$CB$2:$CB$201,"win"))</x:f>
      </x:c>
      <x:c r="E21" s="82" t="str">
        <x:f>IFERROR(D21/C21,"")</x:f>
      </x:c>
      <x:c r="F21" s="82" t="str">
        <x:f>IFERROR(SUMIFS('Experiment Log'!$BN$2:$BN$201,'Experiment Log'!$C$2:$C$201,A21,'Experiment Log'!$M$2:$M$201,B21,'Experiment Log'!$CA$2:$CA$201,"attributable")/C21,"")</x:f>
      </x:c>
      <x:c r="G21" s="65" t="str">
        <x:f>IF(C21="","",COUNTIFS('Experiment Log'!$C$2:$C$201,A21,'Experiment Log'!$M$2:$M$201,B21,'Experiment Log'!$CB$2:$CB$201,"guardrail_fail"))</x:f>
      </x:c>
      <x:c r="H21" s="66"/>
      <x:c r="I21" s="65" t="str">
        <x:f>IF(C21="","",IF(AND(C21&gt;=3,D21&gt;=2,E21&gt;=0.667,F21&gt;0,G21=0,H21="yes"),"playbook_candidate",IF(C21&gt;0,"watchlist","not_eligible")))</x:f>
      </x:c>
    </x:row>
    <x:row r="22">
      <x:c r="A22" s="66"/>
      <x:c r="B22" s="66"/>
      <x:c r="C22" s="65" t="str">
        <x:f>IF(OR(A22="",B22=""),"",COUNTIFS('Experiment Log'!$C$2:$C$201,A22,'Experiment Log'!$M$2:$M$201,B22,'Experiment Log'!$CA$2:$CA$201,"attributable"))</x:f>
      </x:c>
      <x:c r="D22" s="65" t="str">
        <x:f>IF(C22="","",COUNTIFS('Experiment Log'!$C$2:$C$201,A22,'Experiment Log'!$M$2:$M$201,B22,'Experiment Log'!$CB$2:$CB$201,"win"))</x:f>
      </x:c>
      <x:c r="E22" s="82" t="str">
        <x:f>IFERROR(D22/C22,"")</x:f>
      </x:c>
      <x:c r="F22" s="82" t="str">
        <x:f>IFERROR(SUMIFS('Experiment Log'!$BN$2:$BN$201,'Experiment Log'!$C$2:$C$201,A22,'Experiment Log'!$M$2:$M$201,B22,'Experiment Log'!$CA$2:$CA$201,"attributable")/C22,"")</x:f>
      </x:c>
      <x:c r="G22" s="65" t="str">
        <x:f>IF(C22="","",COUNTIFS('Experiment Log'!$C$2:$C$201,A22,'Experiment Log'!$M$2:$M$201,B22,'Experiment Log'!$CB$2:$CB$201,"guardrail_fail"))</x:f>
      </x:c>
      <x:c r="H22" s="66"/>
      <x:c r="I22" s="65" t="str">
        <x:f>IF(C22="","",IF(AND(C22&gt;=3,D22&gt;=2,E22&gt;=0.667,F22&gt;0,G22=0,H22="yes"),"playbook_candidate",IF(C22&gt;0,"watchlist","not_eligible")))</x:f>
      </x:c>
    </x:row>
    <x:row r="23">
      <x:c r="A23" s="66"/>
      <x:c r="B23" s="66"/>
      <x:c r="C23" s="65" t="str">
        <x:f>IF(OR(A23="",B23=""),"",COUNTIFS('Experiment Log'!$C$2:$C$201,A23,'Experiment Log'!$M$2:$M$201,B23,'Experiment Log'!$CA$2:$CA$201,"attributable"))</x:f>
      </x:c>
      <x:c r="D23" s="65" t="str">
        <x:f>IF(C23="","",COUNTIFS('Experiment Log'!$C$2:$C$201,A23,'Experiment Log'!$M$2:$M$201,B23,'Experiment Log'!$CB$2:$CB$201,"win"))</x:f>
      </x:c>
      <x:c r="E23" s="82" t="str">
        <x:f>IFERROR(D23/C23,"")</x:f>
      </x:c>
      <x:c r="F23" s="82" t="str">
        <x:f>IFERROR(SUMIFS('Experiment Log'!$BN$2:$BN$201,'Experiment Log'!$C$2:$C$201,A23,'Experiment Log'!$M$2:$M$201,B23,'Experiment Log'!$CA$2:$CA$201,"attributable")/C23,"")</x:f>
      </x:c>
      <x:c r="G23" s="65" t="str">
        <x:f>IF(C23="","",COUNTIFS('Experiment Log'!$C$2:$C$201,A23,'Experiment Log'!$M$2:$M$201,B23,'Experiment Log'!$CB$2:$CB$201,"guardrail_fail"))</x:f>
      </x:c>
      <x:c r="H23" s="66"/>
      <x:c r="I23" s="65" t="str">
        <x:f>IF(C23="","",IF(AND(C23&gt;=3,D23&gt;=2,E23&gt;=0.667,F23&gt;0,G23=0,H23="yes"),"playbook_candidate",IF(C23&gt;0,"watchlist","not_eligible")))</x:f>
      </x:c>
    </x:row>
    <x:row r="24">
      <x:c r="A24" s="66"/>
      <x:c r="B24" s="66"/>
      <x:c r="C24" s="65" t="str">
        <x:f>IF(OR(A24="",B24=""),"",COUNTIFS('Experiment Log'!$C$2:$C$201,A24,'Experiment Log'!$M$2:$M$201,B24,'Experiment Log'!$CA$2:$CA$201,"attributable"))</x:f>
      </x:c>
      <x:c r="D24" s="65" t="str">
        <x:f>IF(C24="","",COUNTIFS('Experiment Log'!$C$2:$C$201,A24,'Experiment Log'!$M$2:$M$201,B24,'Experiment Log'!$CB$2:$CB$201,"win"))</x:f>
      </x:c>
      <x:c r="E24" s="82" t="str">
        <x:f>IFERROR(D24/C24,"")</x:f>
      </x:c>
      <x:c r="F24" s="82" t="str">
        <x:f>IFERROR(SUMIFS('Experiment Log'!$BN$2:$BN$201,'Experiment Log'!$C$2:$C$201,A24,'Experiment Log'!$M$2:$M$201,B24,'Experiment Log'!$CA$2:$CA$201,"attributable")/C24,"")</x:f>
      </x:c>
      <x:c r="G24" s="65" t="str">
        <x:f>IF(C24="","",COUNTIFS('Experiment Log'!$C$2:$C$201,A24,'Experiment Log'!$M$2:$M$201,B24,'Experiment Log'!$CB$2:$CB$201,"guardrail_fail"))</x:f>
      </x:c>
      <x:c r="H24" s="66"/>
      <x:c r="I24" s="65" t="str">
        <x:f>IF(C24="","",IF(AND(C24&gt;=3,D24&gt;=2,E24&gt;=0.667,F24&gt;0,G24=0,H24="yes"),"playbook_candidate",IF(C24&gt;0,"watchlist","not_eligible")))</x:f>
      </x:c>
    </x:row>
    <x:row r="25">
      <x:c r="A25" s="66"/>
      <x:c r="B25" s="66"/>
      <x:c r="C25" s="65" t="str">
        <x:f>IF(OR(A25="",B25=""),"",COUNTIFS('Experiment Log'!$C$2:$C$201,A25,'Experiment Log'!$M$2:$M$201,B25,'Experiment Log'!$CA$2:$CA$201,"attributable"))</x:f>
      </x:c>
      <x:c r="D25" s="65" t="str">
        <x:f>IF(C25="","",COUNTIFS('Experiment Log'!$C$2:$C$201,A25,'Experiment Log'!$M$2:$M$201,B25,'Experiment Log'!$CB$2:$CB$201,"win"))</x:f>
      </x:c>
      <x:c r="E25" s="82" t="str">
        <x:f>IFERROR(D25/C25,"")</x:f>
      </x:c>
      <x:c r="F25" s="82" t="str">
        <x:f>IFERROR(SUMIFS('Experiment Log'!$BN$2:$BN$201,'Experiment Log'!$C$2:$C$201,A25,'Experiment Log'!$M$2:$M$201,B25,'Experiment Log'!$CA$2:$CA$201,"attributable")/C25,"")</x:f>
      </x:c>
      <x:c r="G25" s="65" t="str">
        <x:f>IF(C25="","",COUNTIFS('Experiment Log'!$C$2:$C$201,A25,'Experiment Log'!$M$2:$M$201,B25,'Experiment Log'!$CB$2:$CB$201,"guardrail_fail"))</x:f>
      </x:c>
      <x:c r="H25" s="66"/>
      <x:c r="I25" s="65" t="str">
        <x:f>IF(C25="","",IF(AND(C25&gt;=3,D25&gt;=2,E25&gt;=0.667,F25&gt;0,G25=0,H25="yes"),"playbook_candidate",IF(C25&gt;0,"watchlist","not_eligible")))</x:f>
      </x:c>
    </x:row>
    <x:row r="26">
      <x:c r="A26" s="66"/>
      <x:c r="B26" s="66"/>
      <x:c r="C26" s="65" t="str">
        <x:f>IF(OR(A26="",B26=""),"",COUNTIFS('Experiment Log'!$C$2:$C$201,A26,'Experiment Log'!$M$2:$M$201,B26,'Experiment Log'!$CA$2:$CA$201,"attributable"))</x:f>
      </x:c>
      <x:c r="D26" s="65" t="str">
        <x:f>IF(C26="","",COUNTIFS('Experiment Log'!$C$2:$C$201,A26,'Experiment Log'!$M$2:$M$201,B26,'Experiment Log'!$CB$2:$CB$201,"win"))</x:f>
      </x:c>
      <x:c r="E26" s="82" t="str">
        <x:f>IFERROR(D26/C26,"")</x:f>
      </x:c>
      <x:c r="F26" s="82" t="str">
        <x:f>IFERROR(SUMIFS('Experiment Log'!$BN$2:$BN$201,'Experiment Log'!$C$2:$C$201,A26,'Experiment Log'!$M$2:$M$201,B26,'Experiment Log'!$CA$2:$CA$201,"attributable")/C26,"")</x:f>
      </x:c>
      <x:c r="G26" s="65" t="str">
        <x:f>IF(C26="","",COUNTIFS('Experiment Log'!$C$2:$C$201,A26,'Experiment Log'!$M$2:$M$201,B26,'Experiment Log'!$CB$2:$CB$201,"guardrail_fail"))</x:f>
      </x:c>
      <x:c r="H26" s="66"/>
      <x:c r="I26" s="65" t="str">
        <x:f>IF(C26="","",IF(AND(C26&gt;=3,D26&gt;=2,E26&gt;=0.667,F26&gt;0,G26=0,H26="yes"),"playbook_candidate",IF(C26&gt;0,"watchlist","not_eligible")))</x:f>
      </x:c>
    </x:row>
    <x:row r="27">
      <x:c r="A27" s="66"/>
      <x:c r="B27" s="66"/>
      <x:c r="C27" s="65" t="str">
        <x:f>IF(OR(A27="",B27=""),"",COUNTIFS('Experiment Log'!$C$2:$C$201,A27,'Experiment Log'!$M$2:$M$201,B27,'Experiment Log'!$CA$2:$CA$201,"attributable"))</x:f>
      </x:c>
      <x:c r="D27" s="65" t="str">
        <x:f>IF(C27="","",COUNTIFS('Experiment Log'!$C$2:$C$201,A27,'Experiment Log'!$M$2:$M$201,B27,'Experiment Log'!$CB$2:$CB$201,"win"))</x:f>
      </x:c>
      <x:c r="E27" s="82" t="str">
        <x:f>IFERROR(D27/C27,"")</x:f>
      </x:c>
      <x:c r="F27" s="82" t="str">
        <x:f>IFERROR(SUMIFS('Experiment Log'!$BN$2:$BN$201,'Experiment Log'!$C$2:$C$201,A27,'Experiment Log'!$M$2:$M$201,B27,'Experiment Log'!$CA$2:$CA$201,"attributable")/C27,"")</x:f>
      </x:c>
      <x:c r="G27" s="65" t="str">
        <x:f>IF(C27="","",COUNTIFS('Experiment Log'!$C$2:$C$201,A27,'Experiment Log'!$M$2:$M$201,B27,'Experiment Log'!$CB$2:$CB$201,"guardrail_fail"))</x:f>
      </x:c>
      <x:c r="H27" s="66"/>
      <x:c r="I27" s="65" t="str">
        <x:f>IF(C27="","",IF(AND(C27&gt;=3,D27&gt;=2,E27&gt;=0.667,F27&gt;0,G27=0,H27="yes"),"playbook_candidate",IF(C27&gt;0,"watchlist","not_eligible")))</x:f>
      </x:c>
    </x:row>
    <x:row r="28">
      <x:c r="A28" s="66"/>
      <x:c r="B28" s="66"/>
      <x:c r="C28" s="65" t="str">
        <x:f>IF(OR(A28="",B28=""),"",COUNTIFS('Experiment Log'!$C$2:$C$201,A28,'Experiment Log'!$M$2:$M$201,B28,'Experiment Log'!$CA$2:$CA$201,"attributable"))</x:f>
      </x:c>
      <x:c r="D28" s="65" t="str">
        <x:f>IF(C28="","",COUNTIFS('Experiment Log'!$C$2:$C$201,A28,'Experiment Log'!$M$2:$M$201,B28,'Experiment Log'!$CB$2:$CB$201,"win"))</x:f>
      </x:c>
      <x:c r="E28" s="82" t="str">
        <x:f>IFERROR(D28/C28,"")</x:f>
      </x:c>
      <x:c r="F28" s="82" t="str">
        <x:f>IFERROR(SUMIFS('Experiment Log'!$BN$2:$BN$201,'Experiment Log'!$C$2:$C$201,A28,'Experiment Log'!$M$2:$M$201,B28,'Experiment Log'!$CA$2:$CA$201,"attributable")/C28,"")</x:f>
      </x:c>
      <x:c r="G28" s="65" t="str">
        <x:f>IF(C28="","",COUNTIFS('Experiment Log'!$C$2:$C$201,A28,'Experiment Log'!$M$2:$M$201,B28,'Experiment Log'!$CB$2:$CB$201,"guardrail_fail"))</x:f>
      </x:c>
      <x:c r="H28" s="66"/>
      <x:c r="I28" s="65" t="str">
        <x:f>IF(C28="","",IF(AND(C28&gt;=3,D28&gt;=2,E28&gt;=0.667,F28&gt;0,G28=0,H28="yes"),"playbook_candidate",IF(C28&gt;0,"watchlist","not_eligible")))</x:f>
      </x:c>
    </x:row>
    <x:row r="29">
      <x:c r="A29" s="66"/>
      <x:c r="B29" s="66"/>
      <x:c r="C29" s="65" t="str">
        <x:f>IF(OR(A29="",B29=""),"",COUNTIFS('Experiment Log'!$C$2:$C$201,A29,'Experiment Log'!$M$2:$M$201,B29,'Experiment Log'!$CA$2:$CA$201,"attributable"))</x:f>
      </x:c>
      <x:c r="D29" s="65" t="str">
        <x:f>IF(C29="","",COUNTIFS('Experiment Log'!$C$2:$C$201,A29,'Experiment Log'!$M$2:$M$201,B29,'Experiment Log'!$CB$2:$CB$201,"win"))</x:f>
      </x:c>
      <x:c r="E29" s="82" t="str">
        <x:f>IFERROR(D29/C29,"")</x:f>
      </x:c>
      <x:c r="F29" s="82" t="str">
        <x:f>IFERROR(SUMIFS('Experiment Log'!$BN$2:$BN$201,'Experiment Log'!$C$2:$C$201,A29,'Experiment Log'!$M$2:$M$201,B29,'Experiment Log'!$CA$2:$CA$201,"attributable")/C29,"")</x:f>
      </x:c>
      <x:c r="G29" s="65" t="str">
        <x:f>IF(C29="","",COUNTIFS('Experiment Log'!$C$2:$C$201,A29,'Experiment Log'!$M$2:$M$201,B29,'Experiment Log'!$CB$2:$CB$201,"guardrail_fail"))</x:f>
      </x:c>
      <x:c r="H29" s="66"/>
      <x:c r="I29" s="65" t="str">
        <x:f>IF(C29="","",IF(AND(C29&gt;=3,D29&gt;=2,E29&gt;=0.667,F29&gt;0,G29=0,H29="yes"),"playbook_candidate",IF(C29&gt;0,"watchlist","not_eligible")))</x:f>
      </x:c>
    </x:row>
    <x:row r="30">
      <x:c r="A30" s="66"/>
      <x:c r="B30" s="66"/>
      <x:c r="C30" s="65" t="str">
        <x:f>IF(OR(A30="",B30=""),"",COUNTIFS('Experiment Log'!$C$2:$C$201,A30,'Experiment Log'!$M$2:$M$201,B30,'Experiment Log'!$CA$2:$CA$201,"attributable"))</x:f>
      </x:c>
      <x:c r="D30" s="65" t="str">
        <x:f>IF(C30="","",COUNTIFS('Experiment Log'!$C$2:$C$201,A30,'Experiment Log'!$M$2:$M$201,B30,'Experiment Log'!$CB$2:$CB$201,"win"))</x:f>
      </x:c>
      <x:c r="E30" s="82" t="str">
        <x:f>IFERROR(D30/C30,"")</x:f>
      </x:c>
      <x:c r="F30" s="82" t="str">
        <x:f>IFERROR(SUMIFS('Experiment Log'!$BN$2:$BN$201,'Experiment Log'!$C$2:$C$201,A30,'Experiment Log'!$M$2:$M$201,B30,'Experiment Log'!$CA$2:$CA$201,"attributable")/C30,"")</x:f>
      </x:c>
      <x:c r="G30" s="65" t="str">
        <x:f>IF(C30="","",COUNTIFS('Experiment Log'!$C$2:$C$201,A30,'Experiment Log'!$M$2:$M$201,B30,'Experiment Log'!$CB$2:$CB$201,"guardrail_fail"))</x:f>
      </x:c>
      <x:c r="H30" s="66"/>
      <x:c r="I30" s="65" t="str">
        <x:f>IF(C30="","",IF(AND(C30&gt;=3,D30&gt;=2,E30&gt;=0.667,F30&gt;0,G30=0,H30="yes"),"playbook_candidate",IF(C30&gt;0,"watchlist","not_eligible")))</x:f>
      </x:c>
    </x:row>
    <x:row r="31">
      <x:c r="A31" s="66"/>
      <x:c r="B31" s="66"/>
      <x:c r="C31" s="65" t="str">
        <x:f>IF(OR(A31="",B31=""),"",COUNTIFS('Experiment Log'!$C$2:$C$201,A31,'Experiment Log'!$M$2:$M$201,B31,'Experiment Log'!$CA$2:$CA$201,"attributable"))</x:f>
      </x:c>
      <x:c r="D31" s="65" t="str">
        <x:f>IF(C31="","",COUNTIFS('Experiment Log'!$C$2:$C$201,A31,'Experiment Log'!$M$2:$M$201,B31,'Experiment Log'!$CB$2:$CB$201,"win"))</x:f>
      </x:c>
      <x:c r="E31" s="82" t="str">
        <x:f>IFERROR(D31/C31,"")</x:f>
      </x:c>
      <x:c r="F31" s="82" t="str">
        <x:f>IFERROR(SUMIFS('Experiment Log'!$BN$2:$BN$201,'Experiment Log'!$C$2:$C$201,A31,'Experiment Log'!$M$2:$M$201,B31,'Experiment Log'!$CA$2:$CA$201,"attributable")/C31,"")</x:f>
      </x:c>
      <x:c r="G31" s="65" t="str">
        <x:f>IF(C31="","",COUNTIFS('Experiment Log'!$C$2:$C$201,A31,'Experiment Log'!$M$2:$M$201,B31,'Experiment Log'!$CB$2:$CB$201,"guardrail_fail"))</x:f>
      </x:c>
      <x:c r="H31" s="66"/>
      <x:c r="I31" s="65" t="str">
        <x:f>IF(C31="","",IF(AND(C31&gt;=3,D31&gt;=2,E31&gt;=0.667,F31&gt;0,G31=0,H31="yes"),"playbook_candidate",IF(C31&gt;0,"watchlist","not_eligible")))</x:f>
      </x:c>
    </x:row>
    <x:row r="32">
      <x:c r="A32" s="66"/>
      <x:c r="B32" s="66"/>
      <x:c r="C32" s="65" t="str">
        <x:f>IF(OR(A32="",B32=""),"",COUNTIFS('Experiment Log'!$C$2:$C$201,A32,'Experiment Log'!$M$2:$M$201,B32,'Experiment Log'!$CA$2:$CA$201,"attributable"))</x:f>
      </x:c>
      <x:c r="D32" s="65" t="str">
        <x:f>IF(C32="","",COUNTIFS('Experiment Log'!$C$2:$C$201,A32,'Experiment Log'!$M$2:$M$201,B32,'Experiment Log'!$CB$2:$CB$201,"win"))</x:f>
      </x:c>
      <x:c r="E32" s="82" t="str">
        <x:f>IFERROR(D32/C32,"")</x:f>
      </x:c>
      <x:c r="F32" s="82" t="str">
        <x:f>IFERROR(SUMIFS('Experiment Log'!$BN$2:$BN$201,'Experiment Log'!$C$2:$C$201,A32,'Experiment Log'!$M$2:$M$201,B32,'Experiment Log'!$CA$2:$CA$201,"attributable")/C32,"")</x:f>
      </x:c>
      <x:c r="G32" s="65" t="str">
        <x:f>IF(C32="","",COUNTIFS('Experiment Log'!$C$2:$C$201,A32,'Experiment Log'!$M$2:$M$201,B32,'Experiment Log'!$CB$2:$CB$201,"guardrail_fail"))</x:f>
      </x:c>
      <x:c r="H32" s="66"/>
      <x:c r="I32" s="65" t="str">
        <x:f>IF(C32="","",IF(AND(C32&gt;=3,D32&gt;=2,E32&gt;=0.667,F32&gt;0,G32=0,H32="yes"),"playbook_candidate",IF(C32&gt;0,"watchlist","not_eligible")))</x:f>
      </x:c>
    </x:row>
    <x:row r="33">
      <x:c r="A33" s="66"/>
      <x:c r="B33" s="66"/>
      <x:c r="C33" s="65" t="str">
        <x:f>IF(OR(A33="",B33=""),"",COUNTIFS('Experiment Log'!$C$2:$C$201,A33,'Experiment Log'!$M$2:$M$201,B33,'Experiment Log'!$CA$2:$CA$201,"attributable"))</x:f>
      </x:c>
      <x:c r="D33" s="65" t="str">
        <x:f>IF(C33="","",COUNTIFS('Experiment Log'!$C$2:$C$201,A33,'Experiment Log'!$M$2:$M$201,B33,'Experiment Log'!$CB$2:$CB$201,"win"))</x:f>
      </x:c>
      <x:c r="E33" s="82" t="str">
        <x:f>IFERROR(D33/C33,"")</x:f>
      </x:c>
      <x:c r="F33" s="82" t="str">
        <x:f>IFERROR(SUMIFS('Experiment Log'!$BN$2:$BN$201,'Experiment Log'!$C$2:$C$201,A33,'Experiment Log'!$M$2:$M$201,B33,'Experiment Log'!$CA$2:$CA$201,"attributable")/C33,"")</x:f>
      </x:c>
      <x:c r="G33" s="65" t="str">
        <x:f>IF(C33="","",COUNTIFS('Experiment Log'!$C$2:$C$201,A33,'Experiment Log'!$M$2:$M$201,B33,'Experiment Log'!$CB$2:$CB$201,"guardrail_fail"))</x:f>
      </x:c>
      <x:c r="H33" s="66"/>
      <x:c r="I33" s="65" t="str">
        <x:f>IF(C33="","",IF(AND(C33&gt;=3,D33&gt;=2,E33&gt;=0.667,F33&gt;0,G33=0,H33="yes"),"playbook_candidate",IF(C33&gt;0,"watchlist","not_eligible")))</x:f>
      </x:c>
    </x:row>
    <x:row r="34">
      <x:c r="A34" s="66"/>
      <x:c r="B34" s="66"/>
      <x:c r="C34" s="65" t="str">
        <x:f>IF(OR(A34="",B34=""),"",COUNTIFS('Experiment Log'!$C$2:$C$201,A34,'Experiment Log'!$M$2:$M$201,B34,'Experiment Log'!$CA$2:$CA$201,"attributable"))</x:f>
      </x:c>
      <x:c r="D34" s="65" t="str">
        <x:f>IF(C34="","",COUNTIFS('Experiment Log'!$C$2:$C$201,A34,'Experiment Log'!$M$2:$M$201,B34,'Experiment Log'!$CB$2:$CB$201,"win"))</x:f>
      </x:c>
      <x:c r="E34" s="82" t="str">
        <x:f>IFERROR(D34/C34,"")</x:f>
      </x:c>
      <x:c r="F34" s="82" t="str">
        <x:f>IFERROR(SUMIFS('Experiment Log'!$BN$2:$BN$201,'Experiment Log'!$C$2:$C$201,A34,'Experiment Log'!$M$2:$M$201,B34,'Experiment Log'!$CA$2:$CA$201,"attributable")/C34,"")</x:f>
      </x:c>
      <x:c r="G34" s="65" t="str">
        <x:f>IF(C34="","",COUNTIFS('Experiment Log'!$C$2:$C$201,A34,'Experiment Log'!$M$2:$M$201,B34,'Experiment Log'!$CB$2:$CB$201,"guardrail_fail"))</x:f>
      </x:c>
      <x:c r="H34" s="66"/>
      <x:c r="I34" s="65" t="str">
        <x:f>IF(C34="","",IF(AND(C34&gt;=3,D34&gt;=2,E34&gt;=0.667,F34&gt;0,G34=0,H34="yes"),"playbook_candidate",IF(C34&gt;0,"watchlist","not_eligible")))</x:f>
      </x:c>
    </x:row>
    <x:row r="35">
      <x:c r="A35" s="56"/>
      <x:c r="B35" s="56"/>
      <x:c r="C35" s="56"/>
      <x:c r="D35" s="56"/>
      <x:c r="E35" s="56"/>
      <x:c r="F35" s="56"/>
      <x:c r="G35" s="56"/>
      <x:c r="H35" s="56"/>
      <x:c r="I35" s="56"/>
    </x:row>
    <x:row r="36">
      <x:c r="A36" s="56"/>
      <x:c r="B36" s="56"/>
      <x:c r="C36" s="56"/>
      <x:c r="D36" s="56"/>
      <x:c r="E36" s="56"/>
      <x:c r="F36" s="56"/>
      <x:c r="G36" s="56"/>
      <x:c r="H36" s="56"/>
      <x:c r="I36" s="56"/>
    </x:row>
    <x:row r="37" ht="36" customHeight="1">
      <x:c r="A37" s="76" t="str">
        <x:v>重要：本表使用 avg lift 做快速方向判断；脚本使用 median lift。只有脚本输出 playbook_candidate 后再人工确认 admitted。</x:v>
      </x:c>
      <x:c r="B37" s="76"/>
      <x:c r="C37" s="76"/>
      <x:c r="D37" s="76"/>
      <x:c r="E37" s="76"/>
      <x:c r="F37" s="76"/>
      <x:c r="G37" s="76"/>
      <x:c r="H37" s="76"/>
      <x:c r="I37" s="76"/>
    </x:row>
  </x:sheetData>
  <x:mergeCells>
    <x:mergeCell ref="A1:I1"/>
    <x:mergeCell ref="A2:I2"/>
    <x:mergeCell ref="A37:I37"/>
  </x:mergeCells>
  <x:conditionalFormatting sqref="I5:I34">
    <x:cfRule type="containsText" dxfId="4" priority="1" operator="containsText" text="win"/>
    <x:cfRule type="containsText" dxfId="5" priority="2" operator="containsText" text="watchlist"/>
    <x:cfRule type="containsText" dxfId="6" priority="3" operator="containsText" text="fail"/>
    <x:cfRule type="containsText" dxfId="7" priority="4" operator="containsText" text="not_attributable"/>
  </x:conditionalFormatting>
  <x:dataValidations count="2">
    <x:dataValidation type="list" sqref="A5:A34">
      <x:formula1>"xiaohongshu,x"</x:formula1>
    </x:dataValidation>
    <x:dataValidation type="list" sqref="H5:H34">
      <x:formula1>"yes,no,pending"</x:formula1>
    </x:dataValidation>
  </x:dataValidations>
  <x:pageMargins left="0.7" right="0.7" top="0.75" bottom="0.75" header="0.3" footer="0.3"/>
</x:worksheet>
</file>